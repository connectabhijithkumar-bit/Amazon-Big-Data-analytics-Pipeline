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hidePivotFieldList="1"/>
  <xr:revisionPtr revIDLastSave="0" documentId="8_{A4F16674-B571-445C-9851-26693264D6C2}" xr6:coauthVersionLast="47" xr6:coauthVersionMax="47" xr10:uidLastSave="{00000000-0000-0000-0000-000000000000}"/>
  <bookViews>
    <workbookView xWindow="0" yWindow="0" windowWidth="19620" windowHeight="8295" activeTab="1" xr2:uid="{00000000-000D-0000-FFFF-FFFF00000000}"/>
  </bookViews>
  <sheets>
    <sheet name="Sheet1" sheetId="1" r:id="rId1"/>
    <sheet name="Sheet2" sheetId="2" r:id="rId2"/>
  </sheets>
  <definedNames>
    <definedName name="ExternalData_1" localSheetId="0">Sheet1!$A$1:$T$1001</definedName>
    <definedName name="Slicer_brand">#N/A</definedName>
  </definedNames>
  <calcPr calcId="191028"/>
  <pivotCaches>
    <pivotCache cacheId="765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01" i="1" l="1"/>
  <c r="W1001" i="1"/>
  <c r="V1001" i="1"/>
  <c r="U1001" i="1"/>
  <c r="X1000" i="1"/>
  <c r="W1000" i="1"/>
  <c r="V1000" i="1"/>
  <c r="U1000" i="1"/>
  <c r="X999" i="1"/>
  <c r="W999" i="1"/>
  <c r="V999" i="1"/>
  <c r="U999" i="1"/>
  <c r="X998" i="1"/>
  <c r="W998" i="1"/>
  <c r="V998" i="1"/>
  <c r="U998" i="1"/>
  <c r="X997" i="1"/>
  <c r="W997" i="1"/>
  <c r="V997" i="1"/>
  <c r="U997" i="1"/>
  <c r="X996" i="1"/>
  <c r="W996" i="1"/>
  <c r="V996" i="1"/>
  <c r="U996" i="1"/>
  <c r="X995" i="1"/>
  <c r="W995" i="1"/>
  <c r="V995" i="1"/>
  <c r="U995" i="1"/>
  <c r="X994" i="1"/>
  <c r="W994" i="1"/>
  <c r="V994" i="1"/>
  <c r="U994" i="1"/>
  <c r="X993" i="1"/>
  <c r="W993" i="1"/>
  <c r="V993" i="1"/>
  <c r="U993" i="1"/>
  <c r="X992" i="1"/>
  <c r="W992" i="1"/>
  <c r="V992" i="1"/>
  <c r="U992" i="1"/>
  <c r="X991" i="1"/>
  <c r="W991" i="1"/>
  <c r="V991" i="1"/>
  <c r="U991" i="1"/>
  <c r="X990" i="1"/>
  <c r="W990" i="1"/>
  <c r="V990" i="1"/>
  <c r="U990" i="1"/>
  <c r="X989" i="1"/>
  <c r="W989" i="1"/>
  <c r="V989" i="1"/>
  <c r="U989" i="1"/>
  <c r="X988" i="1"/>
  <c r="W988" i="1"/>
  <c r="V988" i="1"/>
  <c r="U988" i="1"/>
  <c r="X987" i="1"/>
  <c r="W987" i="1"/>
  <c r="V987" i="1"/>
  <c r="U987" i="1"/>
  <c r="X986" i="1"/>
  <c r="W986" i="1"/>
  <c r="V986" i="1"/>
  <c r="U986" i="1"/>
  <c r="X985" i="1"/>
  <c r="W985" i="1"/>
  <c r="V985" i="1"/>
  <c r="U985" i="1"/>
  <c r="X984" i="1"/>
  <c r="W984" i="1"/>
  <c r="V984" i="1"/>
  <c r="U984" i="1"/>
  <c r="X983" i="1"/>
  <c r="W983" i="1"/>
  <c r="V983" i="1"/>
  <c r="U983" i="1"/>
  <c r="X982" i="1"/>
  <c r="W982" i="1"/>
  <c r="V982" i="1"/>
  <c r="U982" i="1"/>
  <c r="X981" i="1"/>
  <c r="W981" i="1"/>
  <c r="V981" i="1"/>
  <c r="U981" i="1"/>
  <c r="X980" i="1"/>
  <c r="W980" i="1"/>
  <c r="V980" i="1"/>
  <c r="U980" i="1"/>
  <c r="X979" i="1"/>
  <c r="W979" i="1"/>
  <c r="V979" i="1"/>
  <c r="U979" i="1"/>
  <c r="X978" i="1"/>
  <c r="W978" i="1"/>
  <c r="V978" i="1"/>
  <c r="U978" i="1"/>
  <c r="X977" i="1"/>
  <c r="W977" i="1"/>
  <c r="V977" i="1"/>
  <c r="U977" i="1"/>
  <c r="X976" i="1"/>
  <c r="W976" i="1"/>
  <c r="V976" i="1"/>
  <c r="U976" i="1"/>
  <c r="X975" i="1"/>
  <c r="W975" i="1"/>
  <c r="V975" i="1"/>
  <c r="U975" i="1"/>
  <c r="X974" i="1"/>
  <c r="W974" i="1"/>
  <c r="V974" i="1"/>
  <c r="U974" i="1"/>
  <c r="X973" i="1"/>
  <c r="W973" i="1"/>
  <c r="V973" i="1"/>
  <c r="U973" i="1"/>
  <c r="X972" i="1"/>
  <c r="W972" i="1"/>
  <c r="V972" i="1"/>
  <c r="U972" i="1"/>
  <c r="X971" i="1"/>
  <c r="W971" i="1"/>
  <c r="V971" i="1"/>
  <c r="U971" i="1"/>
  <c r="X970" i="1"/>
  <c r="W970" i="1"/>
  <c r="V970" i="1"/>
  <c r="U970" i="1"/>
  <c r="X969" i="1"/>
  <c r="W969" i="1"/>
  <c r="V969" i="1"/>
  <c r="U969" i="1"/>
  <c r="X968" i="1"/>
  <c r="W968" i="1"/>
  <c r="V968" i="1"/>
  <c r="U968" i="1"/>
  <c r="X967" i="1"/>
  <c r="W967" i="1"/>
  <c r="V967" i="1"/>
  <c r="U967" i="1"/>
  <c r="X966" i="1"/>
  <c r="W966" i="1"/>
  <c r="V966" i="1"/>
  <c r="U966" i="1"/>
  <c r="X965" i="1"/>
  <c r="W965" i="1"/>
  <c r="V965" i="1"/>
  <c r="U965" i="1"/>
  <c r="X964" i="1"/>
  <c r="W964" i="1"/>
  <c r="V964" i="1"/>
  <c r="U964" i="1"/>
  <c r="X963" i="1"/>
  <c r="W963" i="1"/>
  <c r="V963" i="1"/>
  <c r="U963" i="1"/>
  <c r="X962" i="1"/>
  <c r="W962" i="1"/>
  <c r="V962" i="1"/>
  <c r="U962" i="1"/>
  <c r="X961" i="1"/>
  <c r="W961" i="1"/>
  <c r="V961" i="1"/>
  <c r="U961" i="1"/>
  <c r="X960" i="1"/>
  <c r="W960" i="1"/>
  <c r="V960" i="1"/>
  <c r="U960" i="1"/>
  <c r="X959" i="1"/>
  <c r="W959" i="1"/>
  <c r="V959" i="1"/>
  <c r="U959" i="1"/>
  <c r="X958" i="1"/>
  <c r="W958" i="1"/>
  <c r="V958" i="1"/>
  <c r="U958" i="1"/>
  <c r="X957" i="1"/>
  <c r="W957" i="1"/>
  <c r="V957" i="1"/>
  <c r="U957" i="1"/>
  <c r="X956" i="1"/>
  <c r="W956" i="1"/>
  <c r="V956" i="1"/>
  <c r="U956" i="1"/>
  <c r="X955" i="1"/>
  <c r="W955" i="1"/>
  <c r="V955" i="1"/>
  <c r="U955" i="1"/>
  <c r="X954" i="1"/>
  <c r="W954" i="1"/>
  <c r="V954" i="1"/>
  <c r="U954" i="1"/>
  <c r="X953" i="1"/>
  <c r="W953" i="1"/>
  <c r="V953" i="1"/>
  <c r="U953" i="1"/>
  <c r="X952" i="1"/>
  <c r="W952" i="1"/>
  <c r="V952" i="1"/>
  <c r="U952" i="1"/>
  <c r="X951" i="1"/>
  <c r="W951" i="1"/>
  <c r="V951" i="1"/>
  <c r="U951" i="1"/>
  <c r="X950" i="1"/>
  <c r="W950" i="1"/>
  <c r="V950" i="1"/>
  <c r="U950" i="1"/>
  <c r="X949" i="1"/>
  <c r="W949" i="1"/>
  <c r="V949" i="1"/>
  <c r="U949" i="1"/>
  <c r="X948" i="1"/>
  <c r="W948" i="1"/>
  <c r="V948" i="1"/>
  <c r="U948" i="1"/>
  <c r="X947" i="1"/>
  <c r="W947" i="1"/>
  <c r="V947" i="1"/>
  <c r="U947" i="1"/>
  <c r="X946" i="1"/>
  <c r="W946" i="1"/>
  <c r="V946" i="1"/>
  <c r="U946" i="1"/>
  <c r="X945" i="1"/>
  <c r="W945" i="1"/>
  <c r="V945" i="1"/>
  <c r="U945" i="1"/>
  <c r="X944" i="1"/>
  <c r="W944" i="1"/>
  <c r="V944" i="1"/>
  <c r="U944" i="1"/>
  <c r="X943" i="1"/>
  <c r="W943" i="1"/>
  <c r="V943" i="1"/>
  <c r="U943" i="1"/>
  <c r="X942" i="1"/>
  <c r="W942" i="1"/>
  <c r="V942" i="1"/>
  <c r="U942" i="1"/>
  <c r="X941" i="1"/>
  <c r="W941" i="1"/>
  <c r="V941" i="1"/>
  <c r="U941" i="1"/>
  <c r="X940" i="1"/>
  <c r="W940" i="1"/>
  <c r="V940" i="1"/>
  <c r="U940" i="1"/>
  <c r="X939" i="1"/>
  <c r="W939" i="1"/>
  <c r="V939" i="1"/>
  <c r="U939" i="1"/>
  <c r="X938" i="1"/>
  <c r="W938" i="1"/>
  <c r="V938" i="1"/>
  <c r="U938" i="1"/>
  <c r="X937" i="1"/>
  <c r="W937" i="1"/>
  <c r="V937" i="1"/>
  <c r="U937" i="1"/>
  <c r="X936" i="1"/>
  <c r="W936" i="1"/>
  <c r="V936" i="1"/>
  <c r="U936" i="1"/>
  <c r="X935" i="1"/>
  <c r="W935" i="1"/>
  <c r="V935" i="1"/>
  <c r="U935" i="1"/>
  <c r="X934" i="1"/>
  <c r="W934" i="1"/>
  <c r="V934" i="1"/>
  <c r="U934" i="1"/>
  <c r="X933" i="1"/>
  <c r="W933" i="1"/>
  <c r="V933" i="1"/>
  <c r="U933" i="1"/>
  <c r="X932" i="1"/>
  <c r="W932" i="1"/>
  <c r="V932" i="1"/>
  <c r="U932" i="1"/>
  <c r="X931" i="1"/>
  <c r="W931" i="1"/>
  <c r="V931" i="1"/>
  <c r="U931" i="1"/>
  <c r="X930" i="1"/>
  <c r="W930" i="1"/>
  <c r="V930" i="1"/>
  <c r="U930" i="1"/>
  <c r="X929" i="1"/>
  <c r="W929" i="1"/>
  <c r="V929" i="1"/>
  <c r="U929" i="1"/>
  <c r="X928" i="1"/>
  <c r="W928" i="1"/>
  <c r="V928" i="1"/>
  <c r="U928" i="1"/>
  <c r="X927" i="1"/>
  <c r="W927" i="1"/>
  <c r="V927" i="1"/>
  <c r="U927" i="1"/>
  <c r="X926" i="1"/>
  <c r="W926" i="1"/>
  <c r="V926" i="1"/>
  <c r="U926" i="1"/>
  <c r="X925" i="1"/>
  <c r="W925" i="1"/>
  <c r="V925" i="1"/>
  <c r="U925" i="1"/>
  <c r="X924" i="1"/>
  <c r="W924" i="1"/>
  <c r="V924" i="1"/>
  <c r="U924" i="1"/>
  <c r="X923" i="1"/>
  <c r="W923" i="1"/>
  <c r="V923" i="1"/>
  <c r="U923" i="1"/>
  <c r="X922" i="1"/>
  <c r="W922" i="1"/>
  <c r="V922" i="1"/>
  <c r="U922" i="1"/>
  <c r="X921" i="1"/>
  <c r="W921" i="1"/>
  <c r="V921" i="1"/>
  <c r="U921" i="1"/>
  <c r="X920" i="1"/>
  <c r="W920" i="1"/>
  <c r="V920" i="1"/>
  <c r="U920" i="1"/>
  <c r="X919" i="1"/>
  <c r="W919" i="1"/>
  <c r="V919" i="1"/>
  <c r="U919" i="1"/>
  <c r="X918" i="1"/>
  <c r="W918" i="1"/>
  <c r="V918" i="1"/>
  <c r="U918" i="1"/>
  <c r="X917" i="1"/>
  <c r="W917" i="1"/>
  <c r="V917" i="1"/>
  <c r="U917" i="1"/>
  <c r="X916" i="1"/>
  <c r="W916" i="1"/>
  <c r="V916" i="1"/>
  <c r="U916" i="1"/>
  <c r="X915" i="1"/>
  <c r="W915" i="1"/>
  <c r="V915" i="1"/>
  <c r="U915" i="1"/>
  <c r="X914" i="1"/>
  <c r="W914" i="1"/>
  <c r="V914" i="1"/>
  <c r="U914" i="1"/>
  <c r="X913" i="1"/>
  <c r="W913" i="1"/>
  <c r="V913" i="1"/>
  <c r="U913" i="1"/>
  <c r="X912" i="1"/>
  <c r="W912" i="1"/>
  <c r="V912" i="1"/>
  <c r="U912" i="1"/>
  <c r="X911" i="1"/>
  <c r="W911" i="1"/>
  <c r="V911" i="1"/>
  <c r="U911" i="1"/>
  <c r="X910" i="1"/>
  <c r="W910" i="1"/>
  <c r="V910" i="1"/>
  <c r="U910" i="1"/>
  <c r="X909" i="1"/>
  <c r="W909" i="1"/>
  <c r="V909" i="1"/>
  <c r="U909" i="1"/>
  <c r="X908" i="1"/>
  <c r="W908" i="1"/>
  <c r="V908" i="1"/>
  <c r="U908" i="1"/>
  <c r="X907" i="1"/>
  <c r="W907" i="1"/>
  <c r="V907" i="1"/>
  <c r="U907" i="1"/>
  <c r="X906" i="1"/>
  <c r="W906" i="1"/>
  <c r="V906" i="1"/>
  <c r="U906" i="1"/>
  <c r="X905" i="1"/>
  <c r="W905" i="1"/>
  <c r="V905" i="1"/>
  <c r="U905" i="1"/>
  <c r="X904" i="1"/>
  <c r="W904" i="1"/>
  <c r="V904" i="1"/>
  <c r="U904" i="1"/>
  <c r="X903" i="1"/>
  <c r="W903" i="1"/>
  <c r="V903" i="1"/>
  <c r="U903" i="1"/>
  <c r="X902" i="1"/>
  <c r="W902" i="1"/>
  <c r="V902" i="1"/>
  <c r="U902" i="1"/>
  <c r="X901" i="1"/>
  <c r="W901" i="1"/>
  <c r="V901" i="1"/>
  <c r="U901" i="1"/>
  <c r="X900" i="1"/>
  <c r="W900" i="1"/>
  <c r="V900" i="1"/>
  <c r="U900" i="1"/>
  <c r="X899" i="1"/>
  <c r="W899" i="1"/>
  <c r="V899" i="1"/>
  <c r="U899" i="1"/>
  <c r="X898" i="1"/>
  <c r="W898" i="1"/>
  <c r="V898" i="1"/>
  <c r="U898" i="1"/>
  <c r="X897" i="1"/>
  <c r="W897" i="1"/>
  <c r="V897" i="1"/>
  <c r="U897" i="1"/>
  <c r="X896" i="1"/>
  <c r="W896" i="1"/>
  <c r="V896" i="1"/>
  <c r="U896" i="1"/>
  <c r="X895" i="1"/>
  <c r="W895" i="1"/>
  <c r="V895" i="1"/>
  <c r="U895" i="1"/>
  <c r="X894" i="1"/>
  <c r="W894" i="1"/>
  <c r="V894" i="1"/>
  <c r="U894" i="1"/>
  <c r="X893" i="1"/>
  <c r="W893" i="1"/>
  <c r="V893" i="1"/>
  <c r="U893" i="1"/>
  <c r="X892" i="1"/>
  <c r="W892" i="1"/>
  <c r="V892" i="1"/>
  <c r="U892" i="1"/>
  <c r="X891" i="1"/>
  <c r="W891" i="1"/>
  <c r="V891" i="1"/>
  <c r="U891" i="1"/>
  <c r="X890" i="1"/>
  <c r="W890" i="1"/>
  <c r="V890" i="1"/>
  <c r="U890" i="1"/>
  <c r="X889" i="1"/>
  <c r="W889" i="1"/>
  <c r="V889" i="1"/>
  <c r="U889" i="1"/>
  <c r="X888" i="1"/>
  <c r="W888" i="1"/>
  <c r="V888" i="1"/>
  <c r="U888" i="1"/>
  <c r="X887" i="1"/>
  <c r="W887" i="1"/>
  <c r="V887" i="1"/>
  <c r="U887" i="1"/>
  <c r="X886" i="1"/>
  <c r="W886" i="1"/>
  <c r="V886" i="1"/>
  <c r="U886" i="1"/>
  <c r="X885" i="1"/>
  <c r="W885" i="1"/>
  <c r="V885" i="1"/>
  <c r="U885" i="1"/>
  <c r="X884" i="1"/>
  <c r="W884" i="1"/>
  <c r="V884" i="1"/>
  <c r="U884" i="1"/>
  <c r="X883" i="1"/>
  <c r="W883" i="1"/>
  <c r="V883" i="1"/>
  <c r="U883" i="1"/>
  <c r="X882" i="1"/>
  <c r="W882" i="1"/>
  <c r="V882" i="1"/>
  <c r="U882" i="1"/>
  <c r="X881" i="1"/>
  <c r="W881" i="1"/>
  <c r="V881" i="1"/>
  <c r="U881" i="1"/>
  <c r="X880" i="1"/>
  <c r="W880" i="1"/>
  <c r="V880" i="1"/>
  <c r="U880" i="1"/>
  <c r="X879" i="1"/>
  <c r="W879" i="1"/>
  <c r="V879" i="1"/>
  <c r="U879" i="1"/>
  <c r="X878" i="1"/>
  <c r="W878" i="1"/>
  <c r="V878" i="1"/>
  <c r="U878" i="1"/>
  <c r="X877" i="1"/>
  <c r="W877" i="1"/>
  <c r="V877" i="1"/>
  <c r="U877" i="1"/>
  <c r="X876" i="1"/>
  <c r="W876" i="1"/>
  <c r="V876" i="1"/>
  <c r="U876" i="1"/>
  <c r="X875" i="1"/>
  <c r="W875" i="1"/>
  <c r="V875" i="1"/>
  <c r="U875" i="1"/>
  <c r="X874" i="1"/>
  <c r="W874" i="1"/>
  <c r="V874" i="1"/>
  <c r="U874" i="1"/>
  <c r="X873" i="1"/>
  <c r="W873" i="1"/>
  <c r="V873" i="1"/>
  <c r="U873" i="1"/>
  <c r="X872" i="1"/>
  <c r="W872" i="1"/>
  <c r="V872" i="1"/>
  <c r="U872" i="1"/>
  <c r="X871" i="1"/>
  <c r="W871" i="1"/>
  <c r="V871" i="1"/>
  <c r="U871" i="1"/>
  <c r="X870" i="1"/>
  <c r="W870" i="1"/>
  <c r="V870" i="1"/>
  <c r="U870" i="1"/>
  <c r="X869" i="1"/>
  <c r="W869" i="1"/>
  <c r="V869" i="1"/>
  <c r="U869" i="1"/>
  <c r="X868" i="1"/>
  <c r="W868" i="1"/>
  <c r="V868" i="1"/>
  <c r="U868" i="1"/>
  <c r="X867" i="1"/>
  <c r="W867" i="1"/>
  <c r="V867" i="1"/>
  <c r="U867" i="1"/>
  <c r="X866" i="1"/>
  <c r="W866" i="1"/>
  <c r="V866" i="1"/>
  <c r="U866" i="1"/>
  <c r="X865" i="1"/>
  <c r="W865" i="1"/>
  <c r="V865" i="1"/>
  <c r="U865" i="1"/>
  <c r="X864" i="1"/>
  <c r="W864" i="1"/>
  <c r="V864" i="1"/>
  <c r="U864" i="1"/>
  <c r="X863" i="1"/>
  <c r="W863" i="1"/>
  <c r="V863" i="1"/>
  <c r="U863" i="1"/>
  <c r="X862" i="1"/>
  <c r="W862" i="1"/>
  <c r="V862" i="1"/>
  <c r="U862" i="1"/>
  <c r="X861" i="1"/>
  <c r="W861" i="1"/>
  <c r="V861" i="1"/>
  <c r="U861" i="1"/>
  <c r="X860" i="1"/>
  <c r="W860" i="1"/>
  <c r="V860" i="1"/>
  <c r="U860" i="1"/>
  <c r="X859" i="1"/>
  <c r="W859" i="1"/>
  <c r="V859" i="1"/>
  <c r="U859" i="1"/>
  <c r="X858" i="1"/>
  <c r="W858" i="1"/>
  <c r="V858" i="1"/>
  <c r="U858" i="1"/>
  <c r="X857" i="1"/>
  <c r="W857" i="1"/>
  <c r="V857" i="1"/>
  <c r="U857" i="1"/>
  <c r="X856" i="1"/>
  <c r="W856" i="1"/>
  <c r="V856" i="1"/>
  <c r="U856" i="1"/>
  <c r="X855" i="1"/>
  <c r="W855" i="1"/>
  <c r="V855" i="1"/>
  <c r="U855" i="1"/>
  <c r="X854" i="1"/>
  <c r="W854" i="1"/>
  <c r="V854" i="1"/>
  <c r="U854" i="1"/>
  <c r="X853" i="1"/>
  <c r="W853" i="1"/>
  <c r="V853" i="1"/>
  <c r="U853" i="1"/>
  <c r="X852" i="1"/>
  <c r="W852" i="1"/>
  <c r="V852" i="1"/>
  <c r="U852" i="1"/>
  <c r="X851" i="1"/>
  <c r="W851" i="1"/>
  <c r="V851" i="1"/>
  <c r="U851" i="1"/>
  <c r="X850" i="1"/>
  <c r="W850" i="1"/>
  <c r="V850" i="1"/>
  <c r="U850" i="1"/>
  <c r="X849" i="1"/>
  <c r="W849" i="1"/>
  <c r="V849" i="1"/>
  <c r="U849" i="1"/>
  <c r="X848" i="1"/>
  <c r="W848" i="1"/>
  <c r="V848" i="1"/>
  <c r="U848" i="1"/>
  <c r="X847" i="1"/>
  <c r="W847" i="1"/>
  <c r="V847" i="1"/>
  <c r="U847" i="1"/>
  <c r="X846" i="1"/>
  <c r="W846" i="1"/>
  <c r="V846" i="1"/>
  <c r="U846" i="1"/>
  <c r="X845" i="1"/>
  <c r="W845" i="1"/>
  <c r="V845" i="1"/>
  <c r="U845" i="1"/>
  <c r="X844" i="1"/>
  <c r="W844" i="1"/>
  <c r="V844" i="1"/>
  <c r="U844" i="1"/>
  <c r="X843" i="1"/>
  <c r="W843" i="1"/>
  <c r="V843" i="1"/>
  <c r="U843" i="1"/>
  <c r="X842" i="1"/>
  <c r="W842" i="1"/>
  <c r="V842" i="1"/>
  <c r="U842" i="1"/>
  <c r="X841" i="1"/>
  <c r="W841" i="1"/>
  <c r="V841" i="1"/>
  <c r="U841" i="1"/>
  <c r="X840" i="1"/>
  <c r="W840" i="1"/>
  <c r="V840" i="1"/>
  <c r="U840" i="1"/>
  <c r="X839" i="1"/>
  <c r="W839" i="1"/>
  <c r="V839" i="1"/>
  <c r="U839" i="1"/>
  <c r="X838" i="1"/>
  <c r="W838" i="1"/>
  <c r="V838" i="1"/>
  <c r="U838" i="1"/>
  <c r="X837" i="1"/>
  <c r="W837" i="1"/>
  <c r="V837" i="1"/>
  <c r="U837" i="1"/>
  <c r="X836" i="1"/>
  <c r="W836" i="1"/>
  <c r="V836" i="1"/>
  <c r="U836" i="1"/>
  <c r="X835" i="1"/>
  <c r="W835" i="1"/>
  <c r="V835" i="1"/>
  <c r="U835" i="1"/>
  <c r="X834" i="1"/>
  <c r="W834" i="1"/>
  <c r="V834" i="1"/>
  <c r="U834" i="1"/>
  <c r="X833" i="1"/>
  <c r="W833" i="1"/>
  <c r="V833" i="1"/>
  <c r="U833" i="1"/>
  <c r="X832" i="1"/>
  <c r="W832" i="1"/>
  <c r="V832" i="1"/>
  <c r="U832" i="1"/>
  <c r="X831" i="1"/>
  <c r="W831" i="1"/>
  <c r="V831" i="1"/>
  <c r="U831" i="1"/>
  <c r="X830" i="1"/>
  <c r="W830" i="1"/>
  <c r="V830" i="1"/>
  <c r="U830" i="1"/>
  <c r="X829" i="1"/>
  <c r="W829" i="1"/>
  <c r="V829" i="1"/>
  <c r="U829" i="1"/>
  <c r="X828" i="1"/>
  <c r="W828" i="1"/>
  <c r="V828" i="1"/>
  <c r="U828" i="1"/>
  <c r="X827" i="1"/>
  <c r="W827" i="1"/>
  <c r="V827" i="1"/>
  <c r="U827" i="1"/>
  <c r="X826" i="1"/>
  <c r="W826" i="1"/>
  <c r="V826" i="1"/>
  <c r="U826" i="1"/>
  <c r="X825" i="1"/>
  <c r="W825" i="1"/>
  <c r="V825" i="1"/>
  <c r="U825" i="1"/>
  <c r="X824" i="1"/>
  <c r="W824" i="1"/>
  <c r="V824" i="1"/>
  <c r="U824" i="1"/>
  <c r="X823" i="1"/>
  <c r="W823" i="1"/>
  <c r="V823" i="1"/>
  <c r="U823" i="1"/>
  <c r="X822" i="1"/>
  <c r="W822" i="1"/>
  <c r="V822" i="1"/>
  <c r="U822" i="1"/>
  <c r="X821" i="1"/>
  <c r="W821" i="1"/>
  <c r="V821" i="1"/>
  <c r="U821" i="1"/>
  <c r="X820" i="1"/>
  <c r="W820" i="1"/>
  <c r="V820" i="1"/>
  <c r="U820" i="1"/>
  <c r="X819" i="1"/>
  <c r="W819" i="1"/>
  <c r="V819" i="1"/>
  <c r="U819" i="1"/>
  <c r="X818" i="1"/>
  <c r="W818" i="1"/>
  <c r="V818" i="1"/>
  <c r="U818" i="1"/>
  <c r="X817" i="1"/>
  <c r="W817" i="1"/>
  <c r="V817" i="1"/>
  <c r="U817" i="1"/>
  <c r="X816" i="1"/>
  <c r="W816" i="1"/>
  <c r="V816" i="1"/>
  <c r="U816" i="1"/>
  <c r="X815" i="1"/>
  <c r="W815" i="1"/>
  <c r="V815" i="1"/>
  <c r="U815" i="1"/>
  <c r="X814" i="1"/>
  <c r="W814" i="1"/>
  <c r="V814" i="1"/>
  <c r="U814" i="1"/>
  <c r="X813" i="1"/>
  <c r="W813" i="1"/>
  <c r="V813" i="1"/>
  <c r="U813" i="1"/>
  <c r="X812" i="1"/>
  <c r="W812" i="1"/>
  <c r="V812" i="1"/>
  <c r="U812" i="1"/>
  <c r="X811" i="1"/>
  <c r="W811" i="1"/>
  <c r="V811" i="1"/>
  <c r="U811" i="1"/>
  <c r="X810" i="1"/>
  <c r="W810" i="1"/>
  <c r="V810" i="1"/>
  <c r="U810" i="1"/>
  <c r="X809" i="1"/>
  <c r="W809" i="1"/>
  <c r="V809" i="1"/>
  <c r="U809" i="1"/>
  <c r="X808" i="1"/>
  <c r="W808" i="1"/>
  <c r="V808" i="1"/>
  <c r="U808" i="1"/>
  <c r="X807" i="1"/>
  <c r="W807" i="1"/>
  <c r="V807" i="1"/>
  <c r="U807" i="1"/>
  <c r="X806" i="1"/>
  <c r="W806" i="1"/>
  <c r="V806" i="1"/>
  <c r="U806" i="1"/>
  <c r="X805" i="1"/>
  <c r="W805" i="1"/>
  <c r="V805" i="1"/>
  <c r="U805" i="1"/>
  <c r="X804" i="1"/>
  <c r="W804" i="1"/>
  <c r="V804" i="1"/>
  <c r="U804" i="1"/>
  <c r="X803" i="1"/>
  <c r="W803" i="1"/>
  <c r="V803" i="1"/>
  <c r="U803" i="1"/>
  <c r="X802" i="1"/>
  <c r="W802" i="1"/>
  <c r="V802" i="1"/>
  <c r="U802" i="1"/>
  <c r="X801" i="1"/>
  <c r="W801" i="1"/>
  <c r="V801" i="1"/>
  <c r="U801" i="1"/>
  <c r="X800" i="1"/>
  <c r="W800" i="1"/>
  <c r="V800" i="1"/>
  <c r="U800" i="1"/>
  <c r="X799" i="1"/>
  <c r="W799" i="1"/>
  <c r="V799" i="1"/>
  <c r="U799" i="1"/>
  <c r="X798" i="1"/>
  <c r="W798" i="1"/>
  <c r="V798" i="1"/>
  <c r="U798" i="1"/>
  <c r="X797" i="1"/>
  <c r="W797" i="1"/>
  <c r="V797" i="1"/>
  <c r="U797" i="1"/>
  <c r="X796" i="1"/>
  <c r="W796" i="1"/>
  <c r="V796" i="1"/>
  <c r="U796" i="1"/>
  <c r="X795" i="1"/>
  <c r="W795" i="1"/>
  <c r="V795" i="1"/>
  <c r="U795" i="1"/>
  <c r="X794" i="1"/>
  <c r="W794" i="1"/>
  <c r="V794" i="1"/>
  <c r="U794" i="1"/>
  <c r="X793" i="1"/>
  <c r="W793" i="1"/>
  <c r="V793" i="1"/>
  <c r="U793" i="1"/>
  <c r="X792" i="1"/>
  <c r="W792" i="1"/>
  <c r="V792" i="1"/>
  <c r="U792" i="1"/>
  <c r="X791" i="1"/>
  <c r="W791" i="1"/>
  <c r="V791" i="1"/>
  <c r="U791" i="1"/>
  <c r="X790" i="1"/>
  <c r="W790" i="1"/>
  <c r="V790" i="1"/>
  <c r="U790" i="1"/>
  <c r="X789" i="1"/>
  <c r="W789" i="1"/>
  <c r="V789" i="1"/>
  <c r="U789" i="1"/>
  <c r="X788" i="1"/>
  <c r="W788" i="1"/>
  <c r="V788" i="1"/>
  <c r="U788" i="1"/>
  <c r="X787" i="1"/>
  <c r="W787" i="1"/>
  <c r="V787" i="1"/>
  <c r="U787" i="1"/>
  <c r="X786" i="1"/>
  <c r="W786" i="1"/>
  <c r="V786" i="1"/>
  <c r="U786" i="1"/>
  <c r="X785" i="1"/>
  <c r="W785" i="1"/>
  <c r="V785" i="1"/>
  <c r="U785" i="1"/>
  <c r="X784" i="1"/>
  <c r="W784" i="1"/>
  <c r="V784" i="1"/>
  <c r="U784" i="1"/>
  <c r="X783" i="1"/>
  <c r="W783" i="1"/>
  <c r="V783" i="1"/>
  <c r="U783" i="1"/>
  <c r="X782" i="1"/>
  <c r="W782" i="1"/>
  <c r="V782" i="1"/>
  <c r="U782" i="1"/>
  <c r="X781" i="1"/>
  <c r="W781" i="1"/>
  <c r="V781" i="1"/>
  <c r="U781" i="1"/>
  <c r="X780" i="1"/>
  <c r="W780" i="1"/>
  <c r="V780" i="1"/>
  <c r="U780" i="1"/>
  <c r="X779" i="1"/>
  <c r="W779" i="1"/>
  <c r="V779" i="1"/>
  <c r="U779" i="1"/>
  <c r="X778" i="1"/>
  <c r="W778" i="1"/>
  <c r="V778" i="1"/>
  <c r="U778" i="1"/>
  <c r="X777" i="1"/>
  <c r="W777" i="1"/>
  <c r="V777" i="1"/>
  <c r="U777" i="1"/>
  <c r="X776" i="1"/>
  <c r="W776" i="1"/>
  <c r="V776" i="1"/>
  <c r="U776" i="1"/>
  <c r="X775" i="1"/>
  <c r="W775" i="1"/>
  <c r="V775" i="1"/>
  <c r="U775" i="1"/>
  <c r="X774" i="1"/>
  <c r="W774" i="1"/>
  <c r="V774" i="1"/>
  <c r="U774" i="1"/>
  <c r="X773" i="1"/>
  <c r="W773" i="1"/>
  <c r="V773" i="1"/>
  <c r="U773" i="1"/>
  <c r="X772" i="1"/>
  <c r="W772" i="1"/>
  <c r="V772" i="1"/>
  <c r="U772" i="1"/>
  <c r="X771" i="1"/>
  <c r="W771" i="1"/>
  <c r="V771" i="1"/>
  <c r="U771" i="1"/>
  <c r="X770" i="1"/>
  <c r="W770" i="1"/>
  <c r="V770" i="1"/>
  <c r="U770" i="1"/>
  <c r="X769" i="1"/>
  <c r="W769" i="1"/>
  <c r="V769" i="1"/>
  <c r="U769" i="1"/>
  <c r="X768" i="1"/>
  <c r="W768" i="1"/>
  <c r="V768" i="1"/>
  <c r="U768" i="1"/>
  <c r="X767" i="1"/>
  <c r="W767" i="1"/>
  <c r="V767" i="1"/>
  <c r="U767" i="1"/>
  <c r="X766" i="1"/>
  <c r="W766" i="1"/>
  <c r="V766" i="1"/>
  <c r="U766" i="1"/>
  <c r="X765" i="1"/>
  <c r="W765" i="1"/>
  <c r="V765" i="1"/>
  <c r="U765" i="1"/>
  <c r="X764" i="1"/>
  <c r="W764" i="1"/>
  <c r="V764" i="1"/>
  <c r="U764" i="1"/>
  <c r="X763" i="1"/>
  <c r="W763" i="1"/>
  <c r="V763" i="1"/>
  <c r="U763" i="1"/>
  <c r="X762" i="1"/>
  <c r="W762" i="1"/>
  <c r="V762" i="1"/>
  <c r="U762" i="1"/>
  <c r="X761" i="1"/>
  <c r="W761" i="1"/>
  <c r="V761" i="1"/>
  <c r="U761" i="1"/>
  <c r="X760" i="1"/>
  <c r="W760" i="1"/>
  <c r="V760" i="1"/>
  <c r="U760" i="1"/>
  <c r="X759" i="1"/>
  <c r="W759" i="1"/>
  <c r="V759" i="1"/>
  <c r="U759" i="1"/>
  <c r="X758" i="1"/>
  <c r="W758" i="1"/>
  <c r="V758" i="1"/>
  <c r="U758" i="1"/>
  <c r="X757" i="1"/>
  <c r="W757" i="1"/>
  <c r="V757" i="1"/>
  <c r="U757" i="1"/>
  <c r="X756" i="1"/>
  <c r="W756" i="1"/>
  <c r="V756" i="1"/>
  <c r="U756" i="1"/>
  <c r="X755" i="1"/>
  <c r="W755" i="1"/>
  <c r="V755" i="1"/>
  <c r="U755" i="1"/>
  <c r="X754" i="1"/>
  <c r="W754" i="1"/>
  <c r="V754" i="1"/>
  <c r="U754" i="1"/>
  <c r="X753" i="1"/>
  <c r="W753" i="1"/>
  <c r="V753" i="1"/>
  <c r="U753" i="1"/>
  <c r="X752" i="1"/>
  <c r="W752" i="1"/>
  <c r="V752" i="1"/>
  <c r="U752" i="1"/>
  <c r="X751" i="1"/>
  <c r="W751" i="1"/>
  <c r="V751" i="1"/>
  <c r="U751" i="1"/>
  <c r="X750" i="1"/>
  <c r="W750" i="1"/>
  <c r="V750" i="1"/>
  <c r="U750" i="1"/>
  <c r="X749" i="1"/>
  <c r="W749" i="1"/>
  <c r="V749" i="1"/>
  <c r="U749" i="1"/>
  <c r="X748" i="1"/>
  <c r="W748" i="1"/>
  <c r="V748" i="1"/>
  <c r="U748" i="1"/>
  <c r="X747" i="1"/>
  <c r="W747" i="1"/>
  <c r="V747" i="1"/>
  <c r="U747" i="1"/>
  <c r="X746" i="1"/>
  <c r="W746" i="1"/>
  <c r="V746" i="1"/>
  <c r="U746" i="1"/>
  <c r="X745" i="1"/>
  <c r="W745" i="1"/>
  <c r="V745" i="1"/>
  <c r="U745" i="1"/>
  <c r="X744" i="1"/>
  <c r="W744" i="1"/>
  <c r="V744" i="1"/>
  <c r="U744" i="1"/>
  <c r="X743" i="1"/>
  <c r="W743" i="1"/>
  <c r="V743" i="1"/>
  <c r="U743" i="1"/>
  <c r="X742" i="1"/>
  <c r="W742" i="1"/>
  <c r="V742" i="1"/>
  <c r="U742" i="1"/>
  <c r="X741" i="1"/>
  <c r="W741" i="1"/>
  <c r="V741" i="1"/>
  <c r="U741" i="1"/>
  <c r="X740" i="1"/>
  <c r="W740" i="1"/>
  <c r="V740" i="1"/>
  <c r="U740" i="1"/>
  <c r="X739" i="1"/>
  <c r="W739" i="1"/>
  <c r="V739" i="1"/>
  <c r="U739" i="1"/>
  <c r="X738" i="1"/>
  <c r="W738" i="1"/>
  <c r="V738" i="1"/>
  <c r="U738" i="1"/>
  <c r="X737" i="1"/>
  <c r="W737" i="1"/>
  <c r="V737" i="1"/>
  <c r="U737" i="1"/>
  <c r="X736" i="1"/>
  <c r="W736" i="1"/>
  <c r="V736" i="1"/>
  <c r="U736" i="1"/>
  <c r="X735" i="1"/>
  <c r="W735" i="1"/>
  <c r="V735" i="1"/>
  <c r="U735" i="1"/>
  <c r="X734" i="1"/>
  <c r="W734" i="1"/>
  <c r="V734" i="1"/>
  <c r="U734" i="1"/>
  <c r="X733" i="1"/>
  <c r="W733" i="1"/>
  <c r="V733" i="1"/>
  <c r="U733" i="1"/>
  <c r="X732" i="1"/>
  <c r="W732" i="1"/>
  <c r="V732" i="1"/>
  <c r="U732" i="1"/>
  <c r="X731" i="1"/>
  <c r="W731" i="1"/>
  <c r="V731" i="1"/>
  <c r="U731" i="1"/>
  <c r="X730" i="1"/>
  <c r="W730" i="1"/>
  <c r="V730" i="1"/>
  <c r="U730" i="1"/>
  <c r="X729" i="1"/>
  <c r="W729" i="1"/>
  <c r="V729" i="1"/>
  <c r="U729" i="1"/>
  <c r="X728" i="1"/>
  <c r="W728" i="1"/>
  <c r="V728" i="1"/>
  <c r="U728" i="1"/>
  <c r="X727" i="1"/>
  <c r="W727" i="1"/>
  <c r="V727" i="1"/>
  <c r="U727" i="1"/>
  <c r="X726" i="1"/>
  <c r="W726" i="1"/>
  <c r="V726" i="1"/>
  <c r="U726" i="1"/>
  <c r="X725" i="1"/>
  <c r="W725" i="1"/>
  <c r="V725" i="1"/>
  <c r="U725" i="1"/>
  <c r="X724" i="1"/>
  <c r="W724" i="1"/>
  <c r="V724" i="1"/>
  <c r="U724" i="1"/>
  <c r="X723" i="1"/>
  <c r="W723" i="1"/>
  <c r="V723" i="1"/>
  <c r="U723" i="1"/>
  <c r="X722" i="1"/>
  <c r="W722" i="1"/>
  <c r="V722" i="1"/>
  <c r="U722" i="1"/>
  <c r="X721" i="1"/>
  <c r="W721" i="1"/>
  <c r="V721" i="1"/>
  <c r="U721" i="1"/>
  <c r="X720" i="1"/>
  <c r="W720" i="1"/>
  <c r="V720" i="1"/>
  <c r="U720" i="1"/>
  <c r="X719" i="1"/>
  <c r="W719" i="1"/>
  <c r="V719" i="1"/>
  <c r="U719" i="1"/>
  <c r="X718" i="1"/>
  <c r="W718" i="1"/>
  <c r="V718" i="1"/>
  <c r="U718" i="1"/>
  <c r="X717" i="1"/>
  <c r="W717" i="1"/>
  <c r="V717" i="1"/>
  <c r="U717" i="1"/>
  <c r="X716" i="1"/>
  <c r="W716" i="1"/>
  <c r="V716" i="1"/>
  <c r="U716" i="1"/>
  <c r="X715" i="1"/>
  <c r="W715" i="1"/>
  <c r="V715" i="1"/>
  <c r="U715" i="1"/>
  <c r="X714" i="1"/>
  <c r="W714" i="1"/>
  <c r="V714" i="1"/>
  <c r="U714" i="1"/>
  <c r="X713" i="1"/>
  <c r="W713" i="1"/>
  <c r="V713" i="1"/>
  <c r="U713" i="1"/>
  <c r="X712" i="1"/>
  <c r="W712" i="1"/>
  <c r="V712" i="1"/>
  <c r="U712" i="1"/>
  <c r="X711" i="1"/>
  <c r="W711" i="1"/>
  <c r="V711" i="1"/>
  <c r="U711" i="1"/>
  <c r="X710" i="1"/>
  <c r="W710" i="1"/>
  <c r="V710" i="1"/>
  <c r="U710" i="1"/>
  <c r="X709" i="1"/>
  <c r="W709" i="1"/>
  <c r="V709" i="1"/>
  <c r="U709" i="1"/>
  <c r="X708" i="1"/>
  <c r="W708" i="1"/>
  <c r="V708" i="1"/>
  <c r="U708" i="1"/>
  <c r="X707" i="1"/>
  <c r="W707" i="1"/>
  <c r="V707" i="1"/>
  <c r="U707" i="1"/>
  <c r="X706" i="1"/>
  <c r="W706" i="1"/>
  <c r="V706" i="1"/>
  <c r="U706" i="1"/>
  <c r="X705" i="1"/>
  <c r="W705" i="1"/>
  <c r="V705" i="1"/>
  <c r="U705" i="1"/>
  <c r="X704" i="1"/>
  <c r="W704" i="1"/>
  <c r="V704" i="1"/>
  <c r="U704" i="1"/>
  <c r="X703" i="1"/>
  <c r="W703" i="1"/>
  <c r="V703" i="1"/>
  <c r="U703" i="1"/>
  <c r="X702" i="1"/>
  <c r="W702" i="1"/>
  <c r="V702" i="1"/>
  <c r="U702" i="1"/>
  <c r="X701" i="1"/>
  <c r="W701" i="1"/>
  <c r="V701" i="1"/>
  <c r="U701" i="1"/>
  <c r="X700" i="1"/>
  <c r="W700" i="1"/>
  <c r="V700" i="1"/>
  <c r="U700" i="1"/>
  <c r="X699" i="1"/>
  <c r="W699" i="1"/>
  <c r="V699" i="1"/>
  <c r="U699" i="1"/>
  <c r="X698" i="1"/>
  <c r="W698" i="1"/>
  <c r="V698" i="1"/>
  <c r="U698" i="1"/>
  <c r="X697" i="1"/>
  <c r="W697" i="1"/>
  <c r="V697" i="1"/>
  <c r="U697" i="1"/>
  <c r="X696" i="1"/>
  <c r="W696" i="1"/>
  <c r="V696" i="1"/>
  <c r="U696" i="1"/>
  <c r="X695" i="1"/>
  <c r="W695" i="1"/>
  <c r="V695" i="1"/>
  <c r="U695" i="1"/>
  <c r="X694" i="1"/>
  <c r="W694" i="1"/>
  <c r="V694" i="1"/>
  <c r="U694" i="1"/>
  <c r="X693" i="1"/>
  <c r="W693" i="1"/>
  <c r="V693" i="1"/>
  <c r="U693" i="1"/>
  <c r="X692" i="1"/>
  <c r="W692" i="1"/>
  <c r="V692" i="1"/>
  <c r="U692" i="1"/>
  <c r="X691" i="1"/>
  <c r="W691" i="1"/>
  <c r="V691" i="1"/>
  <c r="U691" i="1"/>
  <c r="X690" i="1"/>
  <c r="W690" i="1"/>
  <c r="V690" i="1"/>
  <c r="U690" i="1"/>
  <c r="X689" i="1"/>
  <c r="W689" i="1"/>
  <c r="V689" i="1"/>
  <c r="U689" i="1"/>
  <c r="X688" i="1"/>
  <c r="W688" i="1"/>
  <c r="V688" i="1"/>
  <c r="U688" i="1"/>
  <c r="X687" i="1"/>
  <c r="W687" i="1"/>
  <c r="V687" i="1"/>
  <c r="U687" i="1"/>
  <c r="X686" i="1"/>
  <c r="W686" i="1"/>
  <c r="V686" i="1"/>
  <c r="U686" i="1"/>
  <c r="X685" i="1"/>
  <c r="W685" i="1"/>
  <c r="V685" i="1"/>
  <c r="U685" i="1"/>
  <c r="X684" i="1"/>
  <c r="W684" i="1"/>
  <c r="V684" i="1"/>
  <c r="U684" i="1"/>
  <c r="X683" i="1"/>
  <c r="W683" i="1"/>
  <c r="V683" i="1"/>
  <c r="U683" i="1"/>
  <c r="X682" i="1"/>
  <c r="W682" i="1"/>
  <c r="V682" i="1"/>
  <c r="U682" i="1"/>
  <c r="X681" i="1"/>
  <c r="W681" i="1"/>
  <c r="V681" i="1"/>
  <c r="U681" i="1"/>
  <c r="X680" i="1"/>
  <c r="W680" i="1"/>
  <c r="V680" i="1"/>
  <c r="U680" i="1"/>
  <c r="X679" i="1"/>
  <c r="W679" i="1"/>
  <c r="V679" i="1"/>
  <c r="U679" i="1"/>
  <c r="X678" i="1"/>
  <c r="W678" i="1"/>
  <c r="V678" i="1"/>
  <c r="U678" i="1"/>
  <c r="X677" i="1"/>
  <c r="W677" i="1"/>
  <c r="V677" i="1"/>
  <c r="U677" i="1"/>
  <c r="X676" i="1"/>
  <c r="W676" i="1"/>
  <c r="V676" i="1"/>
  <c r="U676" i="1"/>
  <c r="X675" i="1"/>
  <c r="W675" i="1"/>
  <c r="V675" i="1"/>
  <c r="U675" i="1"/>
  <c r="X674" i="1"/>
  <c r="W674" i="1"/>
  <c r="V674" i="1"/>
  <c r="U674" i="1"/>
  <c r="X673" i="1"/>
  <c r="W673" i="1"/>
  <c r="V673" i="1"/>
  <c r="U673" i="1"/>
  <c r="X672" i="1"/>
  <c r="W672" i="1"/>
  <c r="V672" i="1"/>
  <c r="U672" i="1"/>
  <c r="X671" i="1"/>
  <c r="W671" i="1"/>
  <c r="V671" i="1"/>
  <c r="U671" i="1"/>
  <c r="X670" i="1"/>
  <c r="W670" i="1"/>
  <c r="V670" i="1"/>
  <c r="U670" i="1"/>
  <c r="X669" i="1"/>
  <c r="W669" i="1"/>
  <c r="V669" i="1"/>
  <c r="U669" i="1"/>
  <c r="X668" i="1"/>
  <c r="W668" i="1"/>
  <c r="V668" i="1"/>
  <c r="U668" i="1"/>
  <c r="X667" i="1"/>
  <c r="W667" i="1"/>
  <c r="V667" i="1"/>
  <c r="U667" i="1"/>
  <c r="X666" i="1"/>
  <c r="W666" i="1"/>
  <c r="V666" i="1"/>
  <c r="U666" i="1"/>
  <c r="X665" i="1"/>
  <c r="W665" i="1"/>
  <c r="V665" i="1"/>
  <c r="U665" i="1"/>
  <c r="X664" i="1"/>
  <c r="W664" i="1"/>
  <c r="V664" i="1"/>
  <c r="U664" i="1"/>
  <c r="X663" i="1"/>
  <c r="W663" i="1"/>
  <c r="V663" i="1"/>
  <c r="U663" i="1"/>
  <c r="X662" i="1"/>
  <c r="W662" i="1"/>
  <c r="V662" i="1"/>
  <c r="U662" i="1"/>
  <c r="X661" i="1"/>
  <c r="W661" i="1"/>
  <c r="V661" i="1"/>
  <c r="U661" i="1"/>
  <c r="X660" i="1"/>
  <c r="W660" i="1"/>
  <c r="V660" i="1"/>
  <c r="U660" i="1"/>
  <c r="X659" i="1"/>
  <c r="W659" i="1"/>
  <c r="V659" i="1"/>
  <c r="U659" i="1"/>
  <c r="X658" i="1"/>
  <c r="W658" i="1"/>
  <c r="V658" i="1"/>
  <c r="U658" i="1"/>
  <c r="X657" i="1"/>
  <c r="W657" i="1"/>
  <c r="V657" i="1"/>
  <c r="U657" i="1"/>
  <c r="X656" i="1"/>
  <c r="W656" i="1"/>
  <c r="V656" i="1"/>
  <c r="U656" i="1"/>
  <c r="X655" i="1"/>
  <c r="W655" i="1"/>
  <c r="V655" i="1"/>
  <c r="U655" i="1"/>
  <c r="X654" i="1"/>
  <c r="W654" i="1"/>
  <c r="V654" i="1"/>
  <c r="U654" i="1"/>
  <c r="X653" i="1"/>
  <c r="W653" i="1"/>
  <c r="V653" i="1"/>
  <c r="U653" i="1"/>
  <c r="X652" i="1"/>
  <c r="W652" i="1"/>
  <c r="V652" i="1"/>
  <c r="U652" i="1"/>
  <c r="X651" i="1"/>
  <c r="W651" i="1"/>
  <c r="V651" i="1"/>
  <c r="U651" i="1"/>
  <c r="X650" i="1"/>
  <c r="W650" i="1"/>
  <c r="V650" i="1"/>
  <c r="U650" i="1"/>
  <c r="X649" i="1"/>
  <c r="W649" i="1"/>
  <c r="V649" i="1"/>
  <c r="U649" i="1"/>
  <c r="X648" i="1"/>
  <c r="W648" i="1"/>
  <c r="V648" i="1"/>
  <c r="U648" i="1"/>
  <c r="X647" i="1"/>
  <c r="W647" i="1"/>
  <c r="V647" i="1"/>
  <c r="U647" i="1"/>
  <c r="X646" i="1"/>
  <c r="W646" i="1"/>
  <c r="V646" i="1"/>
  <c r="U646" i="1"/>
  <c r="X645" i="1"/>
  <c r="W645" i="1"/>
  <c r="V645" i="1"/>
  <c r="U645" i="1"/>
  <c r="X644" i="1"/>
  <c r="W644" i="1"/>
  <c r="V644" i="1"/>
  <c r="U644" i="1"/>
  <c r="X643" i="1"/>
  <c r="W643" i="1"/>
  <c r="V643" i="1"/>
  <c r="U643" i="1"/>
  <c r="X642" i="1"/>
  <c r="W642" i="1"/>
  <c r="V642" i="1"/>
  <c r="U642" i="1"/>
  <c r="X641" i="1"/>
  <c r="W641" i="1"/>
  <c r="V641" i="1"/>
  <c r="U641" i="1"/>
  <c r="X640" i="1"/>
  <c r="W640" i="1"/>
  <c r="V640" i="1"/>
  <c r="U640" i="1"/>
  <c r="X639" i="1"/>
  <c r="W639" i="1"/>
  <c r="V639" i="1"/>
  <c r="U639" i="1"/>
  <c r="X638" i="1"/>
  <c r="W638" i="1"/>
  <c r="V638" i="1"/>
  <c r="U638" i="1"/>
  <c r="X637" i="1"/>
  <c r="W637" i="1"/>
  <c r="V637" i="1"/>
  <c r="U637" i="1"/>
  <c r="X636" i="1"/>
  <c r="W636" i="1"/>
  <c r="V636" i="1"/>
  <c r="U636" i="1"/>
  <c r="X635" i="1"/>
  <c r="W635" i="1"/>
  <c r="V635" i="1"/>
  <c r="U635" i="1"/>
  <c r="X634" i="1"/>
  <c r="W634" i="1"/>
  <c r="V634" i="1"/>
  <c r="U634" i="1"/>
  <c r="X633" i="1"/>
  <c r="W633" i="1"/>
  <c r="V633" i="1"/>
  <c r="U633" i="1"/>
  <c r="X632" i="1"/>
  <c r="W632" i="1"/>
  <c r="V632" i="1"/>
  <c r="U632" i="1"/>
  <c r="X631" i="1"/>
  <c r="W631" i="1"/>
  <c r="V631" i="1"/>
  <c r="U631" i="1"/>
  <c r="X630" i="1"/>
  <c r="W630" i="1"/>
  <c r="V630" i="1"/>
  <c r="U630" i="1"/>
  <c r="X629" i="1"/>
  <c r="W629" i="1"/>
  <c r="V629" i="1"/>
  <c r="U629" i="1"/>
  <c r="X628" i="1"/>
  <c r="W628" i="1"/>
  <c r="V628" i="1"/>
  <c r="U628" i="1"/>
  <c r="X627" i="1"/>
  <c r="W627" i="1"/>
  <c r="V627" i="1"/>
  <c r="U627" i="1"/>
  <c r="X626" i="1"/>
  <c r="W626" i="1"/>
  <c r="V626" i="1"/>
  <c r="U626" i="1"/>
  <c r="X625" i="1"/>
  <c r="W625" i="1"/>
  <c r="V625" i="1"/>
  <c r="U625" i="1"/>
  <c r="X624" i="1"/>
  <c r="W624" i="1"/>
  <c r="V624" i="1"/>
  <c r="U624" i="1"/>
  <c r="X623" i="1"/>
  <c r="W623" i="1"/>
  <c r="V623" i="1"/>
  <c r="U623" i="1"/>
  <c r="X622" i="1"/>
  <c r="W622" i="1"/>
  <c r="V622" i="1"/>
  <c r="U622" i="1"/>
  <c r="X621" i="1"/>
  <c r="W621" i="1"/>
  <c r="V621" i="1"/>
  <c r="U621" i="1"/>
  <c r="X620" i="1"/>
  <c r="W620" i="1"/>
  <c r="V620" i="1"/>
  <c r="U620" i="1"/>
  <c r="X619" i="1"/>
  <c r="W619" i="1"/>
  <c r="V619" i="1"/>
  <c r="U619" i="1"/>
  <c r="X618" i="1"/>
  <c r="W618" i="1"/>
  <c r="V618" i="1"/>
  <c r="U618" i="1"/>
  <c r="X617" i="1"/>
  <c r="W617" i="1"/>
  <c r="V617" i="1"/>
  <c r="U617" i="1"/>
  <c r="X616" i="1"/>
  <c r="W616" i="1"/>
  <c r="V616" i="1"/>
  <c r="U616" i="1"/>
  <c r="X615" i="1"/>
  <c r="W615" i="1"/>
  <c r="V615" i="1"/>
  <c r="U615" i="1"/>
  <c r="X614" i="1"/>
  <c r="W614" i="1"/>
  <c r="V614" i="1"/>
  <c r="U614" i="1"/>
  <c r="X613" i="1"/>
  <c r="W613" i="1"/>
  <c r="V613" i="1"/>
  <c r="U613" i="1"/>
  <c r="X612" i="1"/>
  <c r="W612" i="1"/>
  <c r="V612" i="1"/>
  <c r="U612" i="1"/>
  <c r="X611" i="1"/>
  <c r="W611" i="1"/>
  <c r="V611" i="1"/>
  <c r="U611" i="1"/>
  <c r="X610" i="1"/>
  <c r="W610" i="1"/>
  <c r="V610" i="1"/>
  <c r="U610" i="1"/>
  <c r="X609" i="1"/>
  <c r="W609" i="1"/>
  <c r="V609" i="1"/>
  <c r="U609" i="1"/>
  <c r="X608" i="1"/>
  <c r="W608" i="1"/>
  <c r="V608" i="1"/>
  <c r="U608" i="1"/>
  <c r="X607" i="1"/>
  <c r="W607" i="1"/>
  <c r="V607" i="1"/>
  <c r="U607" i="1"/>
  <c r="X606" i="1"/>
  <c r="W606" i="1"/>
  <c r="V606" i="1"/>
  <c r="U606" i="1"/>
  <c r="X605" i="1"/>
  <c r="W605" i="1"/>
  <c r="V605" i="1"/>
  <c r="U605" i="1"/>
  <c r="X604" i="1"/>
  <c r="W604" i="1"/>
  <c r="V604" i="1"/>
  <c r="U604" i="1"/>
  <c r="X603" i="1"/>
  <c r="W603" i="1"/>
  <c r="V603" i="1"/>
  <c r="U603" i="1"/>
  <c r="X602" i="1"/>
  <c r="W602" i="1"/>
  <c r="V602" i="1"/>
  <c r="U602" i="1"/>
  <c r="X601" i="1"/>
  <c r="W601" i="1"/>
  <c r="V601" i="1"/>
  <c r="U601" i="1"/>
  <c r="X600" i="1"/>
  <c r="W600" i="1"/>
  <c r="V600" i="1"/>
  <c r="U600" i="1"/>
  <c r="X599" i="1"/>
  <c r="W599" i="1"/>
  <c r="V599" i="1"/>
  <c r="U599" i="1"/>
  <c r="X598" i="1"/>
  <c r="W598" i="1"/>
  <c r="V598" i="1"/>
  <c r="U598" i="1"/>
  <c r="X597" i="1"/>
  <c r="W597" i="1"/>
  <c r="V597" i="1"/>
  <c r="U597" i="1"/>
  <c r="X596" i="1"/>
  <c r="W596" i="1"/>
  <c r="V596" i="1"/>
  <c r="U596" i="1"/>
  <c r="X595" i="1"/>
  <c r="W595" i="1"/>
  <c r="V595" i="1"/>
  <c r="U595" i="1"/>
  <c r="X594" i="1"/>
  <c r="W594" i="1"/>
  <c r="V594" i="1"/>
  <c r="U594" i="1"/>
  <c r="X593" i="1"/>
  <c r="W593" i="1"/>
  <c r="V593" i="1"/>
  <c r="U593" i="1"/>
  <c r="X592" i="1"/>
  <c r="W592" i="1"/>
  <c r="V592" i="1"/>
  <c r="U592" i="1"/>
  <c r="X591" i="1"/>
  <c r="W591" i="1"/>
  <c r="V591" i="1"/>
  <c r="U591" i="1"/>
  <c r="X590" i="1"/>
  <c r="W590" i="1"/>
  <c r="V590" i="1"/>
  <c r="U590" i="1"/>
  <c r="X589" i="1"/>
  <c r="W589" i="1"/>
  <c r="V589" i="1"/>
  <c r="U589" i="1"/>
  <c r="X588" i="1"/>
  <c r="W588" i="1"/>
  <c r="V588" i="1"/>
  <c r="U588" i="1"/>
  <c r="X587" i="1"/>
  <c r="W587" i="1"/>
  <c r="V587" i="1"/>
  <c r="U587" i="1"/>
  <c r="X586" i="1"/>
  <c r="W586" i="1"/>
  <c r="V586" i="1"/>
  <c r="U586" i="1"/>
  <c r="X585" i="1"/>
  <c r="W585" i="1"/>
  <c r="V585" i="1"/>
  <c r="U585" i="1"/>
  <c r="X584" i="1"/>
  <c r="W584" i="1"/>
  <c r="V584" i="1"/>
  <c r="U584" i="1"/>
  <c r="X583" i="1"/>
  <c r="W583" i="1"/>
  <c r="V583" i="1"/>
  <c r="U583" i="1"/>
  <c r="X582" i="1"/>
  <c r="W582" i="1"/>
  <c r="V582" i="1"/>
  <c r="U582" i="1"/>
  <c r="X581" i="1"/>
  <c r="W581" i="1"/>
  <c r="V581" i="1"/>
  <c r="U581" i="1"/>
  <c r="X580" i="1"/>
  <c r="W580" i="1"/>
  <c r="V580" i="1"/>
  <c r="U580" i="1"/>
  <c r="X579" i="1"/>
  <c r="W579" i="1"/>
  <c r="V579" i="1"/>
  <c r="U579" i="1"/>
  <c r="X578" i="1"/>
  <c r="W578" i="1"/>
  <c r="V578" i="1"/>
  <c r="U578" i="1"/>
  <c r="X577" i="1"/>
  <c r="W577" i="1"/>
  <c r="V577" i="1"/>
  <c r="U577" i="1"/>
  <c r="X576" i="1"/>
  <c r="W576" i="1"/>
  <c r="V576" i="1"/>
  <c r="U576" i="1"/>
  <c r="X575" i="1"/>
  <c r="W575" i="1"/>
  <c r="V575" i="1"/>
  <c r="U575" i="1"/>
  <c r="X574" i="1"/>
  <c r="W574" i="1"/>
  <c r="V574" i="1"/>
  <c r="U574" i="1"/>
  <c r="X573" i="1"/>
  <c r="W573" i="1"/>
  <c r="V573" i="1"/>
  <c r="U573" i="1"/>
  <c r="X572" i="1"/>
  <c r="W572" i="1"/>
  <c r="V572" i="1"/>
  <c r="U572" i="1"/>
  <c r="X571" i="1"/>
  <c r="W571" i="1"/>
  <c r="V571" i="1"/>
  <c r="U571" i="1"/>
  <c r="X570" i="1"/>
  <c r="W570" i="1"/>
  <c r="V570" i="1"/>
  <c r="U570" i="1"/>
  <c r="X569" i="1"/>
  <c r="W569" i="1"/>
  <c r="V569" i="1"/>
  <c r="U569" i="1"/>
  <c r="X568" i="1"/>
  <c r="W568" i="1"/>
  <c r="V568" i="1"/>
  <c r="U568" i="1"/>
  <c r="X567" i="1"/>
  <c r="W567" i="1"/>
  <c r="V567" i="1"/>
  <c r="U567" i="1"/>
  <c r="X566" i="1"/>
  <c r="W566" i="1"/>
  <c r="V566" i="1"/>
  <c r="U566" i="1"/>
  <c r="X565" i="1"/>
  <c r="W565" i="1"/>
  <c r="V565" i="1"/>
  <c r="U565" i="1"/>
  <c r="X564" i="1"/>
  <c r="W564" i="1"/>
  <c r="V564" i="1"/>
  <c r="U564" i="1"/>
  <c r="X563" i="1"/>
  <c r="W563" i="1"/>
  <c r="V563" i="1"/>
  <c r="U563" i="1"/>
  <c r="X562" i="1"/>
  <c r="W562" i="1"/>
  <c r="V562" i="1"/>
  <c r="U562" i="1"/>
  <c r="X561" i="1"/>
  <c r="W561" i="1"/>
  <c r="V561" i="1"/>
  <c r="U561" i="1"/>
  <c r="X560" i="1"/>
  <c r="W560" i="1"/>
  <c r="V560" i="1"/>
  <c r="U560" i="1"/>
  <c r="X559" i="1"/>
  <c r="W559" i="1"/>
  <c r="V559" i="1"/>
  <c r="U559" i="1"/>
  <c r="X558" i="1"/>
  <c r="W558" i="1"/>
  <c r="V558" i="1"/>
  <c r="U558" i="1"/>
  <c r="X557" i="1"/>
  <c r="W557" i="1"/>
  <c r="V557" i="1"/>
  <c r="U557" i="1"/>
  <c r="X556" i="1"/>
  <c r="W556" i="1"/>
  <c r="V556" i="1"/>
  <c r="U556" i="1"/>
  <c r="X555" i="1"/>
  <c r="W555" i="1"/>
  <c r="V555" i="1"/>
  <c r="U555" i="1"/>
  <c r="X554" i="1"/>
  <c r="W554" i="1"/>
  <c r="V554" i="1"/>
  <c r="U554" i="1"/>
  <c r="X553" i="1"/>
  <c r="W553" i="1"/>
  <c r="V553" i="1"/>
  <c r="U553" i="1"/>
  <c r="X552" i="1"/>
  <c r="W552" i="1"/>
  <c r="V552" i="1"/>
  <c r="U552" i="1"/>
  <c r="X551" i="1"/>
  <c r="W551" i="1"/>
  <c r="V551" i="1"/>
  <c r="U551" i="1"/>
  <c r="X550" i="1"/>
  <c r="W550" i="1"/>
  <c r="V550" i="1"/>
  <c r="U550" i="1"/>
  <c r="X549" i="1"/>
  <c r="W549" i="1"/>
  <c r="V549" i="1"/>
  <c r="U549" i="1"/>
  <c r="X548" i="1"/>
  <c r="W548" i="1"/>
  <c r="V548" i="1"/>
  <c r="U548" i="1"/>
  <c r="X547" i="1"/>
  <c r="W547" i="1"/>
  <c r="V547" i="1"/>
  <c r="U547" i="1"/>
  <c r="X546" i="1"/>
  <c r="W546" i="1"/>
  <c r="V546" i="1"/>
  <c r="U546" i="1"/>
  <c r="X545" i="1"/>
  <c r="W545" i="1"/>
  <c r="V545" i="1"/>
  <c r="U545" i="1"/>
  <c r="X544" i="1"/>
  <c r="W544" i="1"/>
  <c r="V544" i="1"/>
  <c r="U544" i="1"/>
  <c r="X543" i="1"/>
  <c r="W543" i="1"/>
  <c r="V543" i="1"/>
  <c r="U543" i="1"/>
  <c r="X542" i="1"/>
  <c r="W542" i="1"/>
  <c r="V542" i="1"/>
  <c r="U542" i="1"/>
  <c r="X541" i="1"/>
  <c r="W541" i="1"/>
  <c r="V541" i="1"/>
  <c r="U541" i="1"/>
  <c r="X540" i="1"/>
  <c r="W540" i="1"/>
  <c r="V540" i="1"/>
  <c r="U540" i="1"/>
  <c r="X539" i="1"/>
  <c r="W539" i="1"/>
  <c r="V539" i="1"/>
  <c r="U539" i="1"/>
  <c r="X538" i="1"/>
  <c r="W538" i="1"/>
  <c r="V538" i="1"/>
  <c r="U538" i="1"/>
  <c r="X537" i="1"/>
  <c r="W537" i="1"/>
  <c r="V537" i="1"/>
  <c r="U537" i="1"/>
  <c r="X536" i="1"/>
  <c r="W536" i="1"/>
  <c r="V536" i="1"/>
  <c r="U536" i="1"/>
  <c r="X535" i="1"/>
  <c r="W535" i="1"/>
  <c r="V535" i="1"/>
  <c r="U535" i="1"/>
  <c r="X534" i="1"/>
  <c r="W534" i="1"/>
  <c r="V534" i="1"/>
  <c r="U534" i="1"/>
  <c r="X533" i="1"/>
  <c r="W533" i="1"/>
  <c r="V533" i="1"/>
  <c r="U533" i="1"/>
  <c r="X532" i="1"/>
  <c r="W532" i="1"/>
  <c r="V532" i="1"/>
  <c r="U532" i="1"/>
  <c r="X531" i="1"/>
  <c r="W531" i="1"/>
  <c r="V531" i="1"/>
  <c r="U531" i="1"/>
  <c r="X530" i="1"/>
  <c r="W530" i="1"/>
  <c r="V530" i="1"/>
  <c r="U530" i="1"/>
  <c r="X529" i="1"/>
  <c r="W529" i="1"/>
  <c r="V529" i="1"/>
  <c r="U529" i="1"/>
  <c r="X528" i="1"/>
  <c r="W528" i="1"/>
  <c r="V528" i="1"/>
  <c r="U528" i="1"/>
  <c r="X527" i="1"/>
  <c r="W527" i="1"/>
  <c r="V527" i="1"/>
  <c r="U527" i="1"/>
  <c r="X526" i="1"/>
  <c r="W526" i="1"/>
  <c r="V526" i="1"/>
  <c r="U526" i="1"/>
  <c r="X525" i="1"/>
  <c r="W525" i="1"/>
  <c r="V525" i="1"/>
  <c r="U525" i="1"/>
  <c r="X524" i="1"/>
  <c r="W524" i="1"/>
  <c r="V524" i="1"/>
  <c r="U524" i="1"/>
  <c r="X523" i="1"/>
  <c r="W523" i="1"/>
  <c r="V523" i="1"/>
  <c r="U523" i="1"/>
  <c r="X522" i="1"/>
  <c r="W522" i="1"/>
  <c r="V522" i="1"/>
  <c r="U522" i="1"/>
  <c r="X521" i="1"/>
  <c r="W521" i="1"/>
  <c r="V521" i="1"/>
  <c r="U521" i="1"/>
  <c r="X520" i="1"/>
  <c r="W520" i="1"/>
  <c r="V520" i="1"/>
  <c r="U520" i="1"/>
  <c r="X519" i="1"/>
  <c r="W519" i="1"/>
  <c r="V519" i="1"/>
  <c r="U519" i="1"/>
  <c r="X518" i="1"/>
  <c r="W518" i="1"/>
  <c r="V518" i="1"/>
  <c r="U518" i="1"/>
  <c r="X517" i="1"/>
  <c r="W517" i="1"/>
  <c r="V517" i="1"/>
  <c r="U517" i="1"/>
  <c r="X516" i="1"/>
  <c r="W516" i="1"/>
  <c r="V516" i="1"/>
  <c r="U516" i="1"/>
  <c r="X515" i="1"/>
  <c r="W515" i="1"/>
  <c r="V515" i="1"/>
  <c r="U515" i="1"/>
  <c r="X514" i="1"/>
  <c r="W514" i="1"/>
  <c r="V514" i="1"/>
  <c r="U514" i="1"/>
  <c r="X513" i="1"/>
  <c r="W513" i="1"/>
  <c r="V513" i="1"/>
  <c r="U513" i="1"/>
  <c r="X512" i="1"/>
  <c r="W512" i="1"/>
  <c r="V512" i="1"/>
  <c r="U512" i="1"/>
  <c r="X511" i="1"/>
  <c r="W511" i="1"/>
  <c r="V511" i="1"/>
  <c r="U511" i="1"/>
  <c r="X510" i="1"/>
  <c r="W510" i="1"/>
  <c r="V510" i="1"/>
  <c r="U510" i="1"/>
  <c r="X509" i="1"/>
  <c r="W509" i="1"/>
  <c r="V509" i="1"/>
  <c r="U509" i="1"/>
  <c r="X508" i="1"/>
  <c r="W508" i="1"/>
  <c r="V508" i="1"/>
  <c r="U508" i="1"/>
  <c r="X507" i="1"/>
  <c r="W507" i="1"/>
  <c r="V507" i="1"/>
  <c r="U507" i="1"/>
  <c r="X506" i="1"/>
  <c r="W506" i="1"/>
  <c r="V506" i="1"/>
  <c r="U506" i="1"/>
  <c r="X505" i="1"/>
  <c r="W505" i="1"/>
  <c r="V505" i="1"/>
  <c r="U505" i="1"/>
  <c r="X504" i="1"/>
  <c r="W504" i="1"/>
  <c r="V504" i="1"/>
  <c r="U504" i="1"/>
  <c r="X503" i="1"/>
  <c r="W503" i="1"/>
  <c r="V503" i="1"/>
  <c r="U503" i="1"/>
  <c r="X502" i="1"/>
  <c r="W502" i="1"/>
  <c r="V502" i="1"/>
  <c r="U502" i="1"/>
  <c r="X501" i="1"/>
  <c r="W501" i="1"/>
  <c r="V501" i="1"/>
  <c r="U501" i="1"/>
  <c r="X500" i="1"/>
  <c r="W500" i="1"/>
  <c r="V500" i="1"/>
  <c r="U500" i="1"/>
  <c r="X499" i="1"/>
  <c r="W499" i="1"/>
  <c r="V499" i="1"/>
  <c r="U499" i="1"/>
  <c r="X498" i="1"/>
  <c r="W498" i="1"/>
  <c r="V498" i="1"/>
  <c r="U498" i="1"/>
  <c r="X497" i="1"/>
  <c r="W497" i="1"/>
  <c r="V497" i="1"/>
  <c r="U497" i="1"/>
  <c r="X496" i="1"/>
  <c r="W496" i="1"/>
  <c r="V496" i="1"/>
  <c r="U496" i="1"/>
  <c r="X495" i="1"/>
  <c r="W495" i="1"/>
  <c r="V495" i="1"/>
  <c r="U495" i="1"/>
  <c r="X494" i="1"/>
  <c r="W494" i="1"/>
  <c r="V494" i="1"/>
  <c r="U494" i="1"/>
  <c r="X493" i="1"/>
  <c r="W493" i="1"/>
  <c r="V493" i="1"/>
  <c r="U493" i="1"/>
  <c r="X492" i="1"/>
  <c r="W492" i="1"/>
  <c r="V492" i="1"/>
  <c r="U492" i="1"/>
  <c r="X491" i="1"/>
  <c r="W491" i="1"/>
  <c r="V491" i="1"/>
  <c r="U491" i="1"/>
  <c r="X490" i="1"/>
  <c r="W490" i="1"/>
  <c r="V490" i="1"/>
  <c r="U490" i="1"/>
  <c r="X489" i="1"/>
  <c r="W489" i="1"/>
  <c r="V489" i="1"/>
  <c r="U489" i="1"/>
  <c r="X488" i="1"/>
  <c r="W488" i="1"/>
  <c r="V488" i="1"/>
  <c r="U488" i="1"/>
  <c r="X487" i="1"/>
  <c r="W487" i="1"/>
  <c r="V487" i="1"/>
  <c r="U487" i="1"/>
  <c r="X486" i="1"/>
  <c r="W486" i="1"/>
  <c r="V486" i="1"/>
  <c r="U486" i="1"/>
  <c r="X485" i="1"/>
  <c r="W485" i="1"/>
  <c r="V485" i="1"/>
  <c r="U485" i="1"/>
  <c r="X484" i="1"/>
  <c r="W484" i="1"/>
  <c r="V484" i="1"/>
  <c r="U484" i="1"/>
  <c r="X483" i="1"/>
  <c r="W483" i="1"/>
  <c r="V483" i="1"/>
  <c r="U483" i="1"/>
  <c r="X482" i="1"/>
  <c r="W482" i="1"/>
  <c r="V482" i="1"/>
  <c r="U482" i="1"/>
  <c r="X481" i="1"/>
  <c r="W481" i="1"/>
  <c r="V481" i="1"/>
  <c r="U481" i="1"/>
  <c r="X480" i="1"/>
  <c r="W480" i="1"/>
  <c r="V480" i="1"/>
  <c r="U480" i="1"/>
  <c r="X479" i="1"/>
  <c r="W479" i="1"/>
  <c r="V479" i="1"/>
  <c r="U479" i="1"/>
  <c r="X478" i="1"/>
  <c r="W478" i="1"/>
  <c r="V478" i="1"/>
  <c r="U478" i="1"/>
  <c r="X477" i="1"/>
  <c r="W477" i="1"/>
  <c r="V477" i="1"/>
  <c r="U477" i="1"/>
  <c r="X476" i="1"/>
  <c r="W476" i="1"/>
  <c r="V476" i="1"/>
  <c r="U476" i="1"/>
  <c r="X475" i="1"/>
  <c r="W475" i="1"/>
  <c r="V475" i="1"/>
  <c r="U475" i="1"/>
  <c r="X474" i="1"/>
  <c r="W474" i="1"/>
  <c r="V474" i="1"/>
  <c r="U474" i="1"/>
  <c r="X473" i="1"/>
  <c r="W473" i="1"/>
  <c r="V473" i="1"/>
  <c r="U473" i="1"/>
  <c r="X472" i="1"/>
  <c r="W472" i="1"/>
  <c r="V472" i="1"/>
  <c r="U472" i="1"/>
  <c r="X471" i="1"/>
  <c r="W471" i="1"/>
  <c r="V471" i="1"/>
  <c r="U471" i="1"/>
  <c r="X470" i="1"/>
  <c r="W470" i="1"/>
  <c r="V470" i="1"/>
  <c r="U470" i="1"/>
  <c r="X469" i="1"/>
  <c r="W469" i="1"/>
  <c r="V469" i="1"/>
  <c r="U469" i="1"/>
  <c r="X468" i="1"/>
  <c r="W468" i="1"/>
  <c r="V468" i="1"/>
  <c r="U468" i="1"/>
  <c r="X467" i="1"/>
  <c r="W467" i="1"/>
  <c r="V467" i="1"/>
  <c r="U467" i="1"/>
  <c r="X466" i="1"/>
  <c r="W466" i="1"/>
  <c r="V466" i="1"/>
  <c r="U466" i="1"/>
  <c r="X465" i="1"/>
  <c r="W465" i="1"/>
  <c r="V465" i="1"/>
  <c r="U465" i="1"/>
  <c r="X464" i="1"/>
  <c r="W464" i="1"/>
  <c r="V464" i="1"/>
  <c r="U464" i="1"/>
  <c r="X463" i="1"/>
  <c r="W463" i="1"/>
  <c r="V463" i="1"/>
  <c r="U463" i="1"/>
  <c r="X462" i="1"/>
  <c r="W462" i="1"/>
  <c r="V462" i="1"/>
  <c r="U462" i="1"/>
  <c r="X461" i="1"/>
  <c r="W461" i="1"/>
  <c r="V461" i="1"/>
  <c r="U461" i="1"/>
  <c r="X460" i="1"/>
  <c r="W460" i="1"/>
  <c r="V460" i="1"/>
  <c r="U460" i="1"/>
  <c r="X459" i="1"/>
  <c r="W459" i="1"/>
  <c r="V459" i="1"/>
  <c r="U459" i="1"/>
  <c r="X458" i="1"/>
  <c r="W458" i="1"/>
  <c r="V458" i="1"/>
  <c r="U458" i="1"/>
  <c r="X457" i="1"/>
  <c r="W457" i="1"/>
  <c r="V457" i="1"/>
  <c r="U457" i="1"/>
  <c r="X456" i="1"/>
  <c r="W456" i="1"/>
  <c r="V456" i="1"/>
  <c r="U456" i="1"/>
  <c r="X455" i="1"/>
  <c r="W455" i="1"/>
  <c r="V455" i="1"/>
  <c r="U455" i="1"/>
  <c r="X454" i="1"/>
  <c r="W454" i="1"/>
  <c r="V454" i="1"/>
  <c r="U454" i="1"/>
  <c r="X453" i="1"/>
  <c r="W453" i="1"/>
  <c r="V453" i="1"/>
  <c r="U453" i="1"/>
  <c r="X452" i="1"/>
  <c r="W452" i="1"/>
  <c r="V452" i="1"/>
  <c r="U452" i="1"/>
  <c r="X451" i="1"/>
  <c r="W451" i="1"/>
  <c r="V451" i="1"/>
  <c r="U451" i="1"/>
  <c r="X450" i="1"/>
  <c r="W450" i="1"/>
  <c r="V450" i="1"/>
  <c r="U450" i="1"/>
  <c r="X449" i="1"/>
  <c r="W449" i="1"/>
  <c r="V449" i="1"/>
  <c r="U449" i="1"/>
  <c r="X448" i="1"/>
  <c r="W448" i="1"/>
  <c r="V448" i="1"/>
  <c r="U448" i="1"/>
  <c r="X447" i="1"/>
  <c r="W447" i="1"/>
  <c r="V447" i="1"/>
  <c r="U447" i="1"/>
  <c r="X446" i="1"/>
  <c r="W446" i="1"/>
  <c r="V446" i="1"/>
  <c r="U446" i="1"/>
  <c r="X445" i="1"/>
  <c r="W445" i="1"/>
  <c r="V445" i="1"/>
  <c r="U445" i="1"/>
  <c r="X444" i="1"/>
  <c r="W444" i="1"/>
  <c r="V444" i="1"/>
  <c r="U444" i="1"/>
  <c r="X443" i="1"/>
  <c r="W443" i="1"/>
  <c r="V443" i="1"/>
  <c r="U443" i="1"/>
  <c r="X442" i="1"/>
  <c r="W442" i="1"/>
  <c r="V442" i="1"/>
  <c r="U442" i="1"/>
  <c r="X441" i="1"/>
  <c r="W441" i="1"/>
  <c r="V441" i="1"/>
  <c r="U441" i="1"/>
  <c r="X440" i="1"/>
  <c r="W440" i="1"/>
  <c r="V440" i="1"/>
  <c r="U440" i="1"/>
  <c r="X439" i="1"/>
  <c r="W439" i="1"/>
  <c r="V439" i="1"/>
  <c r="U439" i="1"/>
  <c r="X438" i="1"/>
  <c r="W438" i="1"/>
  <c r="V438" i="1"/>
  <c r="U438" i="1"/>
  <c r="X437" i="1"/>
  <c r="W437" i="1"/>
  <c r="V437" i="1"/>
  <c r="U437" i="1"/>
  <c r="X436" i="1"/>
  <c r="W436" i="1"/>
  <c r="V436" i="1"/>
  <c r="U436" i="1"/>
  <c r="X435" i="1"/>
  <c r="W435" i="1"/>
  <c r="V435" i="1"/>
  <c r="U435" i="1"/>
  <c r="X434" i="1"/>
  <c r="W434" i="1"/>
  <c r="V434" i="1"/>
  <c r="U434" i="1"/>
  <c r="X433" i="1"/>
  <c r="W433" i="1"/>
  <c r="V433" i="1"/>
  <c r="U433" i="1"/>
  <c r="X432" i="1"/>
  <c r="W432" i="1"/>
  <c r="V432" i="1"/>
  <c r="U432" i="1"/>
  <c r="X431" i="1"/>
  <c r="W431" i="1"/>
  <c r="V431" i="1"/>
  <c r="U431" i="1"/>
  <c r="X430" i="1"/>
  <c r="W430" i="1"/>
  <c r="V430" i="1"/>
  <c r="U430" i="1"/>
  <c r="X429" i="1"/>
  <c r="W429" i="1"/>
  <c r="V429" i="1"/>
  <c r="U429" i="1"/>
  <c r="X428" i="1"/>
  <c r="W428" i="1"/>
  <c r="V428" i="1"/>
  <c r="U428" i="1"/>
  <c r="X427" i="1"/>
  <c r="W427" i="1"/>
  <c r="V427" i="1"/>
  <c r="U427" i="1"/>
  <c r="X426" i="1"/>
  <c r="W426" i="1"/>
  <c r="V426" i="1"/>
  <c r="U426" i="1"/>
  <c r="X425" i="1"/>
  <c r="W425" i="1"/>
  <c r="V425" i="1"/>
  <c r="U425" i="1"/>
  <c r="X424" i="1"/>
  <c r="W424" i="1"/>
  <c r="V424" i="1"/>
  <c r="U424" i="1"/>
  <c r="X423" i="1"/>
  <c r="W423" i="1"/>
  <c r="V423" i="1"/>
  <c r="U423" i="1"/>
  <c r="X422" i="1"/>
  <c r="W422" i="1"/>
  <c r="V422" i="1"/>
  <c r="U422" i="1"/>
  <c r="X421" i="1"/>
  <c r="W421" i="1"/>
  <c r="V421" i="1"/>
  <c r="U421" i="1"/>
  <c r="X420" i="1"/>
  <c r="W420" i="1"/>
  <c r="V420" i="1"/>
  <c r="U420" i="1"/>
  <c r="X419" i="1"/>
  <c r="W419" i="1"/>
  <c r="V419" i="1"/>
  <c r="U419" i="1"/>
  <c r="X418" i="1"/>
  <c r="W418" i="1"/>
  <c r="V418" i="1"/>
  <c r="U418" i="1"/>
  <c r="X417" i="1"/>
  <c r="W417" i="1"/>
  <c r="V417" i="1"/>
  <c r="U417" i="1"/>
  <c r="X416" i="1"/>
  <c r="W416" i="1"/>
  <c r="V416" i="1"/>
  <c r="U416" i="1"/>
  <c r="X415" i="1"/>
  <c r="W415" i="1"/>
  <c r="V415" i="1"/>
  <c r="U415" i="1"/>
  <c r="X414" i="1"/>
  <c r="W414" i="1"/>
  <c r="V414" i="1"/>
  <c r="U414" i="1"/>
  <c r="X413" i="1"/>
  <c r="W413" i="1"/>
  <c r="V413" i="1"/>
  <c r="U413" i="1"/>
  <c r="X412" i="1"/>
  <c r="W412" i="1"/>
  <c r="V412" i="1"/>
  <c r="U412" i="1"/>
  <c r="X411" i="1"/>
  <c r="W411" i="1"/>
  <c r="V411" i="1"/>
  <c r="U411" i="1"/>
  <c r="X410" i="1"/>
  <c r="W410" i="1"/>
  <c r="V410" i="1"/>
  <c r="U410" i="1"/>
  <c r="X409" i="1"/>
  <c r="W409" i="1"/>
  <c r="V409" i="1"/>
  <c r="U409" i="1"/>
  <c r="X408" i="1"/>
  <c r="W408" i="1"/>
  <c r="V408" i="1"/>
  <c r="U408" i="1"/>
  <c r="X407" i="1"/>
  <c r="W407" i="1"/>
  <c r="V407" i="1"/>
  <c r="U407" i="1"/>
  <c r="X406" i="1"/>
  <c r="W406" i="1"/>
  <c r="V406" i="1"/>
  <c r="U406" i="1"/>
  <c r="X405" i="1"/>
  <c r="W405" i="1"/>
  <c r="V405" i="1"/>
  <c r="U405" i="1"/>
  <c r="X404" i="1"/>
  <c r="W404" i="1"/>
  <c r="V404" i="1"/>
  <c r="U404" i="1"/>
  <c r="X403" i="1"/>
  <c r="W403" i="1"/>
  <c r="V403" i="1"/>
  <c r="U403" i="1"/>
  <c r="X402" i="1"/>
  <c r="W402" i="1"/>
  <c r="V402" i="1"/>
  <c r="U402" i="1"/>
  <c r="X401" i="1"/>
  <c r="W401" i="1"/>
  <c r="V401" i="1"/>
  <c r="U401" i="1"/>
  <c r="X400" i="1"/>
  <c r="W400" i="1"/>
  <c r="V400" i="1"/>
  <c r="U400" i="1"/>
  <c r="X399" i="1"/>
  <c r="W399" i="1"/>
  <c r="V399" i="1"/>
  <c r="U399" i="1"/>
  <c r="X398" i="1"/>
  <c r="W398" i="1"/>
  <c r="V398" i="1"/>
  <c r="U398" i="1"/>
  <c r="X397" i="1"/>
  <c r="W397" i="1"/>
  <c r="V397" i="1"/>
  <c r="U397" i="1"/>
  <c r="X396" i="1"/>
  <c r="W396" i="1"/>
  <c r="V396" i="1"/>
  <c r="U396" i="1"/>
  <c r="X395" i="1"/>
  <c r="W395" i="1"/>
  <c r="V395" i="1"/>
  <c r="U395" i="1"/>
  <c r="X394" i="1"/>
  <c r="W394" i="1"/>
  <c r="V394" i="1"/>
  <c r="U394" i="1"/>
  <c r="X393" i="1"/>
  <c r="W393" i="1"/>
  <c r="V393" i="1"/>
  <c r="U393" i="1"/>
  <c r="X392" i="1"/>
  <c r="W392" i="1"/>
  <c r="V392" i="1"/>
  <c r="U392" i="1"/>
  <c r="X391" i="1"/>
  <c r="W391" i="1"/>
  <c r="V391" i="1"/>
  <c r="U391" i="1"/>
  <c r="X390" i="1"/>
  <c r="W390" i="1"/>
  <c r="V390" i="1"/>
  <c r="U390" i="1"/>
  <c r="X389" i="1"/>
  <c r="W389" i="1"/>
  <c r="V389" i="1"/>
  <c r="U389" i="1"/>
  <c r="X388" i="1"/>
  <c r="W388" i="1"/>
  <c r="V388" i="1"/>
  <c r="U388" i="1"/>
  <c r="X387" i="1"/>
  <c r="W387" i="1"/>
  <c r="V387" i="1"/>
  <c r="U387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X374" i="1"/>
  <c r="W374" i="1"/>
  <c r="V374" i="1"/>
  <c r="U374" i="1"/>
  <c r="X373" i="1"/>
  <c r="W373" i="1"/>
  <c r="V373" i="1"/>
  <c r="U373" i="1"/>
  <c r="X372" i="1"/>
  <c r="W372" i="1"/>
  <c r="V372" i="1"/>
  <c r="U372" i="1"/>
  <c r="X371" i="1"/>
  <c r="W371" i="1"/>
  <c r="V371" i="1"/>
  <c r="U371" i="1"/>
  <c r="X370" i="1"/>
  <c r="W370" i="1"/>
  <c r="V370" i="1"/>
  <c r="U370" i="1"/>
  <c r="X369" i="1"/>
  <c r="W369" i="1"/>
  <c r="V369" i="1"/>
  <c r="U369" i="1"/>
  <c r="X368" i="1"/>
  <c r="W368" i="1"/>
  <c r="V368" i="1"/>
  <c r="U368" i="1"/>
  <c r="X367" i="1"/>
  <c r="W367" i="1"/>
  <c r="V367" i="1"/>
  <c r="U367" i="1"/>
  <c r="X366" i="1"/>
  <c r="W366" i="1"/>
  <c r="V366" i="1"/>
  <c r="U366" i="1"/>
  <c r="X365" i="1"/>
  <c r="W365" i="1"/>
  <c r="V365" i="1"/>
  <c r="U365" i="1"/>
  <c r="X364" i="1"/>
  <c r="W364" i="1"/>
  <c r="V364" i="1"/>
  <c r="U364" i="1"/>
  <c r="X363" i="1"/>
  <c r="W363" i="1"/>
  <c r="V363" i="1"/>
  <c r="U363" i="1"/>
  <c r="X362" i="1"/>
  <c r="W362" i="1"/>
  <c r="V362" i="1"/>
  <c r="U362" i="1"/>
  <c r="X361" i="1"/>
  <c r="W361" i="1"/>
  <c r="V361" i="1"/>
  <c r="U361" i="1"/>
  <c r="X360" i="1"/>
  <c r="W360" i="1"/>
  <c r="V360" i="1"/>
  <c r="U360" i="1"/>
  <c r="X359" i="1"/>
  <c r="W359" i="1"/>
  <c r="V359" i="1"/>
  <c r="U359" i="1"/>
  <c r="X358" i="1"/>
  <c r="W358" i="1"/>
  <c r="V358" i="1"/>
  <c r="U358" i="1"/>
  <c r="X357" i="1"/>
  <c r="W357" i="1"/>
  <c r="V357" i="1"/>
  <c r="U357" i="1"/>
  <c r="X356" i="1"/>
  <c r="W356" i="1"/>
  <c r="V356" i="1"/>
  <c r="U356" i="1"/>
  <c r="X355" i="1"/>
  <c r="W355" i="1"/>
  <c r="V355" i="1"/>
  <c r="U355" i="1"/>
  <c r="X354" i="1"/>
  <c r="W354" i="1"/>
  <c r="V354" i="1"/>
  <c r="U354" i="1"/>
  <c r="X353" i="1"/>
  <c r="W353" i="1"/>
  <c r="V353" i="1"/>
  <c r="U353" i="1"/>
  <c r="X352" i="1"/>
  <c r="W352" i="1"/>
  <c r="V352" i="1"/>
  <c r="U352" i="1"/>
  <c r="X351" i="1"/>
  <c r="W351" i="1"/>
  <c r="V351" i="1"/>
  <c r="U351" i="1"/>
  <c r="X350" i="1"/>
  <c r="W350" i="1"/>
  <c r="V350" i="1"/>
  <c r="U350" i="1"/>
  <c r="X349" i="1"/>
  <c r="W349" i="1"/>
  <c r="V349" i="1"/>
  <c r="U349" i="1"/>
  <c r="X348" i="1"/>
  <c r="W348" i="1"/>
  <c r="V348" i="1"/>
  <c r="U348" i="1"/>
  <c r="X347" i="1"/>
  <c r="W347" i="1"/>
  <c r="V347" i="1"/>
  <c r="U347" i="1"/>
  <c r="X346" i="1"/>
  <c r="W346" i="1"/>
  <c r="V346" i="1"/>
  <c r="U346" i="1"/>
  <c r="X345" i="1"/>
  <c r="W345" i="1"/>
  <c r="V345" i="1"/>
  <c r="U345" i="1"/>
  <c r="X344" i="1"/>
  <c r="W344" i="1"/>
  <c r="V344" i="1"/>
  <c r="U344" i="1"/>
  <c r="X343" i="1"/>
  <c r="W343" i="1"/>
  <c r="V343" i="1"/>
  <c r="U343" i="1"/>
  <c r="X342" i="1"/>
  <c r="W342" i="1"/>
  <c r="V342" i="1"/>
  <c r="U342" i="1"/>
  <c r="X341" i="1"/>
  <c r="W341" i="1"/>
  <c r="V341" i="1"/>
  <c r="U341" i="1"/>
  <c r="X340" i="1"/>
  <c r="W340" i="1"/>
  <c r="V340" i="1"/>
  <c r="U340" i="1"/>
  <c r="X339" i="1"/>
  <c r="W339" i="1"/>
  <c r="V339" i="1"/>
  <c r="U339" i="1"/>
  <c r="X338" i="1"/>
  <c r="W338" i="1"/>
  <c r="V338" i="1"/>
  <c r="U338" i="1"/>
  <c r="X337" i="1"/>
  <c r="W337" i="1"/>
  <c r="V337" i="1"/>
  <c r="U337" i="1"/>
  <c r="X336" i="1"/>
  <c r="W336" i="1"/>
  <c r="V336" i="1"/>
  <c r="U336" i="1"/>
  <c r="X335" i="1"/>
  <c r="W335" i="1"/>
  <c r="V335" i="1"/>
  <c r="U335" i="1"/>
  <c r="X334" i="1"/>
  <c r="W334" i="1"/>
  <c r="V334" i="1"/>
  <c r="U334" i="1"/>
  <c r="X333" i="1"/>
  <c r="W333" i="1"/>
  <c r="V333" i="1"/>
  <c r="U333" i="1"/>
  <c r="X332" i="1"/>
  <c r="W332" i="1"/>
  <c r="V332" i="1"/>
  <c r="U332" i="1"/>
  <c r="X331" i="1"/>
  <c r="W331" i="1"/>
  <c r="V331" i="1"/>
  <c r="U331" i="1"/>
  <c r="X330" i="1"/>
  <c r="W330" i="1"/>
  <c r="V330" i="1"/>
  <c r="U330" i="1"/>
  <c r="X329" i="1"/>
  <c r="W329" i="1"/>
  <c r="V329" i="1"/>
  <c r="U329" i="1"/>
  <c r="X328" i="1"/>
  <c r="W328" i="1"/>
  <c r="V328" i="1"/>
  <c r="U328" i="1"/>
  <c r="X327" i="1"/>
  <c r="W327" i="1"/>
  <c r="V327" i="1"/>
  <c r="U327" i="1"/>
  <c r="X326" i="1"/>
  <c r="W326" i="1"/>
  <c r="V326" i="1"/>
  <c r="U326" i="1"/>
  <c r="X325" i="1"/>
  <c r="W325" i="1"/>
  <c r="V325" i="1"/>
  <c r="U325" i="1"/>
  <c r="X324" i="1"/>
  <c r="W324" i="1"/>
  <c r="V324" i="1"/>
  <c r="U324" i="1"/>
  <c r="X323" i="1"/>
  <c r="W323" i="1"/>
  <c r="V323" i="1"/>
  <c r="U323" i="1"/>
  <c r="X322" i="1"/>
  <c r="W322" i="1"/>
  <c r="V322" i="1"/>
  <c r="U322" i="1"/>
  <c r="X321" i="1"/>
  <c r="W321" i="1"/>
  <c r="V321" i="1"/>
  <c r="U321" i="1"/>
  <c r="X320" i="1"/>
  <c r="W320" i="1"/>
  <c r="V320" i="1"/>
  <c r="U320" i="1"/>
  <c r="X319" i="1"/>
  <c r="W319" i="1"/>
  <c r="V319" i="1"/>
  <c r="U319" i="1"/>
  <c r="X318" i="1"/>
  <c r="W318" i="1"/>
  <c r="V318" i="1"/>
  <c r="U318" i="1"/>
  <c r="X317" i="1"/>
  <c r="W317" i="1"/>
  <c r="V317" i="1"/>
  <c r="U317" i="1"/>
  <c r="X316" i="1"/>
  <c r="W316" i="1"/>
  <c r="V316" i="1"/>
  <c r="U316" i="1"/>
  <c r="X315" i="1"/>
  <c r="W315" i="1"/>
  <c r="V315" i="1"/>
  <c r="U315" i="1"/>
  <c r="X314" i="1"/>
  <c r="W314" i="1"/>
  <c r="V314" i="1"/>
  <c r="U314" i="1"/>
  <c r="X313" i="1"/>
  <c r="W313" i="1"/>
  <c r="V313" i="1"/>
  <c r="U313" i="1"/>
  <c r="X312" i="1"/>
  <c r="W312" i="1"/>
  <c r="V312" i="1"/>
  <c r="U312" i="1"/>
  <c r="X311" i="1"/>
  <c r="W311" i="1"/>
  <c r="V311" i="1"/>
  <c r="U311" i="1"/>
  <c r="X310" i="1"/>
  <c r="W310" i="1"/>
  <c r="V310" i="1"/>
  <c r="U310" i="1"/>
  <c r="X309" i="1"/>
  <c r="W309" i="1"/>
  <c r="V309" i="1"/>
  <c r="U309" i="1"/>
  <c r="X308" i="1"/>
  <c r="W308" i="1"/>
  <c r="V308" i="1"/>
  <c r="U308" i="1"/>
  <c r="X307" i="1"/>
  <c r="W307" i="1"/>
  <c r="V307" i="1"/>
  <c r="U307" i="1"/>
  <c r="X306" i="1"/>
  <c r="W306" i="1"/>
  <c r="V306" i="1"/>
  <c r="U306" i="1"/>
  <c r="X305" i="1"/>
  <c r="W305" i="1"/>
  <c r="V305" i="1"/>
  <c r="U305" i="1"/>
  <c r="X304" i="1"/>
  <c r="W304" i="1"/>
  <c r="V304" i="1"/>
  <c r="U304" i="1"/>
  <c r="X303" i="1"/>
  <c r="W303" i="1"/>
  <c r="V303" i="1"/>
  <c r="U303" i="1"/>
  <c r="X302" i="1"/>
  <c r="W302" i="1"/>
  <c r="V302" i="1"/>
  <c r="U302" i="1"/>
  <c r="X301" i="1"/>
  <c r="W301" i="1"/>
  <c r="V301" i="1"/>
  <c r="U301" i="1"/>
  <c r="X300" i="1"/>
  <c r="W300" i="1"/>
  <c r="V300" i="1"/>
  <c r="U300" i="1"/>
  <c r="X299" i="1"/>
  <c r="W299" i="1"/>
  <c r="V299" i="1"/>
  <c r="U299" i="1"/>
  <c r="X298" i="1"/>
  <c r="W298" i="1"/>
  <c r="V298" i="1"/>
  <c r="U298" i="1"/>
  <c r="X297" i="1"/>
  <c r="W297" i="1"/>
  <c r="V297" i="1"/>
  <c r="U297" i="1"/>
  <c r="X296" i="1"/>
  <c r="W296" i="1"/>
  <c r="V296" i="1"/>
  <c r="U296" i="1"/>
  <c r="X295" i="1"/>
  <c r="W295" i="1"/>
  <c r="V295" i="1"/>
  <c r="U295" i="1"/>
  <c r="X294" i="1"/>
  <c r="W294" i="1"/>
  <c r="V294" i="1"/>
  <c r="U294" i="1"/>
  <c r="X293" i="1"/>
  <c r="W293" i="1"/>
  <c r="V293" i="1"/>
  <c r="U293" i="1"/>
  <c r="X292" i="1"/>
  <c r="W292" i="1"/>
  <c r="V292" i="1"/>
  <c r="U292" i="1"/>
  <c r="X291" i="1"/>
  <c r="W291" i="1"/>
  <c r="V291" i="1"/>
  <c r="U291" i="1"/>
  <c r="X290" i="1"/>
  <c r="W290" i="1"/>
  <c r="V290" i="1"/>
  <c r="U290" i="1"/>
  <c r="X289" i="1"/>
  <c r="W289" i="1"/>
  <c r="V289" i="1"/>
  <c r="U289" i="1"/>
  <c r="X288" i="1"/>
  <c r="W288" i="1"/>
  <c r="V288" i="1"/>
  <c r="U288" i="1"/>
  <c r="X287" i="1"/>
  <c r="W287" i="1"/>
  <c r="V287" i="1"/>
  <c r="U287" i="1"/>
  <c r="X286" i="1"/>
  <c r="W286" i="1"/>
  <c r="V286" i="1"/>
  <c r="U286" i="1"/>
  <c r="X285" i="1"/>
  <c r="W285" i="1"/>
  <c r="V285" i="1"/>
  <c r="U285" i="1"/>
  <c r="X284" i="1"/>
  <c r="W284" i="1"/>
  <c r="V284" i="1"/>
  <c r="U284" i="1"/>
  <c r="X283" i="1"/>
  <c r="W283" i="1"/>
  <c r="V283" i="1"/>
  <c r="U283" i="1"/>
  <c r="X282" i="1"/>
  <c r="W282" i="1"/>
  <c r="V282" i="1"/>
  <c r="U282" i="1"/>
  <c r="X281" i="1"/>
  <c r="W281" i="1"/>
  <c r="V281" i="1"/>
  <c r="U281" i="1"/>
  <c r="X280" i="1"/>
  <c r="W280" i="1"/>
  <c r="V280" i="1"/>
  <c r="U280" i="1"/>
  <c r="X279" i="1"/>
  <c r="W279" i="1"/>
  <c r="V279" i="1"/>
  <c r="U279" i="1"/>
  <c r="X278" i="1"/>
  <c r="W278" i="1"/>
  <c r="V278" i="1"/>
  <c r="U278" i="1"/>
  <c r="X277" i="1"/>
  <c r="W277" i="1"/>
  <c r="V277" i="1"/>
  <c r="U277" i="1"/>
  <c r="X276" i="1"/>
  <c r="W276" i="1"/>
  <c r="V276" i="1"/>
  <c r="U276" i="1"/>
  <c r="X275" i="1"/>
  <c r="W275" i="1"/>
  <c r="V275" i="1"/>
  <c r="U275" i="1"/>
  <c r="X274" i="1"/>
  <c r="W274" i="1"/>
  <c r="V274" i="1"/>
  <c r="U274" i="1"/>
  <c r="X273" i="1"/>
  <c r="W273" i="1"/>
  <c r="V273" i="1"/>
  <c r="U273" i="1"/>
  <c r="X272" i="1"/>
  <c r="W272" i="1"/>
  <c r="V272" i="1"/>
  <c r="U272" i="1"/>
  <c r="X271" i="1"/>
  <c r="W271" i="1"/>
  <c r="V271" i="1"/>
  <c r="U271" i="1"/>
  <c r="X270" i="1"/>
  <c r="W270" i="1"/>
  <c r="V270" i="1"/>
  <c r="U270" i="1"/>
  <c r="X269" i="1"/>
  <c r="W269" i="1"/>
  <c r="V269" i="1"/>
  <c r="U269" i="1"/>
  <c r="X268" i="1"/>
  <c r="W268" i="1"/>
  <c r="V268" i="1"/>
  <c r="U268" i="1"/>
  <c r="X267" i="1"/>
  <c r="W267" i="1"/>
  <c r="V267" i="1"/>
  <c r="U267" i="1"/>
  <c r="X266" i="1"/>
  <c r="W266" i="1"/>
  <c r="V266" i="1"/>
  <c r="U266" i="1"/>
  <c r="X265" i="1"/>
  <c r="W265" i="1"/>
  <c r="V265" i="1"/>
  <c r="U265" i="1"/>
  <c r="X264" i="1"/>
  <c r="W264" i="1"/>
  <c r="V264" i="1"/>
  <c r="U264" i="1"/>
  <c r="X263" i="1"/>
  <c r="W263" i="1"/>
  <c r="V263" i="1"/>
  <c r="U263" i="1"/>
  <c r="X262" i="1"/>
  <c r="W262" i="1"/>
  <c r="V262" i="1"/>
  <c r="U262" i="1"/>
  <c r="X261" i="1"/>
  <c r="W261" i="1"/>
  <c r="V261" i="1"/>
  <c r="U261" i="1"/>
  <c r="X260" i="1"/>
  <c r="W260" i="1"/>
  <c r="V260" i="1"/>
  <c r="U260" i="1"/>
  <c r="X259" i="1"/>
  <c r="W259" i="1"/>
  <c r="V259" i="1"/>
  <c r="U259" i="1"/>
  <c r="X258" i="1"/>
  <c r="W258" i="1"/>
  <c r="V258" i="1"/>
  <c r="U258" i="1"/>
  <c r="X257" i="1"/>
  <c r="W257" i="1"/>
  <c r="V257" i="1"/>
  <c r="U257" i="1"/>
  <c r="X256" i="1"/>
  <c r="W256" i="1"/>
  <c r="V256" i="1"/>
  <c r="U256" i="1"/>
  <c r="X255" i="1"/>
  <c r="W255" i="1"/>
  <c r="V255" i="1"/>
  <c r="U255" i="1"/>
  <c r="X254" i="1"/>
  <c r="W254" i="1"/>
  <c r="V254" i="1"/>
  <c r="U254" i="1"/>
  <c r="X253" i="1"/>
  <c r="W253" i="1"/>
  <c r="V253" i="1"/>
  <c r="U253" i="1"/>
  <c r="X252" i="1"/>
  <c r="W252" i="1"/>
  <c r="V252" i="1"/>
  <c r="U252" i="1"/>
  <c r="X251" i="1"/>
  <c r="W251" i="1"/>
  <c r="V251" i="1"/>
  <c r="U251" i="1"/>
  <c r="X250" i="1"/>
  <c r="W250" i="1"/>
  <c r="V250" i="1"/>
  <c r="U250" i="1"/>
  <c r="X249" i="1"/>
  <c r="W249" i="1"/>
  <c r="V249" i="1"/>
  <c r="U249" i="1"/>
  <c r="X248" i="1"/>
  <c r="W248" i="1"/>
  <c r="V248" i="1"/>
  <c r="U248" i="1"/>
  <c r="X247" i="1"/>
  <c r="W247" i="1"/>
  <c r="V247" i="1"/>
  <c r="U247" i="1"/>
  <c r="X246" i="1"/>
  <c r="W246" i="1"/>
  <c r="V246" i="1"/>
  <c r="U246" i="1"/>
  <c r="X245" i="1"/>
  <c r="W245" i="1"/>
  <c r="V245" i="1"/>
  <c r="U245" i="1"/>
  <c r="X244" i="1"/>
  <c r="W244" i="1"/>
  <c r="V244" i="1"/>
  <c r="U244" i="1"/>
  <c r="X243" i="1"/>
  <c r="W243" i="1"/>
  <c r="V243" i="1"/>
  <c r="U243" i="1"/>
  <c r="X242" i="1"/>
  <c r="W242" i="1"/>
  <c r="V242" i="1"/>
  <c r="U242" i="1"/>
  <c r="X241" i="1"/>
  <c r="W241" i="1"/>
  <c r="V241" i="1"/>
  <c r="U241" i="1"/>
  <c r="X240" i="1"/>
  <c r="W240" i="1"/>
  <c r="V240" i="1"/>
  <c r="U240" i="1"/>
  <c r="X239" i="1"/>
  <c r="W239" i="1"/>
  <c r="V239" i="1"/>
  <c r="U239" i="1"/>
  <c r="X238" i="1"/>
  <c r="W238" i="1"/>
  <c r="V238" i="1"/>
  <c r="U238" i="1"/>
  <c r="X237" i="1"/>
  <c r="W237" i="1"/>
  <c r="V237" i="1"/>
  <c r="U237" i="1"/>
  <c r="X236" i="1"/>
  <c r="W236" i="1"/>
  <c r="V236" i="1"/>
  <c r="U236" i="1"/>
  <c r="X235" i="1"/>
  <c r="W235" i="1"/>
  <c r="V235" i="1"/>
  <c r="U235" i="1"/>
  <c r="X234" i="1"/>
  <c r="W234" i="1"/>
  <c r="V234" i="1"/>
  <c r="U234" i="1"/>
  <c r="X233" i="1"/>
  <c r="W233" i="1"/>
  <c r="V233" i="1"/>
  <c r="U233" i="1"/>
  <c r="X232" i="1"/>
  <c r="W232" i="1"/>
  <c r="V232" i="1"/>
  <c r="U232" i="1"/>
  <c r="X231" i="1"/>
  <c r="W231" i="1"/>
  <c r="V231" i="1"/>
  <c r="U231" i="1"/>
  <c r="X230" i="1"/>
  <c r="W230" i="1"/>
  <c r="V230" i="1"/>
  <c r="U230" i="1"/>
  <c r="X229" i="1"/>
  <c r="W229" i="1"/>
  <c r="V229" i="1"/>
  <c r="U229" i="1"/>
  <c r="X228" i="1"/>
  <c r="W228" i="1"/>
  <c r="V228" i="1"/>
  <c r="U228" i="1"/>
  <c r="X227" i="1"/>
  <c r="W227" i="1"/>
  <c r="V227" i="1"/>
  <c r="U227" i="1"/>
  <c r="X226" i="1"/>
  <c r="W226" i="1"/>
  <c r="V226" i="1"/>
  <c r="U226" i="1"/>
  <c r="X225" i="1"/>
  <c r="W225" i="1"/>
  <c r="V225" i="1"/>
  <c r="U225" i="1"/>
  <c r="X224" i="1"/>
  <c r="W224" i="1"/>
  <c r="V224" i="1"/>
  <c r="U224" i="1"/>
  <c r="X223" i="1"/>
  <c r="W223" i="1"/>
  <c r="V223" i="1"/>
  <c r="U223" i="1"/>
  <c r="X222" i="1"/>
  <c r="W222" i="1"/>
  <c r="V222" i="1"/>
  <c r="U222" i="1"/>
  <c r="X221" i="1"/>
  <c r="W221" i="1"/>
  <c r="V221" i="1"/>
  <c r="U221" i="1"/>
  <c r="X220" i="1"/>
  <c r="W220" i="1"/>
  <c r="V220" i="1"/>
  <c r="U220" i="1"/>
  <c r="X219" i="1"/>
  <c r="W219" i="1"/>
  <c r="V219" i="1"/>
  <c r="U219" i="1"/>
  <c r="X218" i="1"/>
  <c r="W218" i="1"/>
  <c r="V218" i="1"/>
  <c r="U218" i="1"/>
  <c r="X217" i="1"/>
  <c r="W217" i="1"/>
  <c r="V217" i="1"/>
  <c r="U217" i="1"/>
  <c r="X216" i="1"/>
  <c r="W216" i="1"/>
  <c r="V216" i="1"/>
  <c r="U216" i="1"/>
  <c r="X215" i="1"/>
  <c r="W215" i="1"/>
  <c r="V215" i="1"/>
  <c r="U215" i="1"/>
  <c r="X214" i="1"/>
  <c r="W214" i="1"/>
  <c r="V214" i="1"/>
  <c r="U214" i="1"/>
  <c r="X213" i="1"/>
  <c r="W213" i="1"/>
  <c r="V213" i="1"/>
  <c r="U213" i="1"/>
  <c r="X212" i="1"/>
  <c r="W212" i="1"/>
  <c r="V212" i="1"/>
  <c r="U212" i="1"/>
  <c r="X211" i="1"/>
  <c r="W211" i="1"/>
  <c r="V211" i="1"/>
  <c r="U211" i="1"/>
  <c r="X210" i="1"/>
  <c r="W210" i="1"/>
  <c r="V210" i="1"/>
  <c r="U210" i="1"/>
  <c r="X209" i="1"/>
  <c r="W209" i="1"/>
  <c r="V209" i="1"/>
  <c r="U209" i="1"/>
  <c r="X208" i="1"/>
  <c r="W208" i="1"/>
  <c r="V208" i="1"/>
  <c r="U208" i="1"/>
  <c r="X207" i="1"/>
  <c r="W207" i="1"/>
  <c r="V207" i="1"/>
  <c r="U207" i="1"/>
  <c r="X206" i="1"/>
  <c r="W206" i="1"/>
  <c r="V206" i="1"/>
  <c r="U206" i="1"/>
  <c r="X205" i="1"/>
  <c r="W205" i="1"/>
  <c r="V205" i="1"/>
  <c r="U205" i="1"/>
  <c r="X204" i="1"/>
  <c r="W204" i="1"/>
  <c r="V204" i="1"/>
  <c r="U204" i="1"/>
  <c r="X203" i="1"/>
  <c r="W203" i="1"/>
  <c r="V203" i="1"/>
  <c r="U203" i="1"/>
  <c r="X202" i="1"/>
  <c r="W202" i="1"/>
  <c r="V202" i="1"/>
  <c r="U202" i="1"/>
  <c r="X201" i="1"/>
  <c r="W201" i="1"/>
  <c r="V201" i="1"/>
  <c r="U201" i="1"/>
  <c r="X200" i="1"/>
  <c r="W200" i="1"/>
  <c r="V200" i="1"/>
  <c r="U200" i="1"/>
  <c r="X199" i="1"/>
  <c r="W199" i="1"/>
  <c r="V199" i="1"/>
  <c r="U199" i="1"/>
  <c r="X198" i="1"/>
  <c r="W198" i="1"/>
  <c r="V198" i="1"/>
  <c r="U198" i="1"/>
  <c r="X197" i="1"/>
  <c r="W197" i="1"/>
  <c r="V197" i="1"/>
  <c r="U197" i="1"/>
  <c r="X196" i="1"/>
  <c r="W196" i="1"/>
  <c r="V196" i="1"/>
  <c r="U196" i="1"/>
  <c r="X195" i="1"/>
  <c r="W195" i="1"/>
  <c r="V195" i="1"/>
  <c r="U195" i="1"/>
  <c r="X194" i="1"/>
  <c r="W194" i="1"/>
  <c r="V194" i="1"/>
  <c r="U194" i="1"/>
  <c r="X193" i="1"/>
  <c r="W193" i="1"/>
  <c r="V193" i="1"/>
  <c r="U193" i="1"/>
  <c r="X192" i="1"/>
  <c r="W192" i="1"/>
  <c r="V192" i="1"/>
  <c r="U192" i="1"/>
  <c r="X191" i="1"/>
  <c r="W191" i="1"/>
  <c r="V191" i="1"/>
  <c r="U191" i="1"/>
  <c r="X190" i="1"/>
  <c r="W190" i="1"/>
  <c r="V190" i="1"/>
  <c r="U190" i="1"/>
  <c r="X189" i="1"/>
  <c r="W189" i="1"/>
  <c r="V189" i="1"/>
  <c r="U189" i="1"/>
  <c r="X188" i="1"/>
  <c r="W188" i="1"/>
  <c r="V188" i="1"/>
  <c r="U188" i="1"/>
  <c r="X187" i="1"/>
  <c r="W187" i="1"/>
  <c r="V187" i="1"/>
  <c r="U187" i="1"/>
  <c r="X186" i="1"/>
  <c r="W186" i="1"/>
  <c r="V186" i="1"/>
  <c r="U186" i="1"/>
  <c r="X185" i="1"/>
  <c r="W185" i="1"/>
  <c r="V185" i="1"/>
  <c r="U185" i="1"/>
  <c r="X184" i="1"/>
  <c r="W184" i="1"/>
  <c r="V184" i="1"/>
  <c r="U184" i="1"/>
  <c r="X183" i="1"/>
  <c r="W183" i="1"/>
  <c r="V183" i="1"/>
  <c r="U183" i="1"/>
  <c r="X182" i="1"/>
  <c r="W182" i="1"/>
  <c r="V182" i="1"/>
  <c r="U182" i="1"/>
  <c r="X181" i="1"/>
  <c r="W181" i="1"/>
  <c r="V181" i="1"/>
  <c r="U181" i="1"/>
  <c r="X180" i="1"/>
  <c r="W180" i="1"/>
  <c r="V180" i="1"/>
  <c r="U180" i="1"/>
  <c r="X179" i="1"/>
  <c r="W179" i="1"/>
  <c r="V179" i="1"/>
  <c r="U179" i="1"/>
  <c r="X178" i="1"/>
  <c r="W178" i="1"/>
  <c r="V178" i="1"/>
  <c r="U178" i="1"/>
  <c r="X177" i="1"/>
  <c r="W177" i="1"/>
  <c r="V177" i="1"/>
  <c r="U177" i="1"/>
  <c r="X176" i="1"/>
  <c r="W176" i="1"/>
  <c r="V176" i="1"/>
  <c r="U176" i="1"/>
  <c r="X175" i="1"/>
  <c r="W175" i="1"/>
  <c r="V175" i="1"/>
  <c r="U175" i="1"/>
  <c r="X174" i="1"/>
  <c r="W174" i="1"/>
  <c r="V174" i="1"/>
  <c r="U174" i="1"/>
  <c r="X173" i="1"/>
  <c r="W173" i="1"/>
  <c r="V173" i="1"/>
  <c r="U173" i="1"/>
  <c r="X172" i="1"/>
  <c r="W172" i="1"/>
  <c r="V172" i="1"/>
  <c r="U172" i="1"/>
  <c r="X171" i="1"/>
  <c r="W171" i="1"/>
  <c r="V171" i="1"/>
  <c r="U171" i="1"/>
  <c r="X170" i="1"/>
  <c r="W170" i="1"/>
  <c r="V170" i="1"/>
  <c r="U170" i="1"/>
  <c r="X169" i="1"/>
  <c r="W169" i="1"/>
  <c r="V169" i="1"/>
  <c r="U169" i="1"/>
  <c r="X168" i="1"/>
  <c r="W168" i="1"/>
  <c r="V168" i="1"/>
  <c r="U168" i="1"/>
  <c r="X167" i="1"/>
  <c r="W167" i="1"/>
  <c r="V167" i="1"/>
  <c r="U167" i="1"/>
  <c r="X166" i="1"/>
  <c r="W166" i="1"/>
  <c r="V166" i="1"/>
  <c r="U166" i="1"/>
  <c r="X165" i="1"/>
  <c r="W165" i="1"/>
  <c r="V165" i="1"/>
  <c r="U165" i="1"/>
  <c r="X164" i="1"/>
  <c r="W164" i="1"/>
  <c r="V164" i="1"/>
  <c r="U164" i="1"/>
  <c r="X163" i="1"/>
  <c r="W163" i="1"/>
  <c r="V163" i="1"/>
  <c r="U163" i="1"/>
  <c r="X162" i="1"/>
  <c r="W162" i="1"/>
  <c r="V162" i="1"/>
  <c r="U162" i="1"/>
  <c r="X161" i="1"/>
  <c r="W161" i="1"/>
  <c r="V161" i="1"/>
  <c r="U161" i="1"/>
  <c r="X160" i="1"/>
  <c r="W160" i="1"/>
  <c r="V160" i="1"/>
  <c r="U160" i="1"/>
  <c r="X159" i="1"/>
  <c r="W159" i="1"/>
  <c r="V159" i="1"/>
  <c r="U159" i="1"/>
  <c r="X158" i="1"/>
  <c r="W158" i="1"/>
  <c r="V158" i="1"/>
  <c r="U158" i="1"/>
  <c r="X157" i="1"/>
  <c r="W157" i="1"/>
  <c r="V157" i="1"/>
  <c r="U157" i="1"/>
  <c r="X156" i="1"/>
  <c r="W156" i="1"/>
  <c r="V156" i="1"/>
  <c r="U156" i="1"/>
  <c r="X155" i="1"/>
  <c r="W155" i="1"/>
  <c r="V155" i="1"/>
  <c r="U155" i="1"/>
  <c r="X154" i="1"/>
  <c r="W154" i="1"/>
  <c r="V154" i="1"/>
  <c r="U154" i="1"/>
  <c r="X153" i="1"/>
  <c r="W153" i="1"/>
  <c r="V153" i="1"/>
  <c r="U153" i="1"/>
  <c r="X152" i="1"/>
  <c r="W152" i="1"/>
  <c r="V152" i="1"/>
  <c r="U152" i="1"/>
  <c r="X151" i="1"/>
  <c r="W151" i="1"/>
  <c r="V151" i="1"/>
  <c r="U151" i="1"/>
  <c r="X150" i="1"/>
  <c r="W150" i="1"/>
  <c r="V150" i="1"/>
  <c r="U150" i="1"/>
  <c r="X149" i="1"/>
  <c r="W149" i="1"/>
  <c r="V149" i="1"/>
  <c r="U149" i="1"/>
  <c r="X148" i="1"/>
  <c r="W148" i="1"/>
  <c r="V148" i="1"/>
  <c r="U148" i="1"/>
  <c r="X147" i="1"/>
  <c r="W147" i="1"/>
  <c r="V147" i="1"/>
  <c r="U147" i="1"/>
  <c r="X146" i="1"/>
  <c r="W146" i="1"/>
  <c r="V146" i="1"/>
  <c r="U146" i="1"/>
  <c r="X145" i="1"/>
  <c r="W145" i="1"/>
  <c r="V145" i="1"/>
  <c r="U145" i="1"/>
  <c r="X144" i="1"/>
  <c r="W144" i="1"/>
  <c r="V144" i="1"/>
  <c r="U144" i="1"/>
  <c r="X143" i="1"/>
  <c r="W143" i="1"/>
  <c r="V143" i="1"/>
  <c r="U143" i="1"/>
  <c r="X142" i="1"/>
  <c r="W142" i="1"/>
  <c r="V142" i="1"/>
  <c r="U142" i="1"/>
  <c r="X141" i="1"/>
  <c r="W141" i="1"/>
  <c r="V141" i="1"/>
  <c r="U141" i="1"/>
  <c r="X140" i="1"/>
  <c r="W140" i="1"/>
  <c r="V140" i="1"/>
  <c r="U140" i="1"/>
  <c r="X139" i="1"/>
  <c r="W139" i="1"/>
  <c r="V139" i="1"/>
  <c r="U139" i="1"/>
  <c r="X138" i="1"/>
  <c r="W138" i="1"/>
  <c r="V138" i="1"/>
  <c r="U138" i="1"/>
  <c r="X137" i="1"/>
  <c r="W137" i="1"/>
  <c r="V137" i="1"/>
  <c r="U137" i="1"/>
  <c r="X136" i="1"/>
  <c r="W136" i="1"/>
  <c r="V136" i="1"/>
  <c r="U136" i="1"/>
  <c r="X135" i="1"/>
  <c r="W135" i="1"/>
  <c r="V135" i="1"/>
  <c r="U135" i="1"/>
  <c r="X134" i="1"/>
  <c r="W134" i="1"/>
  <c r="V134" i="1"/>
  <c r="U134" i="1"/>
  <c r="X133" i="1"/>
  <c r="W133" i="1"/>
  <c r="V133" i="1"/>
  <c r="U133" i="1"/>
  <c r="X132" i="1"/>
  <c r="W132" i="1"/>
  <c r="V132" i="1"/>
  <c r="U132" i="1"/>
  <c r="X131" i="1"/>
  <c r="W131" i="1"/>
  <c r="V131" i="1"/>
  <c r="U131" i="1"/>
  <c r="X130" i="1"/>
  <c r="W130" i="1"/>
  <c r="V130" i="1"/>
  <c r="U130" i="1"/>
  <c r="X129" i="1"/>
  <c r="W129" i="1"/>
  <c r="V129" i="1"/>
  <c r="U129" i="1"/>
  <c r="X128" i="1"/>
  <c r="W128" i="1"/>
  <c r="V128" i="1"/>
  <c r="U128" i="1"/>
  <c r="X127" i="1"/>
  <c r="W127" i="1"/>
  <c r="V127" i="1"/>
  <c r="U127" i="1"/>
  <c r="X126" i="1"/>
  <c r="W126" i="1"/>
  <c r="V126" i="1"/>
  <c r="U126" i="1"/>
  <c r="X125" i="1"/>
  <c r="W125" i="1"/>
  <c r="V125" i="1"/>
  <c r="U125" i="1"/>
  <c r="X124" i="1"/>
  <c r="W124" i="1"/>
  <c r="V124" i="1"/>
  <c r="U124" i="1"/>
  <c r="X123" i="1"/>
  <c r="W123" i="1"/>
  <c r="V123" i="1"/>
  <c r="U123" i="1"/>
  <c r="X122" i="1"/>
  <c r="W122" i="1"/>
  <c r="V122" i="1"/>
  <c r="U122" i="1"/>
  <c r="X121" i="1"/>
  <c r="W121" i="1"/>
  <c r="V121" i="1"/>
  <c r="U121" i="1"/>
  <c r="X120" i="1"/>
  <c r="W120" i="1"/>
  <c r="V120" i="1"/>
  <c r="U120" i="1"/>
  <c r="X119" i="1"/>
  <c r="W119" i="1"/>
  <c r="V119" i="1"/>
  <c r="U119" i="1"/>
  <c r="X118" i="1"/>
  <c r="W118" i="1"/>
  <c r="V118" i="1"/>
  <c r="U118" i="1"/>
  <c r="X117" i="1"/>
  <c r="W117" i="1"/>
  <c r="V117" i="1"/>
  <c r="U117" i="1"/>
  <c r="X116" i="1"/>
  <c r="W116" i="1"/>
  <c r="V116" i="1"/>
  <c r="U116" i="1"/>
  <c r="X115" i="1"/>
  <c r="W115" i="1"/>
  <c r="V115" i="1"/>
  <c r="U115" i="1"/>
  <c r="X114" i="1"/>
  <c r="W114" i="1"/>
  <c r="V114" i="1"/>
  <c r="U114" i="1"/>
  <c r="X113" i="1"/>
  <c r="W113" i="1"/>
  <c r="V113" i="1"/>
  <c r="U113" i="1"/>
  <c r="X112" i="1"/>
  <c r="W112" i="1"/>
  <c r="V112" i="1"/>
  <c r="U112" i="1"/>
  <c r="X111" i="1"/>
  <c r="W111" i="1"/>
  <c r="V111" i="1"/>
  <c r="U111" i="1"/>
  <c r="X110" i="1"/>
  <c r="W110" i="1"/>
  <c r="V110" i="1"/>
  <c r="U110" i="1"/>
  <c r="X109" i="1"/>
  <c r="W109" i="1"/>
  <c r="V109" i="1"/>
  <c r="U109" i="1"/>
  <c r="X108" i="1"/>
  <c r="W108" i="1"/>
  <c r="V108" i="1"/>
  <c r="U108" i="1"/>
  <c r="X107" i="1"/>
  <c r="W107" i="1"/>
  <c r="V107" i="1"/>
  <c r="U107" i="1"/>
  <c r="X106" i="1"/>
  <c r="W106" i="1"/>
  <c r="V106" i="1"/>
  <c r="U106" i="1"/>
  <c r="X105" i="1"/>
  <c r="W105" i="1"/>
  <c r="V105" i="1"/>
  <c r="U105" i="1"/>
  <c r="X104" i="1"/>
  <c r="W104" i="1"/>
  <c r="V104" i="1"/>
  <c r="U104" i="1"/>
  <c r="X103" i="1"/>
  <c r="W103" i="1"/>
  <c r="V103" i="1"/>
  <c r="U103" i="1"/>
  <c r="X102" i="1"/>
  <c r="W102" i="1"/>
  <c r="V102" i="1"/>
  <c r="U102" i="1"/>
  <c r="X101" i="1"/>
  <c r="W101" i="1"/>
  <c r="V101" i="1"/>
  <c r="U101" i="1"/>
  <c r="X100" i="1"/>
  <c r="W100" i="1"/>
  <c r="V100" i="1"/>
  <c r="U100" i="1"/>
  <c r="X99" i="1"/>
  <c r="W99" i="1"/>
  <c r="V99" i="1"/>
  <c r="U99" i="1"/>
  <c r="X98" i="1"/>
  <c r="W98" i="1"/>
  <c r="V98" i="1"/>
  <c r="U98" i="1"/>
  <c r="X97" i="1"/>
  <c r="W97" i="1"/>
  <c r="V97" i="1"/>
  <c r="U97" i="1"/>
  <c r="X96" i="1"/>
  <c r="W96" i="1"/>
  <c r="V96" i="1"/>
  <c r="U96" i="1"/>
  <c r="X95" i="1"/>
  <c r="W95" i="1"/>
  <c r="V95" i="1"/>
  <c r="U95" i="1"/>
  <c r="X94" i="1"/>
  <c r="W94" i="1"/>
  <c r="V94" i="1"/>
  <c r="U94" i="1"/>
  <c r="X93" i="1"/>
  <c r="W93" i="1"/>
  <c r="V93" i="1"/>
  <c r="U93" i="1"/>
  <c r="X92" i="1"/>
  <c r="W92" i="1"/>
  <c r="V92" i="1"/>
  <c r="U92" i="1"/>
  <c r="X91" i="1"/>
  <c r="W91" i="1"/>
  <c r="V91" i="1"/>
  <c r="U91" i="1"/>
  <c r="X90" i="1"/>
  <c r="W90" i="1"/>
  <c r="V90" i="1"/>
  <c r="U90" i="1"/>
  <c r="X89" i="1"/>
  <c r="W89" i="1"/>
  <c r="V89" i="1"/>
  <c r="U89" i="1"/>
  <c r="X88" i="1"/>
  <c r="W88" i="1"/>
  <c r="V88" i="1"/>
  <c r="U88" i="1"/>
  <c r="X87" i="1"/>
  <c r="W87" i="1"/>
  <c r="V87" i="1"/>
  <c r="U87" i="1"/>
  <c r="X86" i="1"/>
  <c r="W86" i="1"/>
  <c r="V86" i="1"/>
  <c r="U86" i="1"/>
  <c r="X85" i="1"/>
  <c r="W85" i="1"/>
  <c r="V85" i="1"/>
  <c r="U85" i="1"/>
  <c r="X84" i="1"/>
  <c r="W84" i="1"/>
  <c r="V84" i="1"/>
  <c r="U84" i="1"/>
  <c r="X83" i="1"/>
  <c r="W83" i="1"/>
  <c r="V83" i="1"/>
  <c r="U83" i="1"/>
  <c r="X82" i="1"/>
  <c r="W82" i="1"/>
  <c r="V82" i="1"/>
  <c r="U82" i="1"/>
  <c r="X81" i="1"/>
  <c r="W81" i="1"/>
  <c r="V81" i="1"/>
  <c r="U81" i="1"/>
  <c r="X80" i="1"/>
  <c r="W80" i="1"/>
  <c r="V80" i="1"/>
  <c r="U80" i="1"/>
  <c r="X79" i="1"/>
  <c r="W79" i="1"/>
  <c r="V79" i="1"/>
  <c r="U79" i="1"/>
  <c r="X78" i="1"/>
  <c r="W78" i="1"/>
  <c r="V78" i="1"/>
  <c r="U78" i="1"/>
  <c r="X77" i="1"/>
  <c r="W77" i="1"/>
  <c r="V77" i="1"/>
  <c r="U77" i="1"/>
  <c r="X76" i="1"/>
  <c r="W76" i="1"/>
  <c r="V76" i="1"/>
  <c r="U76" i="1"/>
  <c r="X75" i="1"/>
  <c r="W75" i="1"/>
  <c r="V75" i="1"/>
  <c r="U75" i="1"/>
  <c r="X74" i="1"/>
  <c r="W74" i="1"/>
  <c r="V74" i="1"/>
  <c r="U74" i="1"/>
  <c r="X73" i="1"/>
  <c r="W73" i="1"/>
  <c r="V73" i="1"/>
  <c r="U73" i="1"/>
  <c r="X72" i="1"/>
  <c r="W72" i="1"/>
  <c r="V72" i="1"/>
  <c r="U72" i="1"/>
  <c r="X71" i="1"/>
  <c r="W71" i="1"/>
  <c r="V71" i="1"/>
  <c r="U71" i="1"/>
  <c r="X70" i="1"/>
  <c r="W70" i="1"/>
  <c r="V70" i="1"/>
  <c r="U70" i="1"/>
  <c r="X69" i="1"/>
  <c r="W69" i="1"/>
  <c r="V69" i="1"/>
  <c r="U69" i="1"/>
  <c r="X68" i="1"/>
  <c r="W68" i="1"/>
  <c r="V68" i="1"/>
  <c r="U68" i="1"/>
  <c r="X67" i="1"/>
  <c r="W67" i="1"/>
  <c r="V67" i="1"/>
  <c r="U67" i="1"/>
  <c r="X66" i="1"/>
  <c r="W66" i="1"/>
  <c r="V66" i="1"/>
  <c r="U66" i="1"/>
  <c r="X65" i="1"/>
  <c r="W65" i="1"/>
  <c r="V65" i="1"/>
  <c r="U65" i="1"/>
  <c r="X64" i="1"/>
  <c r="W64" i="1"/>
  <c r="V64" i="1"/>
  <c r="U64" i="1"/>
  <c r="X63" i="1"/>
  <c r="W63" i="1"/>
  <c r="V63" i="1"/>
  <c r="U63" i="1"/>
  <c r="X62" i="1"/>
  <c r="W62" i="1"/>
  <c r="V62" i="1"/>
  <c r="U62" i="1"/>
  <c r="X61" i="1"/>
  <c r="W61" i="1"/>
  <c r="V61" i="1"/>
  <c r="U61" i="1"/>
  <c r="X60" i="1"/>
  <c r="W60" i="1"/>
  <c r="V60" i="1"/>
  <c r="U60" i="1"/>
  <c r="X59" i="1"/>
  <c r="W59" i="1"/>
  <c r="V59" i="1"/>
  <c r="U59" i="1"/>
  <c r="X58" i="1"/>
  <c r="W58" i="1"/>
  <c r="V58" i="1"/>
  <c r="U58" i="1"/>
  <c r="X57" i="1"/>
  <c r="W57" i="1"/>
  <c r="V57" i="1"/>
  <c r="U57" i="1"/>
  <c r="X56" i="1"/>
  <c r="W56" i="1"/>
  <c r="V56" i="1"/>
  <c r="U56" i="1"/>
  <c r="X55" i="1"/>
  <c r="W55" i="1"/>
  <c r="V55" i="1"/>
  <c r="U55" i="1"/>
  <c r="X54" i="1"/>
  <c r="W54" i="1"/>
  <c r="V54" i="1"/>
  <c r="U54" i="1"/>
  <c r="X53" i="1"/>
  <c r="W53" i="1"/>
  <c r="V53" i="1"/>
  <c r="U53" i="1"/>
  <c r="X52" i="1"/>
  <c r="W52" i="1"/>
  <c r="V52" i="1"/>
  <c r="U52" i="1"/>
  <c r="X51" i="1"/>
  <c r="W51" i="1"/>
  <c r="V51" i="1"/>
  <c r="U51" i="1"/>
  <c r="X50" i="1"/>
  <c r="W50" i="1"/>
  <c r="V50" i="1"/>
  <c r="U50" i="1"/>
  <c r="X49" i="1"/>
  <c r="W49" i="1"/>
  <c r="V49" i="1"/>
  <c r="U49" i="1"/>
  <c r="X48" i="1"/>
  <c r="W48" i="1"/>
  <c r="V48" i="1"/>
  <c r="U48" i="1"/>
  <c r="X47" i="1"/>
  <c r="W47" i="1"/>
  <c r="V47" i="1"/>
  <c r="U47" i="1"/>
  <c r="X46" i="1"/>
  <c r="W46" i="1"/>
  <c r="V46" i="1"/>
  <c r="U46" i="1"/>
  <c r="X45" i="1"/>
  <c r="W45" i="1"/>
  <c r="V45" i="1"/>
  <c r="U45" i="1"/>
  <c r="X44" i="1"/>
  <c r="W44" i="1"/>
  <c r="V44" i="1"/>
  <c r="U44" i="1"/>
  <c r="X43" i="1"/>
  <c r="W43" i="1"/>
  <c r="V43" i="1"/>
  <c r="U43" i="1"/>
  <c r="X42" i="1"/>
  <c r="W42" i="1"/>
  <c r="V42" i="1"/>
  <c r="U42" i="1"/>
  <c r="X41" i="1"/>
  <c r="W41" i="1"/>
  <c r="V41" i="1"/>
  <c r="U41" i="1"/>
  <c r="X40" i="1"/>
  <c r="W40" i="1"/>
  <c r="V40" i="1"/>
  <c r="U40" i="1"/>
  <c r="X39" i="1"/>
  <c r="W39" i="1"/>
  <c r="V39" i="1"/>
  <c r="U39" i="1"/>
  <c r="X38" i="1"/>
  <c r="W38" i="1"/>
  <c r="V38" i="1"/>
  <c r="U38" i="1"/>
  <c r="X37" i="1"/>
  <c r="W37" i="1"/>
  <c r="V37" i="1"/>
  <c r="U37" i="1"/>
  <c r="X36" i="1"/>
  <c r="W36" i="1"/>
  <c r="V36" i="1"/>
  <c r="U36" i="1"/>
  <c r="X35" i="1"/>
  <c r="W35" i="1"/>
  <c r="V35" i="1"/>
  <c r="U35" i="1"/>
  <c r="X34" i="1"/>
  <c r="W34" i="1"/>
  <c r="V34" i="1"/>
  <c r="U34" i="1"/>
  <c r="X33" i="1"/>
  <c r="W33" i="1"/>
  <c r="V33" i="1"/>
  <c r="U33" i="1"/>
  <c r="X32" i="1"/>
  <c r="W32" i="1"/>
  <c r="V32" i="1"/>
  <c r="U32" i="1"/>
  <c r="X31" i="1"/>
  <c r="W31" i="1"/>
  <c r="V31" i="1"/>
  <c r="U31" i="1"/>
  <c r="X30" i="1"/>
  <c r="W30" i="1"/>
  <c r="V30" i="1"/>
  <c r="U30" i="1"/>
  <c r="X29" i="1"/>
  <c r="W29" i="1"/>
  <c r="V29" i="1"/>
  <c r="U29" i="1"/>
  <c r="X28" i="1"/>
  <c r="W28" i="1"/>
  <c r="V28" i="1"/>
  <c r="U28" i="1"/>
  <c r="X27" i="1"/>
  <c r="W27" i="1"/>
  <c r="V27" i="1"/>
  <c r="U27" i="1"/>
  <c r="X26" i="1"/>
  <c r="W26" i="1"/>
  <c r="V26" i="1"/>
  <c r="U26" i="1"/>
  <c r="X25" i="1"/>
  <c r="W25" i="1"/>
  <c r="V25" i="1"/>
  <c r="U25" i="1"/>
  <c r="X24" i="1"/>
  <c r="W24" i="1"/>
  <c r="V24" i="1"/>
  <c r="U24" i="1"/>
  <c r="X23" i="1"/>
  <c r="W23" i="1"/>
  <c r="V23" i="1"/>
  <c r="U23" i="1"/>
  <c r="X22" i="1"/>
  <c r="W22" i="1"/>
  <c r="V22" i="1"/>
  <c r="U22" i="1"/>
  <c r="X21" i="1"/>
  <c r="W21" i="1"/>
  <c r="V21" i="1"/>
  <c r="U21" i="1"/>
  <c r="X20" i="1"/>
  <c r="W20" i="1"/>
  <c r="V20" i="1"/>
  <c r="U20" i="1"/>
  <c r="X19" i="1"/>
  <c r="W19" i="1"/>
  <c r="V19" i="1"/>
  <c r="U19" i="1"/>
  <c r="X18" i="1"/>
  <c r="W18" i="1"/>
  <c r="V18" i="1"/>
  <c r="U18" i="1"/>
  <c r="X17" i="1"/>
  <c r="W17" i="1"/>
  <c r="V17" i="1"/>
  <c r="U17" i="1"/>
  <c r="X16" i="1"/>
  <c r="W16" i="1"/>
  <c r="V16" i="1"/>
  <c r="U16" i="1"/>
  <c r="X15" i="1"/>
  <c r="W15" i="1"/>
  <c r="V15" i="1"/>
  <c r="U15" i="1"/>
  <c r="X14" i="1"/>
  <c r="W14" i="1"/>
  <c r="V14" i="1"/>
  <c r="U14" i="1"/>
  <c r="X13" i="1"/>
  <c r="W13" i="1"/>
  <c r="V13" i="1"/>
  <c r="U13" i="1"/>
  <c r="X12" i="1"/>
  <c r="W12" i="1"/>
  <c r="V12" i="1"/>
  <c r="U12" i="1"/>
  <c r="X11" i="1"/>
  <c r="W11" i="1"/>
  <c r="V11" i="1"/>
  <c r="U11" i="1"/>
  <c r="X10" i="1"/>
  <c r="W10" i="1"/>
  <c r="V10" i="1"/>
  <c r="U10" i="1"/>
  <c r="X9" i="1"/>
  <c r="W9" i="1"/>
  <c r="V9" i="1"/>
  <c r="U9" i="1"/>
  <c r="X8" i="1"/>
  <c r="W8" i="1"/>
  <c r="V8" i="1"/>
  <c r="U8" i="1"/>
  <c r="X7" i="1"/>
  <c r="W7" i="1"/>
  <c r="V7" i="1"/>
  <c r="U7" i="1"/>
  <c r="X6" i="1"/>
  <c r="W6" i="1"/>
  <c r="V6" i="1"/>
  <c r="U6" i="1"/>
  <c r="X5" i="1"/>
  <c r="W5" i="1"/>
  <c r="V5" i="1"/>
  <c r="U5" i="1"/>
  <c r="X4" i="1"/>
  <c r="W4" i="1"/>
  <c r="V4" i="1"/>
  <c r="U4" i="1"/>
  <c r="X3" i="1"/>
  <c r="W3" i="1"/>
  <c r="V3" i="1"/>
  <c r="U3" i="1"/>
  <c r="X2" i="1"/>
  <c r="W2" i="1"/>
  <c r="V2" i="1"/>
  <c r="U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ample" type="6" refreshedVersion="2" background="1" saveData="1">
    <textPr sourceFile="D:\mm\sample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<sst xmlns="http://schemas.openxmlformats.org/spreadsheetml/2006/main" count="10032" uniqueCount="3023">
  <si>
    <t>user_id</t>
  </si>
  <si>
    <t>product_id</t>
  </si>
  <si>
    <t>category</t>
  </si>
  <si>
    <t>subcategory</t>
  </si>
  <si>
    <t>brand</t>
  </si>
  <si>
    <t>price</t>
  </si>
  <si>
    <t>discount</t>
  </si>
  <si>
    <t>final_price</t>
  </si>
  <si>
    <t>rating</t>
  </si>
  <si>
    <t>review_count</t>
  </si>
  <si>
    <t>stock</t>
  </si>
  <si>
    <t>seller_id</t>
  </si>
  <si>
    <t>seller_rating</t>
  </si>
  <si>
    <t>purchase_date</t>
  </si>
  <si>
    <t>shipping_time_days</t>
  </si>
  <si>
    <t>location</t>
  </si>
  <si>
    <t>device</t>
  </si>
  <si>
    <t>payment_method</t>
  </si>
  <si>
    <t>is_returned</t>
  </si>
  <si>
    <t>delivery_status</t>
  </si>
  <si>
    <t>discount_value</t>
  </si>
  <si>
    <t>Cost</t>
  </si>
  <si>
    <t>Referral Fee</t>
  </si>
  <si>
    <t>net_profit</t>
  </si>
  <si>
    <t>U356787</t>
  </si>
  <si>
    <t>P39256</t>
  </si>
  <si>
    <t>Electronics</t>
  </si>
  <si>
    <t>Mobile</t>
  </si>
  <si>
    <t>H&amp;M</t>
  </si>
  <si>
    <t>S2679</t>
  </si>
  <si>
    <t>Bangalore</t>
  </si>
  <si>
    <t>Tablet</t>
  </si>
  <si>
    <t>UPI</t>
  </si>
  <si>
    <t>Returned</t>
  </si>
  <si>
    <t>U198246</t>
  </si>
  <si>
    <t>P38657</t>
  </si>
  <si>
    <t>Sports</t>
  </si>
  <si>
    <t>Outdoor</t>
  </si>
  <si>
    <t>Samsung</t>
  </si>
  <si>
    <t>S9279</t>
  </si>
  <si>
    <t>Delhi</t>
  </si>
  <si>
    <t>U539898</t>
  </si>
  <si>
    <t>P38893</t>
  </si>
  <si>
    <t>Fitness</t>
  </si>
  <si>
    <t>S5557</t>
  </si>
  <si>
    <t>Chennai</t>
  </si>
  <si>
    <t>Mobile App</t>
  </si>
  <si>
    <t>Credit Card</t>
  </si>
  <si>
    <t>U325772</t>
  </si>
  <si>
    <t>P54118</t>
  </si>
  <si>
    <t>Beauty</t>
  </si>
  <si>
    <t>Makeup</t>
  </si>
  <si>
    <t>Sony</t>
  </si>
  <si>
    <t>S2519</t>
  </si>
  <si>
    <t>Mumbai</t>
  </si>
  <si>
    <t>Web</t>
  </si>
  <si>
    <t>In Transit</t>
  </si>
  <si>
    <t>U865179</t>
  </si>
  <si>
    <t>P70217</t>
  </si>
  <si>
    <t>Home</t>
  </si>
  <si>
    <t>Decor</t>
  </si>
  <si>
    <t>S3045</t>
  </si>
  <si>
    <t>Delayed</t>
  </si>
  <si>
    <t>U705397</t>
  </si>
  <si>
    <t>P35203</t>
  </si>
  <si>
    <t>HP</t>
  </si>
  <si>
    <t>S2139</t>
  </si>
  <si>
    <t>U498591</t>
  </si>
  <si>
    <t>P46434</t>
  </si>
  <si>
    <t>Furniture</t>
  </si>
  <si>
    <t>Adidas</t>
  </si>
  <si>
    <t>S6977</t>
  </si>
  <si>
    <t>Debit Card</t>
  </si>
  <si>
    <t>U738720</t>
  </si>
  <si>
    <t>P93227</t>
  </si>
  <si>
    <t>Clothing</t>
  </si>
  <si>
    <t>Kids</t>
  </si>
  <si>
    <t>S9751</t>
  </si>
  <si>
    <t>Delivered</t>
  </si>
  <si>
    <t>U330283</t>
  </si>
  <si>
    <t>P99733</t>
  </si>
  <si>
    <t>S1916</t>
  </si>
  <si>
    <t>U694731</t>
  </si>
  <si>
    <t>P51245</t>
  </si>
  <si>
    <t>Apple</t>
  </si>
  <si>
    <t>S9179</t>
  </si>
  <si>
    <t>Cash on Delivery</t>
  </si>
  <si>
    <t>U665158</t>
  </si>
  <si>
    <t>P44438</t>
  </si>
  <si>
    <t>S8019</t>
  </si>
  <si>
    <t>U617488</t>
  </si>
  <si>
    <t>P21915</t>
  </si>
  <si>
    <t>Nike</t>
  </si>
  <si>
    <t>S1771</t>
  </si>
  <si>
    <t>U166613</t>
  </si>
  <si>
    <t>P60432</t>
  </si>
  <si>
    <t>Boat</t>
  </si>
  <si>
    <t>S8668</t>
  </si>
  <si>
    <t>U887352</t>
  </si>
  <si>
    <t>P44973</t>
  </si>
  <si>
    <t>Zara</t>
  </si>
  <si>
    <t>S6573</t>
  </si>
  <si>
    <t>U624902</t>
  </si>
  <si>
    <t>P33416</t>
  </si>
  <si>
    <t>Women</t>
  </si>
  <si>
    <t>S2743</t>
  </si>
  <si>
    <t>U492077</t>
  </si>
  <si>
    <t>P31174</t>
  </si>
  <si>
    <t>Cycling</t>
  </si>
  <si>
    <t>S9689</t>
  </si>
  <si>
    <t>U351083</t>
  </si>
  <si>
    <t>P17592</t>
  </si>
  <si>
    <t>LG</t>
  </si>
  <si>
    <t>S2290</t>
  </si>
  <si>
    <t>U676510</t>
  </si>
  <si>
    <t>P31643</t>
  </si>
  <si>
    <t>S9645</t>
  </si>
  <si>
    <t>Hyderabad</t>
  </si>
  <si>
    <t>U847581</t>
  </si>
  <si>
    <t>P50857</t>
  </si>
  <si>
    <t>S7118</t>
  </si>
  <si>
    <t>U454508</t>
  </si>
  <si>
    <t>P12757</t>
  </si>
  <si>
    <t>Laptop</t>
  </si>
  <si>
    <t>S4770</t>
  </si>
  <si>
    <t>U132938</t>
  </si>
  <si>
    <t>P53309</t>
  </si>
  <si>
    <t>S9423</t>
  </si>
  <si>
    <t>U858490</t>
  </si>
  <si>
    <t>P84847</t>
  </si>
  <si>
    <t>Skincare</t>
  </si>
  <si>
    <t>Lenovo</t>
  </si>
  <si>
    <t>S8744</t>
  </si>
  <si>
    <t>U471507</t>
  </si>
  <si>
    <t>P65519</t>
  </si>
  <si>
    <t>Men</t>
  </si>
  <si>
    <t>S8651</t>
  </si>
  <si>
    <t>U939482</t>
  </si>
  <si>
    <t>P24322</t>
  </si>
  <si>
    <t>S4139</t>
  </si>
  <si>
    <t>U361941</t>
  </si>
  <si>
    <t>P19880</t>
  </si>
  <si>
    <t>S2604</t>
  </si>
  <si>
    <t>U604740</t>
  </si>
  <si>
    <t>P38016</t>
  </si>
  <si>
    <t>S7570</t>
  </si>
  <si>
    <t>U399105</t>
  </si>
  <si>
    <t>P65444</t>
  </si>
  <si>
    <t>Camera</t>
  </si>
  <si>
    <t>S8973</t>
  </si>
  <si>
    <t>U163918</t>
  </si>
  <si>
    <t>P51104</t>
  </si>
  <si>
    <t>S1821</t>
  </si>
  <si>
    <t>U632496</t>
  </si>
  <si>
    <t>P20500</t>
  </si>
  <si>
    <t>S4044</t>
  </si>
  <si>
    <t>U358175</t>
  </si>
  <si>
    <t>P85880</t>
  </si>
  <si>
    <t>S1651</t>
  </si>
  <si>
    <t>U373432</t>
  </si>
  <si>
    <t>P36772</t>
  </si>
  <si>
    <t>S6147</t>
  </si>
  <si>
    <t>U579434</t>
  </si>
  <si>
    <t>P51441</t>
  </si>
  <si>
    <t>S2188</t>
  </si>
  <si>
    <t>U323508</t>
  </si>
  <si>
    <t>P76307</t>
  </si>
  <si>
    <t>S3170</t>
  </si>
  <si>
    <t>U974244</t>
  </si>
  <si>
    <t>P81200</t>
  </si>
  <si>
    <t>Kitchen</t>
  </si>
  <si>
    <t>S5956</t>
  </si>
  <si>
    <t>U240814</t>
  </si>
  <si>
    <t>P44664</t>
  </si>
  <si>
    <t>S2753</t>
  </si>
  <si>
    <t>U313487</t>
  </si>
  <si>
    <t>P93130</t>
  </si>
  <si>
    <t>S5325</t>
  </si>
  <si>
    <t>U969634</t>
  </si>
  <si>
    <t>P46265</t>
  </si>
  <si>
    <t>S1058</t>
  </si>
  <si>
    <t>U678478</t>
  </si>
  <si>
    <t>P66057</t>
  </si>
  <si>
    <t>S1158</t>
  </si>
  <si>
    <t>U710805</t>
  </si>
  <si>
    <t>P82420</t>
  </si>
  <si>
    <t>S8041</t>
  </si>
  <si>
    <t>U815198</t>
  </si>
  <si>
    <t>P42706</t>
  </si>
  <si>
    <t>S2684</t>
  </si>
  <si>
    <t>U532322</t>
  </si>
  <si>
    <t>P13248</t>
  </si>
  <si>
    <t>S6442</t>
  </si>
  <si>
    <t>U140605</t>
  </si>
  <si>
    <t>P71694</t>
  </si>
  <si>
    <t>S4269</t>
  </si>
  <si>
    <t>U517821</t>
  </si>
  <si>
    <t>P53025</t>
  </si>
  <si>
    <t>S2137</t>
  </si>
  <si>
    <t>U447235</t>
  </si>
  <si>
    <t>P13617</t>
  </si>
  <si>
    <t>S5279</t>
  </si>
  <si>
    <t>U557592</t>
  </si>
  <si>
    <t>P89457</t>
  </si>
  <si>
    <t>S2894</t>
  </si>
  <si>
    <t>U945687</t>
  </si>
  <si>
    <t>P80575</t>
  </si>
  <si>
    <t>S4228</t>
  </si>
  <si>
    <t>U854717</t>
  </si>
  <si>
    <t>P49363</t>
  </si>
  <si>
    <t>S6067</t>
  </si>
  <si>
    <t>U233470</t>
  </si>
  <si>
    <t>P35144</t>
  </si>
  <si>
    <t>Haircare</t>
  </si>
  <si>
    <t>S7211</t>
  </si>
  <si>
    <t>U974224</t>
  </si>
  <si>
    <t>P10053</t>
  </si>
  <si>
    <t>S5700</t>
  </si>
  <si>
    <t>U563246</t>
  </si>
  <si>
    <t>P67954</t>
  </si>
  <si>
    <t>S4501</t>
  </si>
  <si>
    <t>U640490</t>
  </si>
  <si>
    <t>P97012</t>
  </si>
  <si>
    <t>S6491</t>
  </si>
  <si>
    <t>U125611</t>
  </si>
  <si>
    <t>P16057</t>
  </si>
  <si>
    <t>S8784</t>
  </si>
  <si>
    <t>U853240</t>
  </si>
  <si>
    <t>P60328</t>
  </si>
  <si>
    <t>S7547</t>
  </si>
  <si>
    <t>U284430</t>
  </si>
  <si>
    <t>P77889</t>
  </si>
  <si>
    <t>S1822</t>
  </si>
  <si>
    <t>U686075</t>
  </si>
  <si>
    <t>P88047</t>
  </si>
  <si>
    <t>Puma</t>
  </si>
  <si>
    <t>S8251</t>
  </si>
  <si>
    <t>U571932</t>
  </si>
  <si>
    <t>P43972</t>
  </si>
  <si>
    <t>S5050</t>
  </si>
  <si>
    <t>U387936</t>
  </si>
  <si>
    <t>P67654</t>
  </si>
  <si>
    <t>S5681</t>
  </si>
  <si>
    <t>U258157</t>
  </si>
  <si>
    <t>P40311</t>
  </si>
  <si>
    <t>S3503</t>
  </si>
  <si>
    <t>U588557</t>
  </si>
  <si>
    <t>P64496</t>
  </si>
  <si>
    <t>S4388</t>
  </si>
  <si>
    <t>U468845</t>
  </si>
  <si>
    <t>P49139</t>
  </si>
  <si>
    <t>S7389</t>
  </si>
  <si>
    <t>U130434</t>
  </si>
  <si>
    <t>P60968</t>
  </si>
  <si>
    <t>S7624</t>
  </si>
  <si>
    <t>U513160</t>
  </si>
  <si>
    <t>P87580</t>
  </si>
  <si>
    <t>S1444</t>
  </si>
  <si>
    <t>U497519</t>
  </si>
  <si>
    <t>P52906</t>
  </si>
  <si>
    <t>S8449</t>
  </si>
  <si>
    <t>U593152</t>
  </si>
  <si>
    <t>P12540</t>
  </si>
  <si>
    <t>S9837</t>
  </si>
  <si>
    <t>U890870</t>
  </si>
  <si>
    <t>P14067</t>
  </si>
  <si>
    <t>S5051</t>
  </si>
  <si>
    <t>U801978</t>
  </si>
  <si>
    <t>P24993</t>
  </si>
  <si>
    <t>S4571</t>
  </si>
  <si>
    <t>U915573</t>
  </si>
  <si>
    <t>P31465</t>
  </si>
  <si>
    <t>S6096</t>
  </si>
  <si>
    <t>U849747</t>
  </si>
  <si>
    <t>P35995</t>
  </si>
  <si>
    <t>S4978</t>
  </si>
  <si>
    <t>U464069</t>
  </si>
  <si>
    <t>P79827</t>
  </si>
  <si>
    <t>S7071</t>
  </si>
  <si>
    <t>U479781</t>
  </si>
  <si>
    <t>P93307</t>
  </si>
  <si>
    <t>S8532</t>
  </si>
  <si>
    <t>U745830</t>
  </si>
  <si>
    <t>P80539</t>
  </si>
  <si>
    <t>S8921</t>
  </si>
  <si>
    <t>U971084</t>
  </si>
  <si>
    <t>P21359</t>
  </si>
  <si>
    <t>S8385</t>
  </si>
  <si>
    <t>U130094</t>
  </si>
  <si>
    <t>P74789</t>
  </si>
  <si>
    <t>S6325</t>
  </si>
  <si>
    <t>U393243</t>
  </si>
  <si>
    <t>P88139</t>
  </si>
  <si>
    <t>S5526</t>
  </si>
  <si>
    <t>U612311</t>
  </si>
  <si>
    <t>P82768</t>
  </si>
  <si>
    <t>S4937</t>
  </si>
  <si>
    <t>U408528</t>
  </si>
  <si>
    <t>P39045</t>
  </si>
  <si>
    <t>S4986</t>
  </si>
  <si>
    <t>U882169</t>
  </si>
  <si>
    <t>P82140</t>
  </si>
  <si>
    <t>S6764</t>
  </si>
  <si>
    <t>U856321</t>
  </si>
  <si>
    <t>P35242</t>
  </si>
  <si>
    <t>S2958</t>
  </si>
  <si>
    <t>U859782</t>
  </si>
  <si>
    <t>P87278</t>
  </si>
  <si>
    <t>S9595</t>
  </si>
  <si>
    <t>U288158</t>
  </si>
  <si>
    <t>P49618</t>
  </si>
  <si>
    <t>U768854</t>
  </si>
  <si>
    <t>P74340</t>
  </si>
  <si>
    <t>Headphones</t>
  </si>
  <si>
    <t>S1200</t>
  </si>
  <si>
    <t>U153872</t>
  </si>
  <si>
    <t>P43092</t>
  </si>
  <si>
    <t>S8827</t>
  </si>
  <si>
    <t>U259097</t>
  </si>
  <si>
    <t>P29555</t>
  </si>
  <si>
    <t>S5978</t>
  </si>
  <si>
    <t>U929151</t>
  </si>
  <si>
    <t>P91057</t>
  </si>
  <si>
    <t>S9561</t>
  </si>
  <si>
    <t>U696251</t>
  </si>
  <si>
    <t>P91399</t>
  </si>
  <si>
    <t>S2625</t>
  </si>
  <si>
    <t>U678805</t>
  </si>
  <si>
    <t>P19838</t>
  </si>
  <si>
    <t>S1043</t>
  </si>
  <si>
    <t>U342720</t>
  </si>
  <si>
    <t>P47762</t>
  </si>
  <si>
    <t>S5632</t>
  </si>
  <si>
    <t>U793300</t>
  </si>
  <si>
    <t>P35928</t>
  </si>
  <si>
    <t>S2880</t>
  </si>
  <si>
    <t>U162535</t>
  </si>
  <si>
    <t>P31747</t>
  </si>
  <si>
    <t>S6039</t>
  </si>
  <si>
    <t>U833723</t>
  </si>
  <si>
    <t>P62757</t>
  </si>
  <si>
    <t>S5460</t>
  </si>
  <si>
    <t>U733039</t>
  </si>
  <si>
    <t>P42816</t>
  </si>
  <si>
    <t>S2496</t>
  </si>
  <si>
    <t>U593355</t>
  </si>
  <si>
    <t>P78021</t>
  </si>
  <si>
    <t>S8245</t>
  </si>
  <si>
    <t>U592841</t>
  </si>
  <si>
    <t>P55607</t>
  </si>
  <si>
    <t>S6460</t>
  </si>
  <si>
    <t>U402218</t>
  </si>
  <si>
    <t>P96846</t>
  </si>
  <si>
    <t>S7561</t>
  </si>
  <si>
    <t>U221552</t>
  </si>
  <si>
    <t>P62976</t>
  </si>
  <si>
    <t>S9431</t>
  </si>
  <si>
    <t>U752878</t>
  </si>
  <si>
    <t>P75338</t>
  </si>
  <si>
    <t>S8242</t>
  </si>
  <si>
    <t>U832168</t>
  </si>
  <si>
    <t>P73532</t>
  </si>
  <si>
    <t>S1472</t>
  </si>
  <si>
    <t>U679077</t>
  </si>
  <si>
    <t>P63476</t>
  </si>
  <si>
    <t>S4681</t>
  </si>
  <si>
    <t>U633590</t>
  </si>
  <si>
    <t>P45838</t>
  </si>
  <si>
    <t>S8905</t>
  </si>
  <si>
    <t>U728492</t>
  </si>
  <si>
    <t>P76616</t>
  </si>
  <si>
    <t>S3236</t>
  </si>
  <si>
    <t>U396578</t>
  </si>
  <si>
    <t>P49132</t>
  </si>
  <si>
    <t>S9022</t>
  </si>
  <si>
    <t>U899929</t>
  </si>
  <si>
    <t>P81228</t>
  </si>
  <si>
    <t>S8460</t>
  </si>
  <si>
    <t>U997594</t>
  </si>
  <si>
    <t>P63841</t>
  </si>
  <si>
    <t>S6213</t>
  </si>
  <si>
    <t>U619389</t>
  </si>
  <si>
    <t>P14852</t>
  </si>
  <si>
    <t>S9229</t>
  </si>
  <si>
    <t>U116093</t>
  </si>
  <si>
    <t>P28894</t>
  </si>
  <si>
    <t>S3529</t>
  </si>
  <si>
    <t>U781403</t>
  </si>
  <si>
    <t>P20527</t>
  </si>
  <si>
    <t>S6383</t>
  </si>
  <si>
    <t>U171744</t>
  </si>
  <si>
    <t>P40771</t>
  </si>
  <si>
    <t>S5708</t>
  </si>
  <si>
    <t>U565230</t>
  </si>
  <si>
    <t>P31805</t>
  </si>
  <si>
    <t>S5906</t>
  </si>
  <si>
    <t>U551607</t>
  </si>
  <si>
    <t>P29080</t>
  </si>
  <si>
    <t>S9702</t>
  </si>
  <si>
    <t>U749813</t>
  </si>
  <si>
    <t>P99539</t>
  </si>
  <si>
    <t>S9153</t>
  </si>
  <si>
    <t>U367729</t>
  </si>
  <si>
    <t>P97404</t>
  </si>
  <si>
    <t>S8622</t>
  </si>
  <si>
    <t>U769975</t>
  </si>
  <si>
    <t>P65615</t>
  </si>
  <si>
    <t>S5097</t>
  </si>
  <si>
    <t>U348728</t>
  </si>
  <si>
    <t>P59986</t>
  </si>
  <si>
    <t>S6881</t>
  </si>
  <si>
    <t>U387813</t>
  </si>
  <si>
    <t>P11061</t>
  </si>
  <si>
    <t>S1803</t>
  </si>
  <si>
    <t>U767542</t>
  </si>
  <si>
    <t>P34920</t>
  </si>
  <si>
    <t>S5106</t>
  </si>
  <si>
    <t>U134985</t>
  </si>
  <si>
    <t>P85965</t>
  </si>
  <si>
    <t>S3153</t>
  </si>
  <si>
    <t>U924718</t>
  </si>
  <si>
    <t>P80701</t>
  </si>
  <si>
    <t>S6994</t>
  </si>
  <si>
    <t>U943298</t>
  </si>
  <si>
    <t>P25095</t>
  </si>
  <si>
    <t>S2233</t>
  </si>
  <si>
    <t>U929090</t>
  </si>
  <si>
    <t>P61717</t>
  </si>
  <si>
    <t>S5332</t>
  </si>
  <si>
    <t>U712955</t>
  </si>
  <si>
    <t>P59941</t>
  </si>
  <si>
    <t>S7086</t>
  </si>
  <si>
    <t>U779112</t>
  </si>
  <si>
    <t>P18285</t>
  </si>
  <si>
    <t>S8606</t>
  </si>
  <si>
    <t>U139019</t>
  </si>
  <si>
    <t>P49893</t>
  </si>
  <si>
    <t>S2902</t>
  </si>
  <si>
    <t>U803055</t>
  </si>
  <si>
    <t>P80804</t>
  </si>
  <si>
    <t>S3531</t>
  </si>
  <si>
    <t>U823811</t>
  </si>
  <si>
    <t>P58566</t>
  </si>
  <si>
    <t>S8264</t>
  </si>
  <si>
    <t>U163491</t>
  </si>
  <si>
    <t>P62184</t>
  </si>
  <si>
    <t>S4109</t>
  </si>
  <si>
    <t>U122394</t>
  </si>
  <si>
    <t>P16629</t>
  </si>
  <si>
    <t>S6464</t>
  </si>
  <si>
    <t>U714867</t>
  </si>
  <si>
    <t>P38305</t>
  </si>
  <si>
    <t>S4817</t>
  </si>
  <si>
    <t>U666456</t>
  </si>
  <si>
    <t>P42853</t>
  </si>
  <si>
    <t>S3858</t>
  </si>
  <si>
    <t>U439498</t>
  </si>
  <si>
    <t>P12068</t>
  </si>
  <si>
    <t>S5347</t>
  </si>
  <si>
    <t>U599380</t>
  </si>
  <si>
    <t>P68756</t>
  </si>
  <si>
    <t>S6931</t>
  </si>
  <si>
    <t>U862569</t>
  </si>
  <si>
    <t>P96363</t>
  </si>
  <si>
    <t>S5941</t>
  </si>
  <si>
    <t>U614084</t>
  </si>
  <si>
    <t>P68138</t>
  </si>
  <si>
    <t>S2323</t>
  </si>
  <si>
    <t>U674993</t>
  </si>
  <si>
    <t>P52622</t>
  </si>
  <si>
    <t>S9692</t>
  </si>
  <si>
    <t>U931621</t>
  </si>
  <si>
    <t>P24996</t>
  </si>
  <si>
    <t>S4522</t>
  </si>
  <si>
    <t>U536196</t>
  </si>
  <si>
    <t>P22463</t>
  </si>
  <si>
    <t>S7992</t>
  </si>
  <si>
    <t>U195656</t>
  </si>
  <si>
    <t>P21188</t>
  </si>
  <si>
    <t>S8075</t>
  </si>
  <si>
    <t>U688967</t>
  </si>
  <si>
    <t>P53207</t>
  </si>
  <si>
    <t>S3002</t>
  </si>
  <si>
    <t>U729575</t>
  </si>
  <si>
    <t>P50953</t>
  </si>
  <si>
    <t>S2697</t>
  </si>
  <si>
    <t>U986438</t>
  </si>
  <si>
    <t>P82910</t>
  </si>
  <si>
    <t>S2882</t>
  </si>
  <si>
    <t>U127529</t>
  </si>
  <si>
    <t>P89822</t>
  </si>
  <si>
    <t>S5381</t>
  </si>
  <si>
    <t>U290217</t>
  </si>
  <si>
    <t>P28776</t>
  </si>
  <si>
    <t>S7566</t>
  </si>
  <si>
    <t>U325583</t>
  </si>
  <si>
    <t>P59308</t>
  </si>
  <si>
    <t>S8432</t>
  </si>
  <si>
    <t>U914571</t>
  </si>
  <si>
    <t>P84395</t>
  </si>
  <si>
    <t>S2391</t>
  </si>
  <si>
    <t>U385320</t>
  </si>
  <si>
    <t>P68079</t>
  </si>
  <si>
    <t>S7947</t>
  </si>
  <si>
    <t>U461939</t>
  </si>
  <si>
    <t>P66349</t>
  </si>
  <si>
    <t>S5640</t>
  </si>
  <si>
    <t>U728437</t>
  </si>
  <si>
    <t>P17180</t>
  </si>
  <si>
    <t>S4349</t>
  </si>
  <si>
    <t>U108105</t>
  </si>
  <si>
    <t>P75193</t>
  </si>
  <si>
    <t>S8055</t>
  </si>
  <si>
    <t>U685864</t>
  </si>
  <si>
    <t>P97562</t>
  </si>
  <si>
    <t>S6802</t>
  </si>
  <si>
    <t>U181644</t>
  </si>
  <si>
    <t>P51033</t>
  </si>
  <si>
    <t>S8033</t>
  </si>
  <si>
    <t>U121869</t>
  </si>
  <si>
    <t>P52568</t>
  </si>
  <si>
    <t>S8538</t>
  </si>
  <si>
    <t>U717476</t>
  </si>
  <si>
    <t>P62487</t>
  </si>
  <si>
    <t>S2288</t>
  </si>
  <si>
    <t>U180089</t>
  </si>
  <si>
    <t>P76910</t>
  </si>
  <si>
    <t>S2868</t>
  </si>
  <si>
    <t>U347745</t>
  </si>
  <si>
    <t>P23474</t>
  </si>
  <si>
    <t>S5193</t>
  </si>
  <si>
    <t>U285751</t>
  </si>
  <si>
    <t>P92306</t>
  </si>
  <si>
    <t>S8601</t>
  </si>
  <si>
    <t>U438908</t>
  </si>
  <si>
    <t>P92210</t>
  </si>
  <si>
    <t>S3473</t>
  </si>
  <si>
    <t>U720148</t>
  </si>
  <si>
    <t>P17362</t>
  </si>
  <si>
    <t>S9312</t>
  </si>
  <si>
    <t>U972097</t>
  </si>
  <si>
    <t>P47627</t>
  </si>
  <si>
    <t>S2479</t>
  </si>
  <si>
    <t>U571579</t>
  </si>
  <si>
    <t>P84928</t>
  </si>
  <si>
    <t>S4084</t>
  </si>
  <si>
    <t>U208529</t>
  </si>
  <si>
    <t>P55015</t>
  </si>
  <si>
    <t>S2381</t>
  </si>
  <si>
    <t>U649525</t>
  </si>
  <si>
    <t>P78517</t>
  </si>
  <si>
    <t>S3600</t>
  </si>
  <si>
    <t>U154909</t>
  </si>
  <si>
    <t>P92691</t>
  </si>
  <si>
    <t>S6482</t>
  </si>
  <si>
    <t>U364236</t>
  </si>
  <si>
    <t>P96057</t>
  </si>
  <si>
    <t>S3463</t>
  </si>
  <si>
    <t>U235215</t>
  </si>
  <si>
    <t>P87993</t>
  </si>
  <si>
    <t>S2388</t>
  </si>
  <si>
    <t>U197992</t>
  </si>
  <si>
    <t>P94675</t>
  </si>
  <si>
    <t>S7937</t>
  </si>
  <si>
    <t>U458332</t>
  </si>
  <si>
    <t>P73736</t>
  </si>
  <si>
    <t>S4711</t>
  </si>
  <si>
    <t>U975686</t>
  </si>
  <si>
    <t>P79013</t>
  </si>
  <si>
    <t>S6517</t>
  </si>
  <si>
    <t>U971728</t>
  </si>
  <si>
    <t>P91885</t>
  </si>
  <si>
    <t>S3712</t>
  </si>
  <si>
    <t>U565776</t>
  </si>
  <si>
    <t>P90031</t>
  </si>
  <si>
    <t>S8355</t>
  </si>
  <si>
    <t>U561999</t>
  </si>
  <si>
    <t>P70513</t>
  </si>
  <si>
    <t>S5616</t>
  </si>
  <si>
    <t>U154714</t>
  </si>
  <si>
    <t>P94040</t>
  </si>
  <si>
    <t>S7081</t>
  </si>
  <si>
    <t>U900185</t>
  </si>
  <si>
    <t>P31012</t>
  </si>
  <si>
    <t>S8361</t>
  </si>
  <si>
    <t>U127965</t>
  </si>
  <si>
    <t>P64381</t>
  </si>
  <si>
    <t>S7495</t>
  </si>
  <si>
    <t>U129556</t>
  </si>
  <si>
    <t>P51770</t>
  </si>
  <si>
    <t>S2623</t>
  </si>
  <si>
    <t>U829884</t>
  </si>
  <si>
    <t>P28191</t>
  </si>
  <si>
    <t>S8685</t>
  </si>
  <si>
    <t>U675462</t>
  </si>
  <si>
    <t>P89807</t>
  </si>
  <si>
    <t>S7934</t>
  </si>
  <si>
    <t>U540218</t>
  </si>
  <si>
    <t>P93748</t>
  </si>
  <si>
    <t>S8489</t>
  </si>
  <si>
    <t>U702980</t>
  </si>
  <si>
    <t>P41711</t>
  </si>
  <si>
    <t>S3352</t>
  </si>
  <si>
    <t>U536802</t>
  </si>
  <si>
    <t>P34551</t>
  </si>
  <si>
    <t>S2402</t>
  </si>
  <si>
    <t>U681070</t>
  </si>
  <si>
    <t>P12665</t>
  </si>
  <si>
    <t>S8702</t>
  </si>
  <si>
    <t>U926823</t>
  </si>
  <si>
    <t>P18855</t>
  </si>
  <si>
    <t>S4950</t>
  </si>
  <si>
    <t>U672536</t>
  </si>
  <si>
    <t>P54374</t>
  </si>
  <si>
    <t>S3868</t>
  </si>
  <si>
    <t>U166165</t>
  </si>
  <si>
    <t>P69988</t>
  </si>
  <si>
    <t>S5807</t>
  </si>
  <si>
    <t>U517568</t>
  </si>
  <si>
    <t>P81176</t>
  </si>
  <si>
    <t>S5150</t>
  </si>
  <si>
    <t>U386488</t>
  </si>
  <si>
    <t>P26315</t>
  </si>
  <si>
    <t>S7029</t>
  </si>
  <si>
    <t>U620306</t>
  </si>
  <si>
    <t>P75211</t>
  </si>
  <si>
    <t>S9507</t>
  </si>
  <si>
    <t>U962287</t>
  </si>
  <si>
    <t>P33652</t>
  </si>
  <si>
    <t>S5813</t>
  </si>
  <si>
    <t>U567576</t>
  </si>
  <si>
    <t>P88986</t>
  </si>
  <si>
    <t>S7981</t>
  </si>
  <si>
    <t>U744718</t>
  </si>
  <si>
    <t>P67008</t>
  </si>
  <si>
    <t>S1939</t>
  </si>
  <si>
    <t>U132653</t>
  </si>
  <si>
    <t>P28714</t>
  </si>
  <si>
    <t>S8179</t>
  </si>
  <si>
    <t>U501451</t>
  </si>
  <si>
    <t>P84349</t>
  </si>
  <si>
    <t>S3513</t>
  </si>
  <si>
    <t>U244383</t>
  </si>
  <si>
    <t>P79397</t>
  </si>
  <si>
    <t>S7521</t>
  </si>
  <si>
    <t>U623285</t>
  </si>
  <si>
    <t>P77861</t>
  </si>
  <si>
    <t>S2929</t>
  </si>
  <si>
    <t>U827691</t>
  </si>
  <si>
    <t>P74382</t>
  </si>
  <si>
    <t>S3009</t>
  </si>
  <si>
    <t>U949884</t>
  </si>
  <si>
    <t>P99381</t>
  </si>
  <si>
    <t>S6236</t>
  </si>
  <si>
    <t>U846385</t>
  </si>
  <si>
    <t>P93584</t>
  </si>
  <si>
    <t>S6922</t>
  </si>
  <si>
    <t>U127560</t>
  </si>
  <si>
    <t>P57303</t>
  </si>
  <si>
    <t>S7044</t>
  </si>
  <si>
    <t>U851759</t>
  </si>
  <si>
    <t>P72739</t>
  </si>
  <si>
    <t>S7730</t>
  </si>
  <si>
    <t>U588461</t>
  </si>
  <si>
    <t>P99143</t>
  </si>
  <si>
    <t>S6644</t>
  </si>
  <si>
    <t>U643269</t>
  </si>
  <si>
    <t>P30056</t>
  </si>
  <si>
    <t>S3697</t>
  </si>
  <si>
    <t>U987025</t>
  </si>
  <si>
    <t>P20336</t>
  </si>
  <si>
    <t>S4216</t>
  </si>
  <si>
    <t>U626986</t>
  </si>
  <si>
    <t>P94015</t>
  </si>
  <si>
    <t>S3526</t>
  </si>
  <si>
    <t>U772612</t>
  </si>
  <si>
    <t>P85598</t>
  </si>
  <si>
    <t>S4453</t>
  </si>
  <si>
    <t>U757629</t>
  </si>
  <si>
    <t>P81509</t>
  </si>
  <si>
    <t>S5949</t>
  </si>
  <si>
    <t>U822063</t>
  </si>
  <si>
    <t>P17852</t>
  </si>
  <si>
    <t>S8202</t>
  </si>
  <si>
    <t>U427766</t>
  </si>
  <si>
    <t>P51853</t>
  </si>
  <si>
    <t>S6658</t>
  </si>
  <si>
    <t>U353480</t>
  </si>
  <si>
    <t>P71141</t>
  </si>
  <si>
    <t>S5382</t>
  </si>
  <si>
    <t>U745270</t>
  </si>
  <si>
    <t>P64805</t>
  </si>
  <si>
    <t>S3616</t>
  </si>
  <si>
    <t>U589491</t>
  </si>
  <si>
    <t>P75373</t>
  </si>
  <si>
    <t>S6055</t>
  </si>
  <si>
    <t>U352422</t>
  </si>
  <si>
    <t>P38199</t>
  </si>
  <si>
    <t>S6781</t>
  </si>
  <si>
    <t>U399628</t>
  </si>
  <si>
    <t>P80345</t>
  </si>
  <si>
    <t>S2761</t>
  </si>
  <si>
    <t>U520040</t>
  </si>
  <si>
    <t>P16705</t>
  </si>
  <si>
    <t>S4189</t>
  </si>
  <si>
    <t>U393308</t>
  </si>
  <si>
    <t>P91689</t>
  </si>
  <si>
    <t>S2946</t>
  </si>
  <si>
    <t>U891638</t>
  </si>
  <si>
    <t>P28909</t>
  </si>
  <si>
    <t>S9341</t>
  </si>
  <si>
    <t>U943019</t>
  </si>
  <si>
    <t>P72094</t>
  </si>
  <si>
    <t>S8487</t>
  </si>
  <si>
    <t>U746447</t>
  </si>
  <si>
    <t>P49221</t>
  </si>
  <si>
    <t>S6511</t>
  </si>
  <si>
    <t>U486251</t>
  </si>
  <si>
    <t>P53416</t>
  </si>
  <si>
    <t>S2795</t>
  </si>
  <si>
    <t>U705693</t>
  </si>
  <si>
    <t>P39824</t>
  </si>
  <si>
    <t>S1841</t>
  </si>
  <si>
    <t>U912233</t>
  </si>
  <si>
    <t>P59832</t>
  </si>
  <si>
    <t>S4968</t>
  </si>
  <si>
    <t>U258787</t>
  </si>
  <si>
    <t>P64127</t>
  </si>
  <si>
    <t>S4340</t>
  </si>
  <si>
    <t>U688132</t>
  </si>
  <si>
    <t>P52604</t>
  </si>
  <si>
    <t>S8837</t>
  </si>
  <si>
    <t>U672808</t>
  </si>
  <si>
    <t>P56437</t>
  </si>
  <si>
    <t>S5331</t>
  </si>
  <si>
    <t>U335790</t>
  </si>
  <si>
    <t>P49008</t>
  </si>
  <si>
    <t>S5735</t>
  </si>
  <si>
    <t>U687713</t>
  </si>
  <si>
    <t>P45842</t>
  </si>
  <si>
    <t>S2996</t>
  </si>
  <si>
    <t>U401602</t>
  </si>
  <si>
    <t>P20358</t>
  </si>
  <si>
    <t>S8247</t>
  </si>
  <si>
    <t>U384303</t>
  </si>
  <si>
    <t>P83664</t>
  </si>
  <si>
    <t>S5450</t>
  </si>
  <si>
    <t>U802371</t>
  </si>
  <si>
    <t>P79604</t>
  </si>
  <si>
    <t>S4814</t>
  </si>
  <si>
    <t>U814281</t>
  </si>
  <si>
    <t>P28018</t>
  </si>
  <si>
    <t>S3587</t>
  </si>
  <si>
    <t>U777273</t>
  </si>
  <si>
    <t>P17754</t>
  </si>
  <si>
    <t>S2465</t>
  </si>
  <si>
    <t>U138105</t>
  </si>
  <si>
    <t>P62034</t>
  </si>
  <si>
    <t>S9116</t>
  </si>
  <si>
    <t>U212512</t>
  </si>
  <si>
    <t>P53914</t>
  </si>
  <si>
    <t>S8444</t>
  </si>
  <si>
    <t>U948102</t>
  </si>
  <si>
    <t>P24764</t>
  </si>
  <si>
    <t>S3662</t>
  </si>
  <si>
    <t>U872399</t>
  </si>
  <si>
    <t>P54185</t>
  </si>
  <si>
    <t>S5833</t>
  </si>
  <si>
    <t>U640310</t>
  </si>
  <si>
    <t>P52982</t>
  </si>
  <si>
    <t>S7567</t>
  </si>
  <si>
    <t>U107161</t>
  </si>
  <si>
    <t>P44181</t>
  </si>
  <si>
    <t>S4858</t>
  </si>
  <si>
    <t>U111991</t>
  </si>
  <si>
    <t>P44282</t>
  </si>
  <si>
    <t>S6890</t>
  </si>
  <si>
    <t>U267475</t>
  </si>
  <si>
    <t>P63138</t>
  </si>
  <si>
    <t>S9233</t>
  </si>
  <si>
    <t>U331577</t>
  </si>
  <si>
    <t>P38721</t>
  </si>
  <si>
    <t>S3188</t>
  </si>
  <si>
    <t>U593699</t>
  </si>
  <si>
    <t>P80453</t>
  </si>
  <si>
    <t>S4578</t>
  </si>
  <si>
    <t>U181896</t>
  </si>
  <si>
    <t>P83946</t>
  </si>
  <si>
    <t>S2011</t>
  </si>
  <si>
    <t>U995993</t>
  </si>
  <si>
    <t>P78202</t>
  </si>
  <si>
    <t>S2904</t>
  </si>
  <si>
    <t>U567122</t>
  </si>
  <si>
    <t>P17292</t>
  </si>
  <si>
    <t>S3161</t>
  </si>
  <si>
    <t>U805448</t>
  </si>
  <si>
    <t>P50392</t>
  </si>
  <si>
    <t>S1356</t>
  </si>
  <si>
    <t>U544278</t>
  </si>
  <si>
    <t>P55158</t>
  </si>
  <si>
    <t>S2044</t>
  </si>
  <si>
    <t>U288724</t>
  </si>
  <si>
    <t>P27750</t>
  </si>
  <si>
    <t>S7887</t>
  </si>
  <si>
    <t>U239449</t>
  </si>
  <si>
    <t>P95660</t>
  </si>
  <si>
    <t>S6697</t>
  </si>
  <si>
    <t>U975373</t>
  </si>
  <si>
    <t>P10455</t>
  </si>
  <si>
    <t>S1372</t>
  </si>
  <si>
    <t>U963355</t>
  </si>
  <si>
    <t>P40102</t>
  </si>
  <si>
    <t>S8546</t>
  </si>
  <si>
    <t>U948799</t>
  </si>
  <si>
    <t>P96533</t>
  </si>
  <si>
    <t>S1256</t>
  </si>
  <si>
    <t>U804667</t>
  </si>
  <si>
    <t>P16380</t>
  </si>
  <si>
    <t>S1724</t>
  </si>
  <si>
    <t>U628373</t>
  </si>
  <si>
    <t>P47914</t>
  </si>
  <si>
    <t>S6224</t>
  </si>
  <si>
    <t>U331780</t>
  </si>
  <si>
    <t>P64206</t>
  </si>
  <si>
    <t>S5508</t>
  </si>
  <si>
    <t>U461145</t>
  </si>
  <si>
    <t>P94320</t>
  </si>
  <si>
    <t>S7244</t>
  </si>
  <si>
    <t>U494747</t>
  </si>
  <si>
    <t>P34101</t>
  </si>
  <si>
    <t>S9813</t>
  </si>
  <si>
    <t>U160423</t>
  </si>
  <si>
    <t>P83713</t>
  </si>
  <si>
    <t>S7824</t>
  </si>
  <si>
    <t>U778120</t>
  </si>
  <si>
    <t>P20363</t>
  </si>
  <si>
    <t>S8369</t>
  </si>
  <si>
    <t>U381502</t>
  </si>
  <si>
    <t>P59436</t>
  </si>
  <si>
    <t>S1647</t>
  </si>
  <si>
    <t>U449138</t>
  </si>
  <si>
    <t>P49739</t>
  </si>
  <si>
    <t>S1251</t>
  </si>
  <si>
    <t>U837954</t>
  </si>
  <si>
    <t>P36805</t>
  </si>
  <si>
    <t>S4921</t>
  </si>
  <si>
    <t>U423404</t>
  </si>
  <si>
    <t>P44283</t>
  </si>
  <si>
    <t>S9401</t>
  </si>
  <si>
    <t>U428122</t>
  </si>
  <si>
    <t>P64254</t>
  </si>
  <si>
    <t>S4625</t>
  </si>
  <si>
    <t>U854987</t>
  </si>
  <si>
    <t>P64732</t>
  </si>
  <si>
    <t>S3497</t>
  </si>
  <si>
    <t>U677390</t>
  </si>
  <si>
    <t>P95800</t>
  </si>
  <si>
    <t>S6530</t>
  </si>
  <si>
    <t>U277487</t>
  </si>
  <si>
    <t>P28344</t>
  </si>
  <si>
    <t>S9954</t>
  </si>
  <si>
    <t>U901467</t>
  </si>
  <si>
    <t>P10836</t>
  </si>
  <si>
    <t>S3252</t>
  </si>
  <si>
    <t>U578160</t>
  </si>
  <si>
    <t>P58916</t>
  </si>
  <si>
    <t>S8916</t>
  </si>
  <si>
    <t>U655134</t>
  </si>
  <si>
    <t>P46010</t>
  </si>
  <si>
    <t>S5697</t>
  </si>
  <si>
    <t>U256130</t>
  </si>
  <si>
    <t>P41584</t>
  </si>
  <si>
    <t>S9625</t>
  </si>
  <si>
    <t>U581294</t>
  </si>
  <si>
    <t>P84055</t>
  </si>
  <si>
    <t>S4700</t>
  </si>
  <si>
    <t>U495490</t>
  </si>
  <si>
    <t>P82443</t>
  </si>
  <si>
    <t>S1919</t>
  </si>
  <si>
    <t>U776234</t>
  </si>
  <si>
    <t>P53420</t>
  </si>
  <si>
    <t>S2562</t>
  </si>
  <si>
    <t>U384263</t>
  </si>
  <si>
    <t>P16102</t>
  </si>
  <si>
    <t>S2218</t>
  </si>
  <si>
    <t>U991737</t>
  </si>
  <si>
    <t>P51220</t>
  </si>
  <si>
    <t>S4394</t>
  </si>
  <si>
    <t>U691353</t>
  </si>
  <si>
    <t>P41519</t>
  </si>
  <si>
    <t>S7375</t>
  </si>
  <si>
    <t>U625119</t>
  </si>
  <si>
    <t>P55332</t>
  </si>
  <si>
    <t>S2600</t>
  </si>
  <si>
    <t>U515973</t>
  </si>
  <si>
    <t>P52778</t>
  </si>
  <si>
    <t>S5478</t>
  </si>
  <si>
    <t>U294760</t>
  </si>
  <si>
    <t>P99088</t>
  </si>
  <si>
    <t>S7227</t>
  </si>
  <si>
    <t>U498458</t>
  </si>
  <si>
    <t>P93086</t>
  </si>
  <si>
    <t>S7383</t>
  </si>
  <si>
    <t>U477400</t>
  </si>
  <si>
    <t>P45358</t>
  </si>
  <si>
    <t>U527865</t>
  </si>
  <si>
    <t>P23538</t>
  </si>
  <si>
    <t>S2468</t>
  </si>
  <si>
    <t>U406024</t>
  </si>
  <si>
    <t>P64238</t>
  </si>
  <si>
    <t>S2387</t>
  </si>
  <si>
    <t>U277735</t>
  </si>
  <si>
    <t>P28198</t>
  </si>
  <si>
    <t>S5933</t>
  </si>
  <si>
    <t>U541557</t>
  </si>
  <si>
    <t>P49289</t>
  </si>
  <si>
    <t>S2260</t>
  </si>
  <si>
    <t>U580102</t>
  </si>
  <si>
    <t>P24021</t>
  </si>
  <si>
    <t>S5991</t>
  </si>
  <si>
    <t>U450996</t>
  </si>
  <si>
    <t>P66441</t>
  </si>
  <si>
    <t>S3230</t>
  </si>
  <si>
    <t>U517584</t>
  </si>
  <si>
    <t>P51830</t>
  </si>
  <si>
    <t>S9044</t>
  </si>
  <si>
    <t>U219420</t>
  </si>
  <si>
    <t>P83905</t>
  </si>
  <si>
    <t>S9939</t>
  </si>
  <si>
    <t>U936433</t>
  </si>
  <si>
    <t>P48185</t>
  </si>
  <si>
    <t>S2133</t>
  </si>
  <si>
    <t>U849979</t>
  </si>
  <si>
    <t>P65460</t>
  </si>
  <si>
    <t>S7176</t>
  </si>
  <si>
    <t>U631221</t>
  </si>
  <si>
    <t>P64827</t>
  </si>
  <si>
    <t>S1602</t>
  </si>
  <si>
    <t>U274418</t>
  </si>
  <si>
    <t>P94803</t>
  </si>
  <si>
    <t>S1725</t>
  </si>
  <si>
    <t>U371306</t>
  </si>
  <si>
    <t>P39098</t>
  </si>
  <si>
    <t>S9499</t>
  </si>
  <si>
    <t>U823975</t>
  </si>
  <si>
    <t>P75597</t>
  </si>
  <si>
    <t>S6651</t>
  </si>
  <si>
    <t>U971699</t>
  </si>
  <si>
    <t>P28569</t>
  </si>
  <si>
    <t>S6110</t>
  </si>
  <si>
    <t>U202365</t>
  </si>
  <si>
    <t>P67431</t>
  </si>
  <si>
    <t>S8412</t>
  </si>
  <si>
    <t>U779445</t>
  </si>
  <si>
    <t>P24334</t>
  </si>
  <si>
    <t>S3692</t>
  </si>
  <si>
    <t>U687044</t>
  </si>
  <si>
    <t>P65885</t>
  </si>
  <si>
    <t>S8570</t>
  </si>
  <si>
    <t>U514798</t>
  </si>
  <si>
    <t>P13826</t>
  </si>
  <si>
    <t>S4232</t>
  </si>
  <si>
    <t>U315780</t>
  </si>
  <si>
    <t>P46483</t>
  </si>
  <si>
    <t>S2025</t>
  </si>
  <si>
    <t>U579776</t>
  </si>
  <si>
    <t>P24936</t>
  </si>
  <si>
    <t>S9019</t>
  </si>
  <si>
    <t>U219781</t>
  </si>
  <si>
    <t>P55603</t>
  </si>
  <si>
    <t>S8501</t>
  </si>
  <si>
    <t>U804758</t>
  </si>
  <si>
    <t>P27556</t>
  </si>
  <si>
    <t>S2931</t>
  </si>
  <si>
    <t>U635638</t>
  </si>
  <si>
    <t>P60916</t>
  </si>
  <si>
    <t>S3258</t>
  </si>
  <si>
    <t>U827117</t>
  </si>
  <si>
    <t>P94575</t>
  </si>
  <si>
    <t>S3838</t>
  </si>
  <si>
    <t>U982885</t>
  </si>
  <si>
    <t>P69113</t>
  </si>
  <si>
    <t>S1878</t>
  </si>
  <si>
    <t>U629990</t>
  </si>
  <si>
    <t>P95599</t>
  </si>
  <si>
    <t>S7703</t>
  </si>
  <si>
    <t>U692862</t>
  </si>
  <si>
    <t>P14044</t>
  </si>
  <si>
    <t>S4613</t>
  </si>
  <si>
    <t>U276379</t>
  </si>
  <si>
    <t>P69942</t>
  </si>
  <si>
    <t>S9115</t>
  </si>
  <si>
    <t>U668373</t>
  </si>
  <si>
    <t>P15453</t>
  </si>
  <si>
    <t>S8231</t>
  </si>
  <si>
    <t>U571578</t>
  </si>
  <si>
    <t>P44447</t>
  </si>
  <si>
    <t>S2425</t>
  </si>
  <si>
    <t>U845279</t>
  </si>
  <si>
    <t>P89988</t>
  </si>
  <si>
    <t>S8015</t>
  </si>
  <si>
    <t>U658136</t>
  </si>
  <si>
    <t>P46842</t>
  </si>
  <si>
    <t>S9827</t>
  </si>
  <si>
    <t>U999695</t>
  </si>
  <si>
    <t>P77425</t>
  </si>
  <si>
    <t>S2560</t>
  </si>
  <si>
    <t>U361805</t>
  </si>
  <si>
    <t>P29168</t>
  </si>
  <si>
    <t>S6277</t>
  </si>
  <si>
    <t>U758309</t>
  </si>
  <si>
    <t>P64293</t>
  </si>
  <si>
    <t>S8405</t>
  </si>
  <si>
    <t>U576782</t>
  </si>
  <si>
    <t>P73968</t>
  </si>
  <si>
    <t>S1040</t>
  </si>
  <si>
    <t>U991401</t>
  </si>
  <si>
    <t>P18300</t>
  </si>
  <si>
    <t>S9756</t>
  </si>
  <si>
    <t>U968581</t>
  </si>
  <si>
    <t>P47171</t>
  </si>
  <si>
    <t>S9967</t>
  </si>
  <si>
    <t>U148174</t>
  </si>
  <si>
    <t>P23051</t>
  </si>
  <si>
    <t>S8529</t>
  </si>
  <si>
    <t>U312146</t>
  </si>
  <si>
    <t>P27290</t>
  </si>
  <si>
    <t>S5945</t>
  </si>
  <si>
    <t>U796787</t>
  </si>
  <si>
    <t>P95054</t>
  </si>
  <si>
    <t>S1848</t>
  </si>
  <si>
    <t>U837880</t>
  </si>
  <si>
    <t>P22475</t>
  </si>
  <si>
    <t>S4496</t>
  </si>
  <si>
    <t>U109738</t>
  </si>
  <si>
    <t>P11056</t>
  </si>
  <si>
    <t>S6629</t>
  </si>
  <si>
    <t>U501677</t>
  </si>
  <si>
    <t>P21708</t>
  </si>
  <si>
    <t>S2678</t>
  </si>
  <si>
    <t>U772741</t>
  </si>
  <si>
    <t>P98753</t>
  </si>
  <si>
    <t>S2120</t>
  </si>
  <si>
    <t>U758589</t>
  </si>
  <si>
    <t>P29840</t>
  </si>
  <si>
    <t>S7745</t>
  </si>
  <si>
    <t>U718213</t>
  </si>
  <si>
    <t>P60335</t>
  </si>
  <si>
    <t>S8035</t>
  </si>
  <si>
    <t>U680278</t>
  </si>
  <si>
    <t>P88774</t>
  </si>
  <si>
    <t>S5668</t>
  </si>
  <si>
    <t>U634273</t>
  </si>
  <si>
    <t>P34726</t>
  </si>
  <si>
    <t>S7418</t>
  </si>
  <si>
    <t>U623850</t>
  </si>
  <si>
    <t>P93634</t>
  </si>
  <si>
    <t>S2163</t>
  </si>
  <si>
    <t>U541307</t>
  </si>
  <si>
    <t>P57895</t>
  </si>
  <si>
    <t>S3830</t>
  </si>
  <si>
    <t>U326222</t>
  </si>
  <si>
    <t>P15220</t>
  </si>
  <si>
    <t>S1990</t>
  </si>
  <si>
    <t>U186431</t>
  </si>
  <si>
    <t>P93956</t>
  </si>
  <si>
    <t>S9808</t>
  </si>
  <si>
    <t>U313068</t>
  </si>
  <si>
    <t>P30365</t>
  </si>
  <si>
    <t>S6353</t>
  </si>
  <si>
    <t>U160718</t>
  </si>
  <si>
    <t>P42044</t>
  </si>
  <si>
    <t>S8118</t>
  </si>
  <si>
    <t>U225245</t>
  </si>
  <si>
    <t>P11660</t>
  </si>
  <si>
    <t>S3248</t>
  </si>
  <si>
    <t>U921021</t>
  </si>
  <si>
    <t>P43980</t>
  </si>
  <si>
    <t>S7092</t>
  </si>
  <si>
    <t>U385192</t>
  </si>
  <si>
    <t>P78662</t>
  </si>
  <si>
    <t>S5308</t>
  </si>
  <si>
    <t>U623879</t>
  </si>
  <si>
    <t>P84302</t>
  </si>
  <si>
    <t>S7024</t>
  </si>
  <si>
    <t>U339499</t>
  </si>
  <si>
    <t>P76692</t>
  </si>
  <si>
    <t>S1721</t>
  </si>
  <si>
    <t>U257375</t>
  </si>
  <si>
    <t>P33456</t>
  </si>
  <si>
    <t>S1579</t>
  </si>
  <si>
    <t>U384434</t>
  </si>
  <si>
    <t>P20208</t>
  </si>
  <si>
    <t>S7108</t>
  </si>
  <si>
    <t>U172274</t>
  </si>
  <si>
    <t>P70960</t>
  </si>
  <si>
    <t>S5625</t>
  </si>
  <si>
    <t>U310418</t>
  </si>
  <si>
    <t>P48219</t>
  </si>
  <si>
    <t>S5979</t>
  </si>
  <si>
    <t>U868043</t>
  </si>
  <si>
    <t>P81638</t>
  </si>
  <si>
    <t>S5016</t>
  </si>
  <si>
    <t>U766833</t>
  </si>
  <si>
    <t>P11257</t>
  </si>
  <si>
    <t>S6488</t>
  </si>
  <si>
    <t>U349736</t>
  </si>
  <si>
    <t>P65026</t>
  </si>
  <si>
    <t>S1981</t>
  </si>
  <si>
    <t>U834891</t>
  </si>
  <si>
    <t>P58823</t>
  </si>
  <si>
    <t>U720647</t>
  </si>
  <si>
    <t>P84425</t>
  </si>
  <si>
    <t>S8126</t>
  </si>
  <si>
    <t>U834764</t>
  </si>
  <si>
    <t>P52762</t>
  </si>
  <si>
    <t>S8417</t>
  </si>
  <si>
    <t>U262959</t>
  </si>
  <si>
    <t>P23848</t>
  </si>
  <si>
    <t>S8365</t>
  </si>
  <si>
    <t>U423284</t>
  </si>
  <si>
    <t>P70731</t>
  </si>
  <si>
    <t>S2964</t>
  </si>
  <si>
    <t>U142288</t>
  </si>
  <si>
    <t>P38183</t>
  </si>
  <si>
    <t>S6370</t>
  </si>
  <si>
    <t>U151328</t>
  </si>
  <si>
    <t>P98759</t>
  </si>
  <si>
    <t>S5262</t>
  </si>
  <si>
    <t>U361989</t>
  </si>
  <si>
    <t>P22415</t>
  </si>
  <si>
    <t>S2669</t>
  </si>
  <si>
    <t>U963684</t>
  </si>
  <si>
    <t>P62505</t>
  </si>
  <si>
    <t>S2376</t>
  </si>
  <si>
    <t>U948611</t>
  </si>
  <si>
    <t>P26880</t>
  </si>
  <si>
    <t>S6432</t>
  </si>
  <si>
    <t>U961599</t>
  </si>
  <si>
    <t>P61773</t>
  </si>
  <si>
    <t>S1483</t>
  </si>
  <si>
    <t>U393448</t>
  </si>
  <si>
    <t>P68459</t>
  </si>
  <si>
    <t>S3435</t>
  </si>
  <si>
    <t>U602300</t>
  </si>
  <si>
    <t>P17992</t>
  </si>
  <si>
    <t>S5583</t>
  </si>
  <si>
    <t>U761393</t>
  </si>
  <si>
    <t>P81258</t>
  </si>
  <si>
    <t>S1319</t>
  </si>
  <si>
    <t>U626797</t>
  </si>
  <si>
    <t>P52153</t>
  </si>
  <si>
    <t>S5430</t>
  </si>
  <si>
    <t>U161437</t>
  </si>
  <si>
    <t>P71824</t>
  </si>
  <si>
    <t>S6856</t>
  </si>
  <si>
    <t>U379473</t>
  </si>
  <si>
    <t>P79951</t>
  </si>
  <si>
    <t>U433451</t>
  </si>
  <si>
    <t>P57026</t>
  </si>
  <si>
    <t>S1462</t>
  </si>
  <si>
    <t>U297377</t>
  </si>
  <si>
    <t>P74517</t>
  </si>
  <si>
    <t>S6063</t>
  </si>
  <si>
    <t>U329437</t>
  </si>
  <si>
    <t>P12612</t>
  </si>
  <si>
    <t>S8831</t>
  </si>
  <si>
    <t>U941403</t>
  </si>
  <si>
    <t>P52413</t>
  </si>
  <si>
    <t>S1359</t>
  </si>
  <si>
    <t>U838761</t>
  </si>
  <si>
    <t>P96787</t>
  </si>
  <si>
    <t>S2655</t>
  </si>
  <si>
    <t>U930307</t>
  </si>
  <si>
    <t>P93789</t>
  </si>
  <si>
    <t>S8982</t>
  </si>
  <si>
    <t>U334081</t>
  </si>
  <si>
    <t>P97232</t>
  </si>
  <si>
    <t>S3872</t>
  </si>
  <si>
    <t>U836109</t>
  </si>
  <si>
    <t>P85082</t>
  </si>
  <si>
    <t>S1530</t>
  </si>
  <si>
    <t>U620287</t>
  </si>
  <si>
    <t>P28434</t>
  </si>
  <si>
    <t>S2274</t>
  </si>
  <si>
    <t>U568325</t>
  </si>
  <si>
    <t>P11493</t>
  </si>
  <si>
    <t>S4435</t>
  </si>
  <si>
    <t>U150486</t>
  </si>
  <si>
    <t>P60585</t>
  </si>
  <si>
    <t>S7875</t>
  </si>
  <si>
    <t>U206355</t>
  </si>
  <si>
    <t>P72847</t>
  </si>
  <si>
    <t>S4695</t>
  </si>
  <si>
    <t>U373812</t>
  </si>
  <si>
    <t>P23726</t>
  </si>
  <si>
    <t>S6600</t>
  </si>
  <si>
    <t>U743453</t>
  </si>
  <si>
    <t>P73273</t>
  </si>
  <si>
    <t>S1507</t>
  </si>
  <si>
    <t>U447177</t>
  </si>
  <si>
    <t>P36941</t>
  </si>
  <si>
    <t>S4112</t>
  </si>
  <si>
    <t>U152046</t>
  </si>
  <si>
    <t>P61498</t>
  </si>
  <si>
    <t>S9043</t>
  </si>
  <si>
    <t>U963918</t>
  </si>
  <si>
    <t>P96772</t>
  </si>
  <si>
    <t>S8869</t>
  </si>
  <si>
    <t>U185916</t>
  </si>
  <si>
    <t>P72071</t>
  </si>
  <si>
    <t>S2892</t>
  </si>
  <si>
    <t>U773045</t>
  </si>
  <si>
    <t>P81319</t>
  </si>
  <si>
    <t>S4029</t>
  </si>
  <si>
    <t>U561101</t>
  </si>
  <si>
    <t>P70956</t>
  </si>
  <si>
    <t>S4706</t>
  </si>
  <si>
    <t>U947438</t>
  </si>
  <si>
    <t>P80968</t>
  </si>
  <si>
    <t>S4727</t>
  </si>
  <si>
    <t>U700534</t>
  </si>
  <si>
    <t>P40886</t>
  </si>
  <si>
    <t>S5896</t>
  </si>
  <si>
    <t>U281276</t>
  </si>
  <si>
    <t>P31910</t>
  </si>
  <si>
    <t>S4471</t>
  </si>
  <si>
    <t>U311727</t>
  </si>
  <si>
    <t>P92211</t>
  </si>
  <si>
    <t>S5225</t>
  </si>
  <si>
    <t>U441968</t>
  </si>
  <si>
    <t>P46202</t>
  </si>
  <si>
    <t>S8506</t>
  </si>
  <si>
    <t>U716493</t>
  </si>
  <si>
    <t>P86372</t>
  </si>
  <si>
    <t>S2641</t>
  </si>
  <si>
    <t>U501650</t>
  </si>
  <si>
    <t>P95824</t>
  </si>
  <si>
    <t>S8750</t>
  </si>
  <si>
    <t>U738221</t>
  </si>
  <si>
    <t>P99235</t>
  </si>
  <si>
    <t>S7581</t>
  </si>
  <si>
    <t>U381631</t>
  </si>
  <si>
    <t>P58816</t>
  </si>
  <si>
    <t>S6535</t>
  </si>
  <si>
    <t>U339030</t>
  </si>
  <si>
    <t>P27614</t>
  </si>
  <si>
    <t>S8259</t>
  </si>
  <si>
    <t>U297064</t>
  </si>
  <si>
    <t>P67896</t>
  </si>
  <si>
    <t>S7671</t>
  </si>
  <si>
    <t>U168804</t>
  </si>
  <si>
    <t>P50779</t>
  </si>
  <si>
    <t>S9303</t>
  </si>
  <si>
    <t>U973390</t>
  </si>
  <si>
    <t>P36309</t>
  </si>
  <si>
    <t>S1944</t>
  </si>
  <si>
    <t>U387286</t>
  </si>
  <si>
    <t>P58280</t>
  </si>
  <si>
    <t>S8605</t>
  </si>
  <si>
    <t>U612530</t>
  </si>
  <si>
    <t>P87862</t>
  </si>
  <si>
    <t>S3909</t>
  </si>
  <si>
    <t>U398916</t>
  </si>
  <si>
    <t>P13597</t>
  </si>
  <si>
    <t>S1813</t>
  </si>
  <si>
    <t>U783238</t>
  </si>
  <si>
    <t>P63674</t>
  </si>
  <si>
    <t>S1328</t>
  </si>
  <si>
    <t>U939767</t>
  </si>
  <si>
    <t>P11109</t>
  </si>
  <si>
    <t>S5135</t>
  </si>
  <si>
    <t>P43029</t>
  </si>
  <si>
    <t>S8646</t>
  </si>
  <si>
    <t>U688730</t>
  </si>
  <si>
    <t>P94848</t>
  </si>
  <si>
    <t>S5631</t>
  </si>
  <si>
    <t>U390334</t>
  </si>
  <si>
    <t>P44229</t>
  </si>
  <si>
    <t>S5895</t>
  </si>
  <si>
    <t>U792616</t>
  </si>
  <si>
    <t>P51888</t>
  </si>
  <si>
    <t>S3292</t>
  </si>
  <si>
    <t>U524252</t>
  </si>
  <si>
    <t>P60891</t>
  </si>
  <si>
    <t>S1578</t>
  </si>
  <si>
    <t>U819656</t>
  </si>
  <si>
    <t>P80075</t>
  </si>
  <si>
    <t>S8794</t>
  </si>
  <si>
    <t>U289934</t>
  </si>
  <si>
    <t>P48506</t>
  </si>
  <si>
    <t>S8713</t>
  </si>
  <si>
    <t>U786224</t>
  </si>
  <si>
    <t>P21704</t>
  </si>
  <si>
    <t>S6820</t>
  </si>
  <si>
    <t>U408334</t>
  </si>
  <si>
    <t>P70786</t>
  </si>
  <si>
    <t>U595158</t>
  </si>
  <si>
    <t>P35499</t>
  </si>
  <si>
    <t>S2963</t>
  </si>
  <si>
    <t>U244037</t>
  </si>
  <si>
    <t>P36253</t>
  </si>
  <si>
    <t>S7704</t>
  </si>
  <si>
    <t>U611265</t>
  </si>
  <si>
    <t>P53598</t>
  </si>
  <si>
    <t>S3897</t>
  </si>
  <si>
    <t>U704272</t>
  </si>
  <si>
    <t>P30766</t>
  </si>
  <si>
    <t>S2442</t>
  </si>
  <si>
    <t>U501936</t>
  </si>
  <si>
    <t>P10611</t>
  </si>
  <si>
    <t>S9745</t>
  </si>
  <si>
    <t>U809621</t>
  </si>
  <si>
    <t>P10540</t>
  </si>
  <si>
    <t>S5076</t>
  </si>
  <si>
    <t>U717265</t>
  </si>
  <si>
    <t>P50123</t>
  </si>
  <si>
    <t>S2069</t>
  </si>
  <si>
    <t>U649577</t>
  </si>
  <si>
    <t>P54280</t>
  </si>
  <si>
    <t>S3192</t>
  </si>
  <si>
    <t>U339513</t>
  </si>
  <si>
    <t>P39402</t>
  </si>
  <si>
    <t>S3149</t>
  </si>
  <si>
    <t>U845652</t>
  </si>
  <si>
    <t>P95267</t>
  </si>
  <si>
    <t>S1612</t>
  </si>
  <si>
    <t>U794125</t>
  </si>
  <si>
    <t>P24170</t>
  </si>
  <si>
    <t>S1323</t>
  </si>
  <si>
    <t>U365015</t>
  </si>
  <si>
    <t>P72180</t>
  </si>
  <si>
    <t>S3508</t>
  </si>
  <si>
    <t>U794663</t>
  </si>
  <si>
    <t>P78197</t>
  </si>
  <si>
    <t>S3247</t>
  </si>
  <si>
    <t>U922880</t>
  </si>
  <si>
    <t>P23928</t>
  </si>
  <si>
    <t>S4254</t>
  </si>
  <si>
    <t>U409698</t>
  </si>
  <si>
    <t>P31020</t>
  </si>
  <si>
    <t>S9980</t>
  </si>
  <si>
    <t>U113368</t>
  </si>
  <si>
    <t>P98032</t>
  </si>
  <si>
    <t>S2809</t>
  </si>
  <si>
    <t>U368322</t>
  </si>
  <si>
    <t>P94454</t>
  </si>
  <si>
    <t>S8483</t>
  </si>
  <si>
    <t>U993647</t>
  </si>
  <si>
    <t>P48085</t>
  </si>
  <si>
    <t>S6123</t>
  </si>
  <si>
    <t>U444625</t>
  </si>
  <si>
    <t>P56861</t>
  </si>
  <si>
    <t>S8171</t>
  </si>
  <si>
    <t>U219361</t>
  </si>
  <si>
    <t>P62530</t>
  </si>
  <si>
    <t>S8479</t>
  </si>
  <si>
    <t>U218548</t>
  </si>
  <si>
    <t>P27368</t>
  </si>
  <si>
    <t>S1960</t>
  </si>
  <si>
    <t>U290065</t>
  </si>
  <si>
    <t>P90127</t>
  </si>
  <si>
    <t>S6875</t>
  </si>
  <si>
    <t>U531262</t>
  </si>
  <si>
    <t>P67761</t>
  </si>
  <si>
    <t>S2037</t>
  </si>
  <si>
    <t>U334865</t>
  </si>
  <si>
    <t>P97797</t>
  </si>
  <si>
    <t>S6542</t>
  </si>
  <si>
    <t>U255875</t>
  </si>
  <si>
    <t>P83183</t>
  </si>
  <si>
    <t>S1894</t>
  </si>
  <si>
    <t>U887931</t>
  </si>
  <si>
    <t>P74441</t>
  </si>
  <si>
    <t>S4946</t>
  </si>
  <si>
    <t>U522866</t>
  </si>
  <si>
    <t>P40801</t>
  </si>
  <si>
    <t>S8521</t>
  </si>
  <si>
    <t>U621533</t>
  </si>
  <si>
    <t>P95638</t>
  </si>
  <si>
    <t>S2681</t>
  </si>
  <si>
    <t>U930244</t>
  </si>
  <si>
    <t>P89194</t>
  </si>
  <si>
    <t>S5990</t>
  </si>
  <si>
    <t>U956255</t>
  </si>
  <si>
    <t>P39218</t>
  </si>
  <si>
    <t>S8445</t>
  </si>
  <si>
    <t>U202170</t>
  </si>
  <si>
    <t>P96364</t>
  </si>
  <si>
    <t>S1035</t>
  </si>
  <si>
    <t>U836201</t>
  </si>
  <si>
    <t>P23935</t>
  </si>
  <si>
    <t>S3689</t>
  </si>
  <si>
    <t>U305438</t>
  </si>
  <si>
    <t>P34581</t>
  </si>
  <si>
    <t>S7437</t>
  </si>
  <si>
    <t>U764000</t>
  </si>
  <si>
    <t>P98098</t>
  </si>
  <si>
    <t>S3018</t>
  </si>
  <si>
    <t>U104548</t>
  </si>
  <si>
    <t>P79515</t>
  </si>
  <si>
    <t>S1795</t>
  </si>
  <si>
    <t>U282085</t>
  </si>
  <si>
    <t>P26827</t>
  </si>
  <si>
    <t>S7347</t>
  </si>
  <si>
    <t>U386886</t>
  </si>
  <si>
    <t>P62149</t>
  </si>
  <si>
    <t>S6617</t>
  </si>
  <si>
    <t>U413433</t>
  </si>
  <si>
    <t>P81802</t>
  </si>
  <si>
    <t>S6143</t>
  </si>
  <si>
    <t>U819964</t>
  </si>
  <si>
    <t>P55258</t>
  </si>
  <si>
    <t>S3173</t>
  </si>
  <si>
    <t>U844858</t>
  </si>
  <si>
    <t>P25126</t>
  </si>
  <si>
    <t>S6771</t>
  </si>
  <si>
    <t>U806995</t>
  </si>
  <si>
    <t>P79979</t>
  </si>
  <si>
    <t>S7920</t>
  </si>
  <si>
    <t>U309612</t>
  </si>
  <si>
    <t>P44993</t>
  </si>
  <si>
    <t>S3636</t>
  </si>
  <si>
    <t>U133875</t>
  </si>
  <si>
    <t>P57013</t>
  </si>
  <si>
    <t>S8415</t>
  </si>
  <si>
    <t>U922405</t>
  </si>
  <si>
    <t>P47701</t>
  </si>
  <si>
    <t>S1769</t>
  </si>
  <si>
    <t>U879794</t>
  </si>
  <si>
    <t>P42943</t>
  </si>
  <si>
    <t>U913848</t>
  </si>
  <si>
    <t>P35362</t>
  </si>
  <si>
    <t>S8353</t>
  </si>
  <si>
    <t>U495521</t>
  </si>
  <si>
    <t>P15326</t>
  </si>
  <si>
    <t>S5572</t>
  </si>
  <si>
    <t>U446620</t>
  </si>
  <si>
    <t>P71122</t>
  </si>
  <si>
    <t>S3536</t>
  </si>
  <si>
    <t>U984096</t>
  </si>
  <si>
    <t>P96755</t>
  </si>
  <si>
    <t>S9037</t>
  </si>
  <si>
    <t>U645895</t>
  </si>
  <si>
    <t>P18936</t>
  </si>
  <si>
    <t>S9276</t>
  </si>
  <si>
    <t>U331942</t>
  </si>
  <si>
    <t>P37964</t>
  </si>
  <si>
    <t>S6437</t>
  </si>
  <si>
    <t>U688602</t>
  </si>
  <si>
    <t>P95105</t>
  </si>
  <si>
    <t>S2879</t>
  </si>
  <si>
    <t>U355671</t>
  </si>
  <si>
    <t>P15226</t>
  </si>
  <si>
    <t>S6258</t>
  </si>
  <si>
    <t>U125905</t>
  </si>
  <si>
    <t>P77746</t>
  </si>
  <si>
    <t>S7143</t>
  </si>
  <si>
    <t>U435872</t>
  </si>
  <si>
    <t>P77357</t>
  </si>
  <si>
    <t>S2572</t>
  </si>
  <si>
    <t>U818699</t>
  </si>
  <si>
    <t>P65601</t>
  </si>
  <si>
    <t>S2702</t>
  </si>
  <si>
    <t>U851690</t>
  </si>
  <si>
    <t>P53478</t>
  </si>
  <si>
    <t>S2433</t>
  </si>
  <si>
    <t>U961530</t>
  </si>
  <si>
    <t>P39837</t>
  </si>
  <si>
    <t>S5237</t>
  </si>
  <si>
    <t>U508422</t>
  </si>
  <si>
    <t>P98250</t>
  </si>
  <si>
    <t>S9762</t>
  </si>
  <si>
    <t>U475075</t>
  </si>
  <si>
    <t>P75907</t>
  </si>
  <si>
    <t>S5748</t>
  </si>
  <si>
    <t>U514306</t>
  </si>
  <si>
    <t>P96602</t>
  </si>
  <si>
    <t>S8765</t>
  </si>
  <si>
    <t>U412534</t>
  </si>
  <si>
    <t>P98773</t>
  </si>
  <si>
    <t>S7113</t>
  </si>
  <si>
    <t>U513224</t>
  </si>
  <si>
    <t>P80405</t>
  </si>
  <si>
    <t>S2394</t>
  </si>
  <si>
    <t>U249375</t>
  </si>
  <si>
    <t>P31096</t>
  </si>
  <si>
    <t>S4617</t>
  </si>
  <si>
    <t>U993650</t>
  </si>
  <si>
    <t>P17128</t>
  </si>
  <si>
    <t>S9992</t>
  </si>
  <si>
    <t>U860835</t>
  </si>
  <si>
    <t>P86099</t>
  </si>
  <si>
    <t>S6420</t>
  </si>
  <si>
    <t>U173199</t>
  </si>
  <si>
    <t>S8960</t>
  </si>
  <si>
    <t>U693024</t>
  </si>
  <si>
    <t>P84299</t>
  </si>
  <si>
    <t>S6182</t>
  </si>
  <si>
    <t>U390119</t>
  </si>
  <si>
    <t>P57118</t>
  </si>
  <si>
    <t>U214119</t>
  </si>
  <si>
    <t>P33038</t>
  </si>
  <si>
    <t>S2343</t>
  </si>
  <si>
    <t>U862760</t>
  </si>
  <si>
    <t>P19882</t>
  </si>
  <si>
    <t>S1305</t>
  </si>
  <si>
    <t>U138436</t>
  </si>
  <si>
    <t>P82298</t>
  </si>
  <si>
    <t>S9904</t>
  </si>
  <si>
    <t>U909652</t>
  </si>
  <si>
    <t>P87280</t>
  </si>
  <si>
    <t>S5767</t>
  </si>
  <si>
    <t>U626560</t>
  </si>
  <si>
    <t>P11388</t>
  </si>
  <si>
    <t>S4913</t>
  </si>
  <si>
    <t>U693868</t>
  </si>
  <si>
    <t>P84162</t>
  </si>
  <si>
    <t>S3395</t>
  </si>
  <si>
    <t>U165914</t>
  </si>
  <si>
    <t>P44649</t>
  </si>
  <si>
    <t>S4834</t>
  </si>
  <si>
    <t>U148693</t>
  </si>
  <si>
    <t>P15230</t>
  </si>
  <si>
    <t>S6309</t>
  </si>
  <si>
    <t>U282294</t>
  </si>
  <si>
    <t>P59369</t>
  </si>
  <si>
    <t>S7201</t>
  </si>
  <si>
    <t>U525556</t>
  </si>
  <si>
    <t>P56255</t>
  </si>
  <si>
    <t>S6653</t>
  </si>
  <si>
    <t>U341162</t>
  </si>
  <si>
    <t>P20104</t>
  </si>
  <si>
    <t>S5600</t>
  </si>
  <si>
    <t>U793223</t>
  </si>
  <si>
    <t>P40191</t>
  </si>
  <si>
    <t>S6410</t>
  </si>
  <si>
    <t>U269078</t>
  </si>
  <si>
    <t>P94837</t>
  </si>
  <si>
    <t>S7732</t>
  </si>
  <si>
    <t>U241268</t>
  </si>
  <si>
    <t>P92515</t>
  </si>
  <si>
    <t>S1642</t>
  </si>
  <si>
    <t>U641737</t>
  </si>
  <si>
    <t>P63143</t>
  </si>
  <si>
    <t>U605065</t>
  </si>
  <si>
    <t>P32356</t>
  </si>
  <si>
    <t>U377370</t>
  </si>
  <si>
    <t>P31983</t>
  </si>
  <si>
    <t>S6614</t>
  </si>
  <si>
    <t>U117367</t>
  </si>
  <si>
    <t>P36522</t>
  </si>
  <si>
    <t>S9263</t>
  </si>
  <si>
    <t>U744610</t>
  </si>
  <si>
    <t>P88618</t>
  </si>
  <si>
    <t>S9706</t>
  </si>
  <si>
    <t>U665482</t>
  </si>
  <si>
    <t>P10157</t>
  </si>
  <si>
    <t>S8069</t>
  </si>
  <si>
    <t>U927909</t>
  </si>
  <si>
    <t>P59969</t>
  </si>
  <si>
    <t>U727354</t>
  </si>
  <si>
    <t>P81267</t>
  </si>
  <si>
    <t>S5223</t>
  </si>
  <si>
    <t>U493247</t>
  </si>
  <si>
    <t>P95792</t>
  </si>
  <si>
    <t>S6175</t>
  </si>
  <si>
    <t>U365953</t>
  </si>
  <si>
    <t>P44249</t>
  </si>
  <si>
    <t>S9783</t>
  </si>
  <si>
    <t>U533301</t>
  </si>
  <si>
    <t>P82365</t>
  </si>
  <si>
    <t>S8904</t>
  </si>
  <si>
    <t>U705711</t>
  </si>
  <si>
    <t>P55135</t>
  </si>
  <si>
    <t>S7522</t>
  </si>
  <si>
    <t>U205149</t>
  </si>
  <si>
    <t>P38109</t>
  </si>
  <si>
    <t>S7562</t>
  </si>
  <si>
    <t>U963245</t>
  </si>
  <si>
    <t>P29048</t>
  </si>
  <si>
    <t>S8133</t>
  </si>
  <si>
    <t>U139589</t>
  </si>
  <si>
    <t>P60374</t>
  </si>
  <si>
    <t>S7564</t>
  </si>
  <si>
    <t>U560295</t>
  </si>
  <si>
    <t>P11403</t>
  </si>
  <si>
    <t>S9489</t>
  </si>
  <si>
    <t>U745073</t>
  </si>
  <si>
    <t>P32214</t>
  </si>
  <si>
    <t>S1590</t>
  </si>
  <si>
    <t>U917546</t>
  </si>
  <si>
    <t>P62354</t>
  </si>
  <si>
    <t>S7474</t>
  </si>
  <si>
    <t>U398313</t>
  </si>
  <si>
    <t>P83284</t>
  </si>
  <si>
    <t>S6703</t>
  </si>
  <si>
    <t>U702833</t>
  </si>
  <si>
    <t>P10609</t>
  </si>
  <si>
    <t>S3867</t>
  </si>
  <si>
    <t>U941945</t>
  </si>
  <si>
    <t>P77277</t>
  </si>
  <si>
    <t>S5222</t>
  </si>
  <si>
    <t>U907369</t>
  </si>
  <si>
    <t>P41886</t>
  </si>
  <si>
    <t>S6565</t>
  </si>
  <si>
    <t>U170835</t>
  </si>
  <si>
    <t>P60157</t>
  </si>
  <si>
    <t>S4610</t>
  </si>
  <si>
    <t>U110195</t>
  </si>
  <si>
    <t>P44517</t>
  </si>
  <si>
    <t>S5706</t>
  </si>
  <si>
    <t>U599704</t>
  </si>
  <si>
    <t>P51139</t>
  </si>
  <si>
    <t>S4580</t>
  </si>
  <si>
    <t>U346269</t>
  </si>
  <si>
    <t>P41726</t>
  </si>
  <si>
    <t>S5348</t>
  </si>
  <si>
    <t>U916776</t>
  </si>
  <si>
    <t>P23983</t>
  </si>
  <si>
    <t>S2285</t>
  </si>
  <si>
    <t>U750817</t>
  </si>
  <si>
    <t>P51342</t>
  </si>
  <si>
    <t>S5501</t>
  </si>
  <si>
    <t>U234475</t>
  </si>
  <si>
    <t>P17097</t>
  </si>
  <si>
    <t>S7933</t>
  </si>
  <si>
    <t>U579404</t>
  </si>
  <si>
    <t>P25776</t>
  </si>
  <si>
    <t>S9490</t>
  </si>
  <si>
    <t>U497859</t>
  </si>
  <si>
    <t>P86153</t>
  </si>
  <si>
    <t>S6331</t>
  </si>
  <si>
    <t>U382495</t>
  </si>
  <si>
    <t>P71780</t>
  </si>
  <si>
    <t>S6621</t>
  </si>
  <si>
    <t>U834750</t>
  </si>
  <si>
    <t>P58799</t>
  </si>
  <si>
    <t>S7563</t>
  </si>
  <si>
    <t>U953740</t>
  </si>
  <si>
    <t>P23090</t>
  </si>
  <si>
    <t>S5422</t>
  </si>
  <si>
    <t>U595962</t>
  </si>
  <si>
    <t>P11276</t>
  </si>
  <si>
    <t>S7906</t>
  </si>
  <si>
    <t>U923481</t>
  </si>
  <si>
    <t>P73782</t>
  </si>
  <si>
    <t>S5111</t>
  </si>
  <si>
    <t>U953350</t>
  </si>
  <si>
    <t>P43330</t>
  </si>
  <si>
    <t>S2577</t>
  </si>
  <si>
    <t>U949363</t>
  </si>
  <si>
    <t>P43779</t>
  </si>
  <si>
    <t>S1324</t>
  </si>
  <si>
    <t>U781433</t>
  </si>
  <si>
    <t>P95082</t>
  </si>
  <si>
    <t>S3859</t>
  </si>
  <si>
    <t>U182216</t>
  </si>
  <si>
    <t>P59947</t>
  </si>
  <si>
    <t>S5694</t>
  </si>
  <si>
    <t>U699405</t>
  </si>
  <si>
    <t>P63054</t>
  </si>
  <si>
    <t>S2168</t>
  </si>
  <si>
    <t>U844943</t>
  </si>
  <si>
    <t>P45058</t>
  </si>
  <si>
    <t>S7479</t>
  </si>
  <si>
    <t>U275445</t>
  </si>
  <si>
    <t>P34102</t>
  </si>
  <si>
    <t>S1378</t>
  </si>
  <si>
    <t>U320800</t>
  </si>
  <si>
    <t>P31877</t>
  </si>
  <si>
    <t>S2687</t>
  </si>
  <si>
    <t>U649435</t>
  </si>
  <si>
    <t>P20911</t>
  </si>
  <si>
    <t>S5300</t>
  </si>
  <si>
    <t>U873422</t>
  </si>
  <si>
    <t>P47247</t>
  </si>
  <si>
    <t>S3071</t>
  </si>
  <si>
    <t>U589887</t>
  </si>
  <si>
    <t>P80855</t>
  </si>
  <si>
    <t>S5463</t>
  </si>
  <si>
    <t>U578720</t>
  </si>
  <si>
    <t>P92712</t>
  </si>
  <si>
    <t>U563324</t>
  </si>
  <si>
    <t>P50352</t>
  </si>
  <si>
    <t>S7753</t>
  </si>
  <si>
    <t>U460589</t>
  </si>
  <si>
    <t>P47586</t>
  </si>
  <si>
    <t>S9767</t>
  </si>
  <si>
    <t>U726003</t>
  </si>
  <si>
    <t>P40305</t>
  </si>
  <si>
    <t>S1118</t>
  </si>
  <si>
    <t>U362035</t>
  </si>
  <si>
    <t>P31400</t>
  </si>
  <si>
    <t>S7385</t>
  </si>
  <si>
    <t>U641704</t>
  </si>
  <si>
    <t>P90375</t>
  </si>
  <si>
    <t>S5454</t>
  </si>
  <si>
    <t>U403662</t>
  </si>
  <si>
    <t>P24464</t>
  </si>
  <si>
    <t>U120337</t>
  </si>
  <si>
    <t>P29942</t>
  </si>
  <si>
    <t>S9764</t>
  </si>
  <si>
    <t>U862427</t>
  </si>
  <si>
    <t>P11075</t>
  </si>
  <si>
    <t>S2477</t>
  </si>
  <si>
    <t>U923892</t>
  </si>
  <si>
    <t>P75325</t>
  </si>
  <si>
    <t>S8597</t>
  </si>
  <si>
    <t>U913331</t>
  </si>
  <si>
    <t>P61435</t>
  </si>
  <si>
    <t>S9899</t>
  </si>
  <si>
    <t>U905459</t>
  </si>
  <si>
    <t>P42631</t>
  </si>
  <si>
    <t>S8257</t>
  </si>
  <si>
    <t>U798359</t>
  </si>
  <si>
    <t>P37321</t>
  </si>
  <si>
    <t>U880900</t>
  </si>
  <si>
    <t>P82034</t>
  </si>
  <si>
    <t>S3001</t>
  </si>
  <si>
    <t>U799080</t>
  </si>
  <si>
    <t>P38545</t>
  </si>
  <si>
    <t>S2850</t>
  </si>
  <si>
    <t>U713099</t>
  </si>
  <si>
    <t>P25682</t>
  </si>
  <si>
    <t>S4982</t>
  </si>
  <si>
    <t>U489439</t>
  </si>
  <si>
    <t>P21728</t>
  </si>
  <si>
    <t>S3583</t>
  </si>
  <si>
    <t>U162678</t>
  </si>
  <si>
    <t>P56598</t>
  </si>
  <si>
    <t>S3521</t>
  </si>
  <si>
    <t>U926867</t>
  </si>
  <si>
    <t>P94495</t>
  </si>
  <si>
    <t>S6690</t>
  </si>
  <si>
    <t>U362874</t>
  </si>
  <si>
    <t>P15175</t>
  </si>
  <si>
    <t>S8168</t>
  </si>
  <si>
    <t>U670027</t>
  </si>
  <si>
    <t>P55569</t>
  </si>
  <si>
    <t>S8674</t>
  </si>
  <si>
    <t>U959222</t>
  </si>
  <si>
    <t>S7014</t>
  </si>
  <si>
    <t>U119629</t>
  </si>
  <si>
    <t>P91229</t>
  </si>
  <si>
    <t>S6965</t>
  </si>
  <si>
    <t>U816412</t>
  </si>
  <si>
    <t>P75214</t>
  </si>
  <si>
    <t>S3525</t>
  </si>
  <si>
    <t>U200932</t>
  </si>
  <si>
    <t>P78576</t>
  </si>
  <si>
    <t>S2092</t>
  </si>
  <si>
    <t>U300924</t>
  </si>
  <si>
    <t>P22943</t>
  </si>
  <si>
    <t>S7366</t>
  </si>
  <si>
    <t>U151470</t>
  </si>
  <si>
    <t>P58018</t>
  </si>
  <si>
    <t>S2161</t>
  </si>
  <si>
    <t>U478458</t>
  </si>
  <si>
    <t>P83140</t>
  </si>
  <si>
    <t>S7814</t>
  </si>
  <si>
    <t>U974991</t>
  </si>
  <si>
    <t>P49833</t>
  </si>
  <si>
    <t>S4537</t>
  </si>
  <si>
    <t>U302500</t>
  </si>
  <si>
    <t>P78969</t>
  </si>
  <si>
    <t>S5075</t>
  </si>
  <si>
    <t>U903506</t>
  </si>
  <si>
    <t>P93705</t>
  </si>
  <si>
    <t>S6864</t>
  </si>
  <si>
    <t>U676680</t>
  </si>
  <si>
    <t>P62632</t>
  </si>
  <si>
    <t>S6529</t>
  </si>
  <si>
    <t>U676802</t>
  </si>
  <si>
    <t>P52553</t>
  </si>
  <si>
    <t>S7090</t>
  </si>
  <si>
    <t>U672130</t>
  </si>
  <si>
    <t>P38039</t>
  </si>
  <si>
    <t>S5162</t>
  </si>
  <si>
    <t>U398301</t>
  </si>
  <si>
    <t>P88087</t>
  </si>
  <si>
    <t>S9480</t>
  </si>
  <si>
    <t>U122755</t>
  </si>
  <si>
    <t>P46170</t>
  </si>
  <si>
    <t>S9376</t>
  </si>
  <si>
    <t>U245131</t>
  </si>
  <si>
    <t>P44732</t>
  </si>
  <si>
    <t>S5093</t>
  </si>
  <si>
    <t>U869933</t>
  </si>
  <si>
    <t>P20118</t>
  </si>
  <si>
    <t>S6319</t>
  </si>
  <si>
    <t>U139186</t>
  </si>
  <si>
    <t>P85534</t>
  </si>
  <si>
    <t>U883997</t>
  </si>
  <si>
    <t>P95561</t>
  </si>
  <si>
    <t>S1187</t>
  </si>
  <si>
    <t>U666157</t>
  </si>
  <si>
    <t>P84044</t>
  </si>
  <si>
    <t>S6354</t>
  </si>
  <si>
    <t>U703198</t>
  </si>
  <si>
    <t>P76155</t>
  </si>
  <si>
    <t>S4638</t>
  </si>
  <si>
    <t>U598969</t>
  </si>
  <si>
    <t>P84899</t>
  </si>
  <si>
    <t>S1807</t>
  </si>
  <si>
    <t>U911414</t>
  </si>
  <si>
    <t>P27088</t>
  </si>
  <si>
    <t>S3209</t>
  </si>
  <si>
    <t>U688426</t>
  </si>
  <si>
    <t>P90739</t>
  </si>
  <si>
    <t>S9589</t>
  </si>
  <si>
    <t>U817999</t>
  </si>
  <si>
    <t>P85499</t>
  </si>
  <si>
    <t>S2843</t>
  </si>
  <si>
    <t>U461260</t>
  </si>
  <si>
    <t>P87840</t>
  </si>
  <si>
    <t>S1396</t>
  </si>
  <si>
    <t>U561859</t>
  </si>
  <si>
    <t>P15882</t>
  </si>
  <si>
    <t>S4825</t>
  </si>
  <si>
    <t>U354854</t>
  </si>
  <si>
    <t>P91396</t>
  </si>
  <si>
    <t>S3419</t>
  </si>
  <si>
    <t>U123853</t>
  </si>
  <si>
    <t>P53499</t>
  </si>
  <si>
    <t>S9814</t>
  </si>
  <si>
    <t>U753306</t>
  </si>
  <si>
    <t>P28526</t>
  </si>
  <si>
    <t>S1301</t>
  </si>
  <si>
    <t>U927524</t>
  </si>
  <si>
    <t>P90997</t>
  </si>
  <si>
    <t>S1869</t>
  </si>
  <si>
    <t>U213132</t>
  </si>
  <si>
    <t>P12500</t>
  </si>
  <si>
    <t>S7332</t>
  </si>
  <si>
    <t>U657381</t>
  </si>
  <si>
    <t>P21537</t>
  </si>
  <si>
    <t>S4258</t>
  </si>
  <si>
    <t>U359409</t>
  </si>
  <si>
    <t>P79391</t>
  </si>
  <si>
    <t>S6465</t>
  </si>
  <si>
    <t>U472640</t>
  </si>
  <si>
    <t>P91950</t>
  </si>
  <si>
    <t>S4869</t>
  </si>
  <si>
    <t>U393804</t>
  </si>
  <si>
    <t>P39567</t>
  </si>
  <si>
    <t>S6599</t>
  </si>
  <si>
    <t>U755910</t>
  </si>
  <si>
    <t>P99983</t>
  </si>
  <si>
    <t>S7837</t>
  </si>
  <si>
    <t>U668573</t>
  </si>
  <si>
    <t>P27271</t>
  </si>
  <si>
    <t>S3270</t>
  </si>
  <si>
    <t>U241822</t>
  </si>
  <si>
    <t>P66369</t>
  </si>
  <si>
    <t>S3378</t>
  </si>
  <si>
    <t>U980303</t>
  </si>
  <si>
    <t>P29073</t>
  </si>
  <si>
    <t>U259338</t>
  </si>
  <si>
    <t>P34632</t>
  </si>
  <si>
    <t>S3155</t>
  </si>
  <si>
    <t>U742108</t>
  </si>
  <si>
    <t>P40266</t>
  </si>
  <si>
    <t>S4804</t>
  </si>
  <si>
    <t>U987240</t>
  </si>
  <si>
    <t>P89260</t>
  </si>
  <si>
    <t>S7126</t>
  </si>
  <si>
    <t>U337264</t>
  </si>
  <si>
    <t>P14224</t>
  </si>
  <si>
    <t>S1245</t>
  </si>
  <si>
    <t>U560623</t>
  </si>
  <si>
    <t>P90879</t>
  </si>
  <si>
    <t>S6323</t>
  </si>
  <si>
    <t>U855185</t>
  </si>
  <si>
    <t>P51012</t>
  </si>
  <si>
    <t>S9784</t>
  </si>
  <si>
    <t>U357657</t>
  </si>
  <si>
    <t>P77987</t>
  </si>
  <si>
    <t>S7481</t>
  </si>
  <si>
    <t>U299072</t>
  </si>
  <si>
    <t>P48165</t>
  </si>
  <si>
    <t>U157196</t>
  </si>
  <si>
    <t>P77760</t>
  </si>
  <si>
    <t>S3330</t>
  </si>
  <si>
    <t>U829928</t>
  </si>
  <si>
    <t>P81618</t>
  </si>
  <si>
    <t>S7440</t>
  </si>
  <si>
    <t>U847251</t>
  </si>
  <si>
    <t>P36467</t>
  </si>
  <si>
    <t>U195620</t>
  </si>
  <si>
    <t>P24963</t>
  </si>
  <si>
    <t>S8362</t>
  </si>
  <si>
    <t>U741804</t>
  </si>
  <si>
    <t>P30958</t>
  </si>
  <si>
    <t>S7235</t>
  </si>
  <si>
    <t>U251631</t>
  </si>
  <si>
    <t>P33444</t>
  </si>
  <si>
    <t>S1840</t>
  </si>
  <si>
    <t>U223264</t>
  </si>
  <si>
    <t>P27245</t>
  </si>
  <si>
    <t>S4323</t>
  </si>
  <si>
    <t>U946677</t>
  </si>
  <si>
    <t>P10753</t>
  </si>
  <si>
    <t>S9084</t>
  </si>
  <si>
    <t>U183262</t>
  </si>
  <si>
    <t>P88802</t>
  </si>
  <si>
    <t>S1107</t>
  </si>
  <si>
    <t>U151295</t>
  </si>
  <si>
    <t>P34227</t>
  </si>
  <si>
    <t>S1902</t>
  </si>
  <si>
    <t>U978721</t>
  </si>
  <si>
    <t>P89073</t>
  </si>
  <si>
    <t>S6424</t>
  </si>
  <si>
    <t>U740774</t>
  </si>
  <si>
    <t>P96628</t>
  </si>
  <si>
    <t>S3906</t>
  </si>
  <si>
    <t>U497346</t>
  </si>
  <si>
    <t>P18869</t>
  </si>
  <si>
    <t>S8001</t>
  </si>
  <si>
    <t>U828361</t>
  </si>
  <si>
    <t>P45968</t>
  </si>
  <si>
    <t>S9635</t>
  </si>
  <si>
    <t>U699121</t>
  </si>
  <si>
    <t>P92441</t>
  </si>
  <si>
    <t>S2436</t>
  </si>
  <si>
    <t>U703080</t>
  </si>
  <si>
    <t>S3125</t>
  </si>
  <si>
    <t>U344026</t>
  </si>
  <si>
    <t>P48074</t>
  </si>
  <si>
    <t>S1025</t>
  </si>
  <si>
    <t>U534153</t>
  </si>
  <si>
    <t>P15962</t>
  </si>
  <si>
    <t>S6728</t>
  </si>
  <si>
    <t>U928580</t>
  </si>
  <si>
    <t>P18891</t>
  </si>
  <si>
    <t>S5919</t>
  </si>
  <si>
    <t>U457943</t>
  </si>
  <si>
    <t>P61910</t>
  </si>
  <si>
    <t>S1477</t>
  </si>
  <si>
    <t>U935981</t>
  </si>
  <si>
    <t>P14660</t>
  </si>
  <si>
    <t>S3224</t>
  </si>
  <si>
    <t>U922072</t>
  </si>
  <si>
    <t>P64257</t>
  </si>
  <si>
    <t>S1917</t>
  </si>
  <si>
    <t>U318379</t>
  </si>
  <si>
    <t>P85680</t>
  </si>
  <si>
    <t>S6434</t>
  </si>
  <si>
    <t>U756944</t>
  </si>
  <si>
    <t>P80028</t>
  </si>
  <si>
    <t>S3719</t>
  </si>
  <si>
    <t>U844321</t>
  </si>
  <si>
    <t>P14145</t>
  </si>
  <si>
    <t>S7780</t>
  </si>
  <si>
    <t>U650607</t>
  </si>
  <si>
    <t>P49625</t>
  </si>
  <si>
    <t>S2838</t>
  </si>
  <si>
    <t>U937838</t>
  </si>
  <si>
    <t>P73263</t>
  </si>
  <si>
    <t>S9192</t>
  </si>
  <si>
    <t>U913205</t>
  </si>
  <si>
    <t>P52904</t>
  </si>
  <si>
    <t>S2609</t>
  </si>
  <si>
    <t>U221462</t>
  </si>
  <si>
    <t>P10538</t>
  </si>
  <si>
    <t>U903398</t>
  </si>
  <si>
    <t>P96374</t>
  </si>
  <si>
    <t>S6119</t>
  </si>
  <si>
    <t>U400487</t>
  </si>
  <si>
    <t>P46261</t>
  </si>
  <si>
    <t>S6228</t>
  </si>
  <si>
    <t>U115997</t>
  </si>
  <si>
    <t>P91650</t>
  </si>
  <si>
    <t>S9422</t>
  </si>
  <si>
    <t>U248433</t>
  </si>
  <si>
    <t>P47128</t>
  </si>
  <si>
    <t>S5011</t>
  </si>
  <si>
    <t>U565198</t>
  </si>
  <si>
    <t>P16648</t>
  </si>
  <si>
    <t>S1475</t>
  </si>
  <si>
    <t>U510954</t>
  </si>
  <si>
    <t>P33459</t>
  </si>
  <si>
    <t>S8304</t>
  </si>
  <si>
    <t>U182361</t>
  </si>
  <si>
    <t>P71039</t>
  </si>
  <si>
    <t>S3159</t>
  </si>
  <si>
    <t>U593403</t>
  </si>
  <si>
    <t>P40368</t>
  </si>
  <si>
    <t>S4666</t>
  </si>
  <si>
    <t>U927094</t>
  </si>
  <si>
    <t>P52567</t>
  </si>
  <si>
    <t>S8987</t>
  </si>
  <si>
    <t>U986850</t>
  </si>
  <si>
    <t>P32387</t>
  </si>
  <si>
    <t>S6711</t>
  </si>
  <si>
    <t>U441699</t>
  </si>
  <si>
    <t>P82895</t>
  </si>
  <si>
    <t>S2162</t>
  </si>
  <si>
    <t>U355528</t>
  </si>
  <si>
    <t>P81820</t>
  </si>
  <si>
    <t>S8903</t>
  </si>
  <si>
    <t>U552091</t>
  </si>
  <si>
    <t>P67062</t>
  </si>
  <si>
    <t>S6606</t>
  </si>
  <si>
    <t>U725030</t>
  </si>
  <si>
    <t>P70674</t>
  </si>
  <si>
    <t>S2599</t>
  </si>
  <si>
    <t>U818807</t>
  </si>
  <si>
    <t>P88172</t>
  </si>
  <si>
    <t>S7208</t>
  </si>
  <si>
    <t>U708979</t>
  </si>
  <si>
    <t>P93379</t>
  </si>
  <si>
    <t>S1003</t>
  </si>
  <si>
    <t>U706005</t>
  </si>
  <si>
    <t>P68610</t>
  </si>
  <si>
    <t>S4369</t>
  </si>
  <si>
    <t>U852658</t>
  </si>
  <si>
    <t>P55123</t>
  </si>
  <si>
    <t>S1133</t>
  </si>
  <si>
    <t>U155708</t>
  </si>
  <si>
    <t>P10110</t>
  </si>
  <si>
    <t>S6885</t>
  </si>
  <si>
    <t>U513420</t>
  </si>
  <si>
    <t>P91948</t>
  </si>
  <si>
    <t>S7271</t>
  </si>
  <si>
    <t>U597938</t>
  </si>
  <si>
    <t>P28228</t>
  </si>
  <si>
    <t>S7301</t>
  </si>
  <si>
    <t>U112166</t>
  </si>
  <si>
    <t>P19403</t>
  </si>
  <si>
    <t>S1257</t>
  </si>
  <si>
    <t>U773440</t>
  </si>
  <si>
    <t>P64507</t>
  </si>
  <si>
    <t>S8471</t>
  </si>
  <si>
    <t>U678866</t>
  </si>
  <si>
    <t>P68988</t>
  </si>
  <si>
    <t>S6821</t>
  </si>
  <si>
    <t>U987938</t>
  </si>
  <si>
    <t>P41031</t>
  </si>
  <si>
    <t>S9220</t>
  </si>
  <si>
    <t>U695748</t>
  </si>
  <si>
    <t>P73342</t>
  </si>
  <si>
    <t>S7038</t>
  </si>
  <si>
    <t>U887042</t>
  </si>
  <si>
    <t>P46624</t>
  </si>
  <si>
    <t>S9469</t>
  </si>
  <si>
    <t>U817303</t>
  </si>
  <si>
    <t>P93058</t>
  </si>
  <si>
    <t>U637566</t>
  </si>
  <si>
    <t>P71503</t>
  </si>
  <si>
    <t>S6431</t>
  </si>
  <si>
    <t>U885829</t>
  </si>
  <si>
    <t>P49855</t>
  </si>
  <si>
    <t>S5267</t>
  </si>
  <si>
    <t>U948188</t>
  </si>
  <si>
    <t>P91830</t>
  </si>
  <si>
    <t>S5699</t>
  </si>
  <si>
    <t>U238976</t>
  </si>
  <si>
    <t>P90713</t>
  </si>
  <si>
    <t>S5509</t>
  </si>
  <si>
    <t>U791174</t>
  </si>
  <si>
    <t>P68543</t>
  </si>
  <si>
    <t>S3873</t>
  </si>
  <si>
    <t>U188501</t>
  </si>
  <si>
    <t>P29014</t>
  </si>
  <si>
    <t>U321099</t>
  </si>
  <si>
    <t>P85727</t>
  </si>
  <si>
    <t>U599365</t>
  </si>
  <si>
    <t>P49500</t>
  </si>
  <si>
    <t>S9724</t>
  </si>
  <si>
    <t>U656208</t>
  </si>
  <si>
    <t>P66981</t>
  </si>
  <si>
    <t>S5731</t>
  </si>
  <si>
    <t>U202093</t>
  </si>
  <si>
    <t>P79637</t>
  </si>
  <si>
    <t>S6797</t>
  </si>
  <si>
    <t>U786128</t>
  </si>
  <si>
    <t>P86569</t>
  </si>
  <si>
    <t>S8554</t>
  </si>
  <si>
    <t>U810638</t>
  </si>
  <si>
    <t>P33582</t>
  </si>
  <si>
    <t>S9972</t>
  </si>
  <si>
    <t>U650779</t>
  </si>
  <si>
    <t>P23619</t>
  </si>
  <si>
    <t>S8306</t>
  </si>
  <si>
    <t>U124851</t>
  </si>
  <si>
    <t>P91185</t>
  </si>
  <si>
    <t>S1931</t>
  </si>
  <si>
    <t>U236217</t>
  </si>
  <si>
    <t>P59277</t>
  </si>
  <si>
    <t>S4027</t>
  </si>
  <si>
    <t>U769809</t>
  </si>
  <si>
    <t>P69433</t>
  </si>
  <si>
    <t>S5528</t>
  </si>
  <si>
    <t>U501393</t>
  </si>
  <si>
    <t>P60933</t>
  </si>
  <si>
    <t>S1984</t>
  </si>
  <si>
    <t>U739947</t>
  </si>
  <si>
    <t>P61463</t>
  </si>
  <si>
    <t>S9061</t>
  </si>
  <si>
    <t>U563031</t>
  </si>
  <si>
    <t>P43947</t>
  </si>
  <si>
    <t>S1571</t>
  </si>
  <si>
    <t>U256085</t>
  </si>
  <si>
    <t>P95572</t>
  </si>
  <si>
    <t>S1014</t>
  </si>
  <si>
    <t>U702553</t>
  </si>
  <si>
    <t>P10485</t>
  </si>
  <si>
    <t>S9039</t>
  </si>
  <si>
    <t>U822742</t>
  </si>
  <si>
    <t>P73185</t>
  </si>
  <si>
    <t>S9770</t>
  </si>
  <si>
    <t>U483102</t>
  </si>
  <si>
    <t>P80074</t>
  </si>
  <si>
    <t>S6571</t>
  </si>
  <si>
    <t>U502824</t>
  </si>
  <si>
    <t>P96603</t>
  </si>
  <si>
    <t>U871043</t>
  </si>
  <si>
    <t>P34833</t>
  </si>
  <si>
    <t>S1584</t>
  </si>
  <si>
    <t>U166052</t>
  </si>
  <si>
    <t>P80851</t>
  </si>
  <si>
    <t>S6041</t>
  </si>
  <si>
    <t>U926045</t>
  </si>
  <si>
    <t>P15611</t>
  </si>
  <si>
    <t>S2936</t>
  </si>
  <si>
    <t>U344303</t>
  </si>
  <si>
    <t>P19441</t>
  </si>
  <si>
    <t>S3319</t>
  </si>
  <si>
    <t>U115063</t>
  </si>
  <si>
    <t>P32577</t>
  </si>
  <si>
    <t>S1818</t>
  </si>
  <si>
    <t>U957525</t>
  </si>
  <si>
    <t>P23937</t>
  </si>
  <si>
    <t>S9145</t>
  </si>
  <si>
    <t>U439984</t>
  </si>
  <si>
    <t>P25833</t>
  </si>
  <si>
    <t>S9943</t>
  </si>
  <si>
    <t>U226610</t>
  </si>
  <si>
    <t>P45899</t>
  </si>
  <si>
    <t>S7801</t>
  </si>
  <si>
    <t>U142675</t>
  </si>
  <si>
    <t>P27481</t>
  </si>
  <si>
    <t>S7162</t>
  </si>
  <si>
    <t>U193471</t>
  </si>
  <si>
    <t>P95426</t>
  </si>
  <si>
    <t>S5648</t>
  </si>
  <si>
    <t>U648496</t>
  </si>
  <si>
    <t>P69037</t>
  </si>
  <si>
    <t>S4919</t>
  </si>
  <si>
    <t>U741780</t>
  </si>
  <si>
    <t>S5934</t>
  </si>
  <si>
    <t>U655953</t>
  </si>
  <si>
    <t>P22541</t>
  </si>
  <si>
    <t>S6929</t>
  </si>
  <si>
    <t>U218152</t>
  </si>
  <si>
    <t>P29558</t>
  </si>
  <si>
    <t>S8772</t>
  </si>
  <si>
    <t>U398911</t>
  </si>
  <si>
    <t>P37471</t>
  </si>
  <si>
    <t>S5118</t>
  </si>
  <si>
    <t>U265722</t>
  </si>
  <si>
    <t>P13809</t>
  </si>
  <si>
    <t>S9436</t>
  </si>
  <si>
    <t>U539422</t>
  </si>
  <si>
    <t>P36050</t>
  </si>
  <si>
    <t>S6336</t>
  </si>
  <si>
    <t>U309668</t>
  </si>
  <si>
    <t>P59221</t>
  </si>
  <si>
    <t>S4615</t>
  </si>
  <si>
    <t>U326665</t>
  </si>
  <si>
    <t>P89879</t>
  </si>
  <si>
    <t>S3917</t>
  </si>
  <si>
    <t>U382795</t>
  </si>
  <si>
    <t>P36504</t>
  </si>
  <si>
    <t>S3084</t>
  </si>
  <si>
    <t>U538539</t>
  </si>
  <si>
    <t>P32439</t>
  </si>
  <si>
    <t>U706204</t>
  </si>
  <si>
    <t>P82450</t>
  </si>
  <si>
    <t>S4763</t>
  </si>
  <si>
    <t>U977646</t>
  </si>
  <si>
    <t>P70655</t>
  </si>
  <si>
    <t>S1237</t>
  </si>
  <si>
    <t>U707615</t>
  </si>
  <si>
    <t>P39151</t>
  </si>
  <si>
    <t>S3440</t>
  </si>
  <si>
    <t>U135253</t>
  </si>
  <si>
    <t>P65797</t>
  </si>
  <si>
    <t>S7460</t>
  </si>
  <si>
    <t>U889660</t>
  </si>
  <si>
    <t>P11628</t>
  </si>
  <si>
    <t>S7662</t>
  </si>
  <si>
    <t>U116703</t>
  </si>
  <si>
    <t>P72886</t>
  </si>
  <si>
    <t>S5994</t>
  </si>
  <si>
    <t>U909327</t>
  </si>
  <si>
    <t>P28169</t>
  </si>
  <si>
    <t>S7641</t>
  </si>
  <si>
    <t>U757776</t>
  </si>
  <si>
    <t>P19266</t>
  </si>
  <si>
    <t>S6454</t>
  </si>
  <si>
    <t>U668784</t>
  </si>
  <si>
    <t>P85396</t>
  </si>
  <si>
    <t>S4393</t>
  </si>
  <si>
    <t>U807424</t>
  </si>
  <si>
    <t>P57708</t>
  </si>
  <si>
    <t>S1844</t>
  </si>
  <si>
    <t>U484232</t>
  </si>
  <si>
    <t>P32972</t>
  </si>
  <si>
    <t>S2097</t>
  </si>
  <si>
    <t>U219073</t>
  </si>
  <si>
    <t>P95070</t>
  </si>
  <si>
    <t>S4437</t>
  </si>
  <si>
    <t>U390607</t>
  </si>
  <si>
    <t>P17138</t>
  </si>
  <si>
    <t>U593002</t>
  </si>
  <si>
    <t>P79717</t>
  </si>
  <si>
    <t>S9730</t>
  </si>
  <si>
    <t>U297503</t>
  </si>
  <si>
    <t>P70014</t>
  </si>
  <si>
    <t>S2313</t>
  </si>
  <si>
    <t>U217466</t>
  </si>
  <si>
    <t>P29392</t>
  </si>
  <si>
    <t>S3465</t>
  </si>
  <si>
    <t>U596925</t>
  </si>
  <si>
    <t>P55442</t>
  </si>
  <si>
    <t>S8272</t>
  </si>
  <si>
    <t>U975505</t>
  </si>
  <si>
    <t>P78107</t>
  </si>
  <si>
    <t>S6503</t>
  </si>
  <si>
    <t>U982804</t>
  </si>
  <si>
    <t>P81888</t>
  </si>
  <si>
    <t>S8503</t>
  </si>
  <si>
    <t>U489967</t>
  </si>
  <si>
    <t>P47767</t>
  </si>
  <si>
    <t>S1775</t>
  </si>
  <si>
    <t>U846389</t>
  </si>
  <si>
    <t>P80165</t>
  </si>
  <si>
    <t>S3986</t>
  </si>
  <si>
    <t>U702433</t>
  </si>
  <si>
    <t>P26577</t>
  </si>
  <si>
    <t>S5266</t>
  </si>
  <si>
    <t>U460549</t>
  </si>
  <si>
    <t>P29391</t>
  </si>
  <si>
    <t>S8347</t>
  </si>
  <si>
    <t>U623676</t>
  </si>
  <si>
    <t>P29055</t>
  </si>
  <si>
    <t>S8504</t>
  </si>
  <si>
    <t>U596931</t>
  </si>
  <si>
    <t>P47988</t>
  </si>
  <si>
    <t>S3409</t>
  </si>
  <si>
    <t>U810943</t>
  </si>
  <si>
    <t>P82215</t>
  </si>
  <si>
    <t>S6047</t>
  </si>
  <si>
    <t>U442220</t>
  </si>
  <si>
    <t>P17213</t>
  </si>
  <si>
    <t>S4197</t>
  </si>
  <si>
    <t>U664566</t>
  </si>
  <si>
    <t>P68387</t>
  </si>
  <si>
    <t>S2431</t>
  </si>
  <si>
    <t>U636405</t>
  </si>
  <si>
    <t>P17346</t>
  </si>
  <si>
    <t>S6915</t>
  </si>
  <si>
    <t>U112782</t>
  </si>
  <si>
    <t>P47309</t>
  </si>
  <si>
    <t>S6756</t>
  </si>
  <si>
    <t>U877548</t>
  </si>
  <si>
    <t>P64474</t>
  </si>
  <si>
    <t>S8249</t>
  </si>
  <si>
    <t>U976097</t>
  </si>
  <si>
    <t>P86962</t>
  </si>
  <si>
    <t>S2410</t>
  </si>
  <si>
    <t>U719371</t>
  </si>
  <si>
    <t>P59253</t>
  </si>
  <si>
    <t>S1108</t>
  </si>
  <si>
    <t>U891930</t>
  </si>
  <si>
    <t>P27947</t>
  </si>
  <si>
    <t>S4047</t>
  </si>
  <si>
    <t>U418677</t>
  </si>
  <si>
    <t>P74762</t>
  </si>
  <si>
    <t>S8593</t>
  </si>
  <si>
    <t>U230208</t>
  </si>
  <si>
    <t>P95696</t>
  </si>
  <si>
    <t>S5713</t>
  </si>
  <si>
    <t>U129824</t>
  </si>
  <si>
    <t>P25644</t>
  </si>
  <si>
    <t>S5541</t>
  </si>
  <si>
    <t>U557250</t>
  </si>
  <si>
    <t>P43804</t>
  </si>
  <si>
    <t>S8799</t>
  </si>
  <si>
    <t>U986340</t>
  </si>
  <si>
    <t>P44018</t>
  </si>
  <si>
    <t>S1958</t>
  </si>
  <si>
    <t>U385915</t>
  </si>
  <si>
    <t>P57338</t>
  </si>
  <si>
    <t>S6832</t>
  </si>
  <si>
    <t>U303229</t>
  </si>
  <si>
    <t>P92317</t>
  </si>
  <si>
    <t>S2548</t>
  </si>
  <si>
    <t>U384645</t>
  </si>
  <si>
    <t>P99842</t>
  </si>
  <si>
    <t>S6939</t>
  </si>
  <si>
    <t>U395087</t>
  </si>
  <si>
    <t>P58891</t>
  </si>
  <si>
    <t>S8944</t>
  </si>
  <si>
    <t>U331854</t>
  </si>
  <si>
    <t>P34696</t>
  </si>
  <si>
    <t>S9612</t>
  </si>
  <si>
    <t>U118223</t>
  </si>
  <si>
    <t>P72851</t>
  </si>
  <si>
    <t>S6104</t>
  </si>
  <si>
    <t>U280572</t>
  </si>
  <si>
    <t>P49935</t>
  </si>
  <si>
    <t>S2943</t>
  </si>
  <si>
    <t>U231432</t>
  </si>
  <si>
    <t>P37504</t>
  </si>
  <si>
    <t>S2287</t>
  </si>
  <si>
    <t>U305888</t>
  </si>
  <si>
    <t>P24131</t>
  </si>
  <si>
    <t>S9412</t>
  </si>
  <si>
    <t>U416298</t>
  </si>
  <si>
    <t>P97501</t>
  </si>
  <si>
    <t>S2581</t>
  </si>
  <si>
    <t>U130680</t>
  </si>
  <si>
    <t>P21898</t>
  </si>
  <si>
    <t>S5544</t>
  </si>
  <si>
    <t>U353569</t>
  </si>
  <si>
    <t>P76179</t>
  </si>
  <si>
    <t>S2119</t>
  </si>
  <si>
    <t>U280117</t>
  </si>
  <si>
    <t>P80402</t>
  </si>
  <si>
    <t>S2616</t>
  </si>
  <si>
    <t>U289633</t>
  </si>
  <si>
    <t>P56507</t>
  </si>
  <si>
    <t>S7948</t>
  </si>
  <si>
    <t>U215674</t>
  </si>
  <si>
    <t>P78121</t>
  </si>
  <si>
    <t>S9123</t>
  </si>
  <si>
    <t>U221343</t>
  </si>
  <si>
    <t>P60434</t>
  </si>
  <si>
    <t>S8486</t>
  </si>
  <si>
    <t>U404704</t>
  </si>
  <si>
    <t>P66093</t>
  </si>
  <si>
    <t>S2140</t>
  </si>
  <si>
    <t>U515623</t>
  </si>
  <si>
    <t>P67417</t>
  </si>
  <si>
    <t>S2392</t>
  </si>
  <si>
    <t>U206663</t>
  </si>
  <si>
    <t>P32114</t>
  </si>
  <si>
    <t>S6959</t>
  </si>
  <si>
    <t>U978821</t>
  </si>
  <si>
    <t>P65666</t>
  </si>
  <si>
    <t>S9177</t>
  </si>
  <si>
    <t>U524089</t>
  </si>
  <si>
    <t>P73508</t>
  </si>
  <si>
    <t>S5569</t>
  </si>
  <si>
    <t>U342034</t>
  </si>
  <si>
    <t>P92361</t>
  </si>
  <si>
    <t>S3205</t>
  </si>
  <si>
    <t>U287795</t>
  </si>
  <si>
    <t>P60152</t>
  </si>
  <si>
    <t>S6356</t>
  </si>
  <si>
    <t>U904857</t>
  </si>
  <si>
    <t>P74512</t>
  </si>
  <si>
    <t>S8635</t>
  </si>
  <si>
    <t>U668787</t>
  </si>
  <si>
    <t>P55038</t>
  </si>
  <si>
    <t>S9856</t>
  </si>
  <si>
    <t>U429839</t>
  </si>
  <si>
    <t>P59327</t>
  </si>
  <si>
    <t>S8531</t>
  </si>
  <si>
    <t>U615353</t>
  </si>
  <si>
    <t>P66450</t>
  </si>
  <si>
    <t>U818666</t>
  </si>
  <si>
    <t>P80699</t>
  </si>
  <si>
    <t>S8697</t>
  </si>
  <si>
    <t>U719755</t>
  </si>
  <si>
    <t>P59518</t>
  </si>
  <si>
    <t>S6779</t>
  </si>
  <si>
    <t>U465823</t>
  </si>
  <si>
    <t>P86541</t>
  </si>
  <si>
    <t>S6591</t>
  </si>
  <si>
    <t>U159191</t>
  </si>
  <si>
    <t>P96670</t>
  </si>
  <si>
    <t>S5056</t>
  </si>
  <si>
    <t>U453993</t>
  </si>
  <si>
    <t>P32253</t>
  </si>
  <si>
    <t>S9821</t>
  </si>
  <si>
    <t>U379570</t>
  </si>
  <si>
    <t>P12674</t>
  </si>
  <si>
    <t>S8695</t>
  </si>
  <si>
    <t>U700350</t>
  </si>
  <si>
    <t>P22809</t>
  </si>
  <si>
    <t>S9001</t>
  </si>
  <si>
    <t>U274721</t>
  </si>
  <si>
    <t>P90586</t>
  </si>
  <si>
    <t>S6952</t>
  </si>
  <si>
    <t>U324479</t>
  </si>
  <si>
    <t>P47664</t>
  </si>
  <si>
    <t>S1778</t>
  </si>
  <si>
    <t>U199335</t>
  </si>
  <si>
    <t>P87576</t>
  </si>
  <si>
    <t>U629152</t>
  </si>
  <si>
    <t>P49309</t>
  </si>
  <si>
    <t>S9846</t>
  </si>
  <si>
    <t>U640403</t>
  </si>
  <si>
    <t>P69405</t>
  </si>
  <si>
    <t>S9971</t>
  </si>
  <si>
    <t>U323297</t>
  </si>
  <si>
    <t>P96613</t>
  </si>
  <si>
    <t>S8656</t>
  </si>
  <si>
    <t>U254920</t>
  </si>
  <si>
    <t>P41506</t>
  </si>
  <si>
    <t>U963723</t>
  </si>
  <si>
    <t>P47623</t>
  </si>
  <si>
    <t>S3631</t>
  </si>
  <si>
    <t>U129049</t>
  </si>
  <si>
    <t>P42189</t>
  </si>
  <si>
    <t>S6087</t>
  </si>
  <si>
    <t>U311802</t>
  </si>
  <si>
    <t>P30887</t>
  </si>
  <si>
    <t>S3235</t>
  </si>
  <si>
    <t>U857568</t>
  </si>
  <si>
    <t>P73680</t>
  </si>
  <si>
    <t>S1326</t>
  </si>
  <si>
    <t>U481088</t>
  </si>
  <si>
    <t>P98037</t>
  </si>
  <si>
    <t>U912767</t>
  </si>
  <si>
    <t>P78846</t>
  </si>
  <si>
    <t>S9133</t>
  </si>
  <si>
    <t>U873048</t>
  </si>
  <si>
    <t>P61111</t>
  </si>
  <si>
    <t>S4865</t>
  </si>
  <si>
    <t>U560823</t>
  </si>
  <si>
    <t>P63526</t>
  </si>
  <si>
    <t>U597920</t>
  </si>
  <si>
    <t>P99487</t>
  </si>
  <si>
    <t>S5550</t>
  </si>
  <si>
    <t>U136500</t>
  </si>
  <si>
    <t>P96798</t>
  </si>
  <si>
    <t>S1895</t>
  </si>
  <si>
    <t>U951706</t>
  </si>
  <si>
    <t>P99816</t>
  </si>
  <si>
    <t>S9763</t>
  </si>
  <si>
    <t>U194634</t>
  </si>
  <si>
    <t>P40862</t>
  </si>
  <si>
    <t>S4446</t>
  </si>
  <si>
    <t>U387348</t>
  </si>
  <si>
    <t>P20498</t>
  </si>
  <si>
    <t>S9055</t>
  </si>
  <si>
    <t>U630930</t>
  </si>
  <si>
    <t>P18698</t>
  </si>
  <si>
    <t>S7895</t>
  </si>
  <si>
    <t>U760766</t>
  </si>
  <si>
    <t>P68117</t>
  </si>
  <si>
    <t>S3229</t>
  </si>
  <si>
    <t>U216211</t>
  </si>
  <si>
    <t>P30686</t>
  </si>
  <si>
    <t>S9460</t>
  </si>
  <si>
    <t>U870883</t>
  </si>
  <si>
    <t>P27499</t>
  </si>
  <si>
    <t>S3842</t>
  </si>
  <si>
    <t>U290724</t>
  </si>
  <si>
    <t>P61576</t>
  </si>
  <si>
    <t>S7182</t>
  </si>
  <si>
    <t>U307897</t>
  </si>
  <si>
    <t>P44312</t>
  </si>
  <si>
    <t>S3764</t>
  </si>
  <si>
    <t>U193387</t>
  </si>
  <si>
    <t>P58224</t>
  </si>
  <si>
    <t>S2922</t>
  </si>
  <si>
    <t>U299800</t>
  </si>
  <si>
    <t>P44891</t>
  </si>
  <si>
    <t>S9096</t>
  </si>
  <si>
    <t>U862008</t>
  </si>
  <si>
    <t>P98760</t>
  </si>
  <si>
    <t>S7853</t>
  </si>
  <si>
    <t>U747684</t>
  </si>
  <si>
    <t>P69110</t>
  </si>
  <si>
    <t>S5068</t>
  </si>
  <si>
    <t>U826687</t>
  </si>
  <si>
    <t>P62108</t>
  </si>
  <si>
    <t>S4476</t>
  </si>
  <si>
    <t>U176604</t>
  </si>
  <si>
    <t>P22488</t>
  </si>
  <si>
    <t>S1962</t>
  </si>
  <si>
    <t>U844033</t>
  </si>
  <si>
    <t>P15965</t>
  </si>
  <si>
    <t>S5155</t>
  </si>
  <si>
    <t>U686741</t>
  </si>
  <si>
    <t>P15390</t>
  </si>
  <si>
    <t>S3938</t>
  </si>
  <si>
    <t>U194002</t>
  </si>
  <si>
    <t>P51591</t>
  </si>
  <si>
    <t>S9690</t>
  </si>
  <si>
    <t>U623460</t>
  </si>
  <si>
    <t>P46831</t>
  </si>
  <si>
    <t>S6907</t>
  </si>
  <si>
    <t>U556943</t>
  </si>
  <si>
    <t>P31624</t>
  </si>
  <si>
    <t>S9049</t>
  </si>
  <si>
    <t>U341026</t>
  </si>
  <si>
    <t>P34004</t>
  </si>
  <si>
    <t>S8704</t>
  </si>
  <si>
    <t>U142773</t>
  </si>
  <si>
    <t>P67870</t>
  </si>
  <si>
    <t>S8949</t>
  </si>
  <si>
    <t>U313630</t>
  </si>
  <si>
    <t>P47239</t>
  </si>
  <si>
    <t>S3757</t>
  </si>
  <si>
    <t>U651567</t>
  </si>
  <si>
    <t>P84814</t>
  </si>
  <si>
    <t>S7822</t>
  </si>
  <si>
    <t>U814407</t>
  </si>
  <si>
    <t>P99212</t>
  </si>
  <si>
    <t>S7458</t>
  </si>
  <si>
    <t>U971051</t>
  </si>
  <si>
    <t>P96447</t>
  </si>
  <si>
    <t>S8439</t>
  </si>
  <si>
    <t>U575111</t>
  </si>
  <si>
    <t>P52587</t>
  </si>
  <si>
    <t>S3118</t>
  </si>
  <si>
    <t>U673734</t>
  </si>
  <si>
    <t>P88943</t>
  </si>
  <si>
    <t>S2516</t>
  </si>
  <si>
    <t>U993749</t>
  </si>
  <si>
    <t>P37292</t>
  </si>
  <si>
    <t>S7365</t>
  </si>
  <si>
    <t>U940014</t>
  </si>
  <si>
    <t>P66670</t>
  </si>
  <si>
    <t>S6080</t>
  </si>
  <si>
    <t>U613406</t>
  </si>
  <si>
    <t>P68385</t>
  </si>
  <si>
    <t>S7358</t>
  </si>
  <si>
    <t>U950389</t>
  </si>
  <si>
    <t>P58265</t>
  </si>
  <si>
    <t>S4053</t>
  </si>
  <si>
    <t>U779068</t>
  </si>
  <si>
    <t>P99946</t>
  </si>
  <si>
    <t>S3540</t>
  </si>
  <si>
    <t>U414985</t>
  </si>
  <si>
    <t>P29478</t>
  </si>
  <si>
    <t>S5921</t>
  </si>
  <si>
    <t>U147285</t>
  </si>
  <si>
    <t>P77294</t>
  </si>
  <si>
    <t>S9366</t>
  </si>
  <si>
    <t>U952308</t>
  </si>
  <si>
    <t>P43211</t>
  </si>
  <si>
    <t>S5175</t>
  </si>
  <si>
    <t>U288274</t>
  </si>
  <si>
    <t>P33882</t>
  </si>
  <si>
    <t>S7438</t>
  </si>
  <si>
    <t>U894143</t>
  </si>
  <si>
    <t>P97852</t>
  </si>
  <si>
    <t>S5342</t>
  </si>
  <si>
    <t>U371914</t>
  </si>
  <si>
    <t>P98265</t>
  </si>
  <si>
    <t>S8107</t>
  </si>
  <si>
    <t>U787657</t>
  </si>
  <si>
    <t>P72537</t>
  </si>
  <si>
    <t>S7637</t>
  </si>
  <si>
    <t>U943726</t>
  </si>
  <si>
    <t>P49669</t>
  </si>
  <si>
    <t>S3049</t>
  </si>
  <si>
    <t>U128117</t>
  </si>
  <si>
    <t>P37424</t>
  </si>
  <si>
    <t>U907111</t>
  </si>
  <si>
    <t>P70742</t>
  </si>
  <si>
    <t>U608608</t>
  </si>
  <si>
    <t>P71799</t>
  </si>
  <si>
    <t>S8364</t>
  </si>
  <si>
    <t>U153395</t>
  </si>
  <si>
    <t>P53758</t>
  </si>
  <si>
    <t>S2682</t>
  </si>
  <si>
    <t>U866591</t>
  </si>
  <si>
    <t>P82653</t>
  </si>
  <si>
    <t>S1606</t>
  </si>
  <si>
    <t>U811634</t>
  </si>
  <si>
    <t>P73950</t>
  </si>
  <si>
    <t>S1994</t>
  </si>
  <si>
    <t>U380859</t>
  </si>
  <si>
    <t>P94974</t>
  </si>
  <si>
    <t>S8755</t>
  </si>
  <si>
    <t>U121817</t>
  </si>
  <si>
    <t>P31146</t>
  </si>
  <si>
    <t>S4149</t>
  </si>
  <si>
    <t>U818247</t>
  </si>
  <si>
    <t>P54453</t>
  </si>
  <si>
    <t>S8675</t>
  </si>
  <si>
    <t>U934637</t>
  </si>
  <si>
    <t>P71908</t>
  </si>
  <si>
    <t>S3654</t>
  </si>
  <si>
    <t>U309174</t>
  </si>
  <si>
    <t>P30488</t>
  </si>
  <si>
    <t>S9063</t>
  </si>
  <si>
    <t>U149334</t>
  </si>
  <si>
    <t>P12376</t>
  </si>
  <si>
    <t>S5273</t>
  </si>
  <si>
    <t>U551538</t>
  </si>
  <si>
    <t>P24938</t>
  </si>
  <si>
    <t>S4714</t>
  </si>
  <si>
    <t>U907503</t>
  </si>
  <si>
    <t>P83010</t>
  </si>
  <si>
    <t>S3476</t>
  </si>
  <si>
    <t>U211035</t>
  </si>
  <si>
    <t>P90028</t>
  </si>
  <si>
    <t>U315363</t>
  </si>
  <si>
    <t>P57400</t>
  </si>
  <si>
    <t>S5786</t>
  </si>
  <si>
    <t>U261790</t>
  </si>
  <si>
    <t>P94815</t>
  </si>
  <si>
    <t>U975365</t>
  </si>
  <si>
    <t>P72084</t>
  </si>
  <si>
    <t>S5698</t>
  </si>
  <si>
    <t>U478162</t>
  </si>
  <si>
    <t>P92502</t>
  </si>
  <si>
    <t>S5021</t>
  </si>
  <si>
    <t>U581037</t>
  </si>
  <si>
    <t>P77653</t>
  </si>
  <si>
    <t>S6927</t>
  </si>
  <si>
    <t>U430096</t>
  </si>
  <si>
    <t>P62645</t>
  </si>
  <si>
    <t>U762288</t>
  </si>
  <si>
    <t>P96554</t>
  </si>
  <si>
    <t>S9516</t>
  </si>
  <si>
    <t>U460875</t>
  </si>
  <si>
    <t>P11035</t>
  </si>
  <si>
    <t>U670871</t>
  </si>
  <si>
    <t>P91836</t>
  </si>
  <si>
    <t>S8244</t>
  </si>
  <si>
    <t>U138766</t>
  </si>
  <si>
    <t>P80442</t>
  </si>
  <si>
    <t>U636526</t>
  </si>
  <si>
    <t>P82323</t>
  </si>
  <si>
    <t>S9541</t>
  </si>
  <si>
    <t>U861800</t>
  </si>
  <si>
    <t>P65410</t>
  </si>
  <si>
    <t>U229827</t>
  </si>
  <si>
    <t>P16256</t>
  </si>
  <si>
    <t>S3043</t>
  </si>
  <si>
    <t>U944510</t>
  </si>
  <si>
    <t>P86230</t>
  </si>
  <si>
    <t>S9737</t>
  </si>
  <si>
    <t>U805097</t>
  </si>
  <si>
    <t>P28346</t>
  </si>
  <si>
    <t>S7187</t>
  </si>
  <si>
    <t>U962813</t>
  </si>
  <si>
    <t>P57352</t>
  </si>
  <si>
    <t>S2605</t>
  </si>
  <si>
    <t>U236381</t>
  </si>
  <si>
    <t>P72423</t>
  </si>
  <si>
    <t>S8309</t>
  </si>
  <si>
    <t>U644153</t>
  </si>
  <si>
    <t>P61744</t>
  </si>
  <si>
    <t>S5320</t>
  </si>
  <si>
    <t>U867260</t>
  </si>
  <si>
    <t>P64646</t>
  </si>
  <si>
    <t>S3668</t>
  </si>
  <si>
    <t>U654844</t>
  </si>
  <si>
    <t>P25474</t>
  </si>
  <si>
    <t>S4483</t>
  </si>
  <si>
    <t>U730823</t>
  </si>
  <si>
    <t>P63558</t>
  </si>
  <si>
    <t>S2980</t>
  </si>
  <si>
    <t>U419736</t>
  </si>
  <si>
    <t>P59081</t>
  </si>
  <si>
    <t>S5816</t>
  </si>
  <si>
    <t>U419987</t>
  </si>
  <si>
    <t>P47156</t>
  </si>
  <si>
    <t>S3999</t>
  </si>
  <si>
    <t>U537859</t>
  </si>
  <si>
    <t>P73068</t>
  </si>
  <si>
    <t>S6074</t>
  </si>
  <si>
    <t>U239260</t>
  </si>
  <si>
    <t>P28156</t>
  </si>
  <si>
    <t>S8551</t>
  </si>
  <si>
    <t>U529526</t>
  </si>
  <si>
    <t>P60755</t>
  </si>
  <si>
    <t>S7478</t>
  </si>
  <si>
    <t>U273659</t>
  </si>
  <si>
    <t>P13251</t>
  </si>
  <si>
    <t>S6060</t>
  </si>
  <si>
    <t>U668154</t>
  </si>
  <si>
    <t>P85609</t>
  </si>
  <si>
    <t>S1866</t>
  </si>
  <si>
    <t>U288474</t>
  </si>
  <si>
    <t>P12486</t>
  </si>
  <si>
    <t>S4371</t>
  </si>
  <si>
    <t>U717499</t>
  </si>
  <si>
    <t>P15896</t>
  </si>
  <si>
    <t>S1381</t>
  </si>
  <si>
    <t>U500567</t>
  </si>
  <si>
    <t>P43708</t>
  </si>
  <si>
    <t>S2878</t>
  </si>
  <si>
    <t>U261719</t>
  </si>
  <si>
    <t>P50212</t>
  </si>
  <si>
    <t>S7672</t>
  </si>
  <si>
    <t>U847949</t>
  </si>
  <si>
    <t>P17667</t>
  </si>
  <si>
    <t>S7388</t>
  </si>
  <si>
    <t>U967949</t>
  </si>
  <si>
    <t>P25855</t>
  </si>
  <si>
    <t>S4318</t>
  </si>
  <si>
    <t>U382368</t>
  </si>
  <si>
    <t>P17947</t>
  </si>
  <si>
    <t>S8615</t>
  </si>
  <si>
    <t>U119527</t>
  </si>
  <si>
    <t>P45279</t>
  </si>
  <si>
    <t>S2663</t>
  </si>
  <si>
    <t>U987386</t>
  </si>
  <si>
    <t>P93335</t>
  </si>
  <si>
    <t>S4333</t>
  </si>
  <si>
    <t>U682119</t>
  </si>
  <si>
    <t>P69210</t>
  </si>
  <si>
    <t>S1016</t>
  </si>
  <si>
    <t>U386578</t>
  </si>
  <si>
    <t>P88363</t>
  </si>
  <si>
    <t>S7228</t>
  </si>
  <si>
    <t>U875089</t>
  </si>
  <si>
    <t>P80004</t>
  </si>
  <si>
    <t>S2145</t>
  </si>
  <si>
    <t>U393033</t>
  </si>
  <si>
    <t>P66618</t>
  </si>
  <si>
    <t>S9270</t>
  </si>
  <si>
    <t>U357874</t>
  </si>
  <si>
    <t>P96805</t>
  </si>
  <si>
    <t>S6597</t>
  </si>
  <si>
    <t>U777844</t>
  </si>
  <si>
    <t>P10268</t>
  </si>
  <si>
    <t>S8807</t>
  </si>
  <si>
    <t>U899502</t>
  </si>
  <si>
    <t>P61483</t>
  </si>
  <si>
    <t>S2329</t>
  </si>
  <si>
    <t>U470141</t>
  </si>
  <si>
    <t>P59332</t>
  </si>
  <si>
    <t>U302365</t>
  </si>
  <si>
    <t>P68271</t>
  </si>
  <si>
    <t>S4629</t>
  </si>
  <si>
    <t>U755608</t>
  </si>
  <si>
    <t>P49738</t>
  </si>
  <si>
    <t>S4623</t>
  </si>
  <si>
    <t>U319242</t>
  </si>
  <si>
    <t>P10935</t>
  </si>
  <si>
    <t>S7489</t>
  </si>
  <si>
    <t>U303182</t>
  </si>
  <si>
    <t>P96486</t>
  </si>
  <si>
    <t>S3875</t>
  </si>
  <si>
    <t>U997034</t>
  </si>
  <si>
    <t>P39879</t>
  </si>
  <si>
    <t>S9570</t>
  </si>
  <si>
    <t>U575976</t>
  </si>
  <si>
    <t>P10256</t>
  </si>
  <si>
    <t>S7997</t>
  </si>
  <si>
    <t>U227630</t>
  </si>
  <si>
    <t>P99151</t>
  </si>
  <si>
    <t>S8644</t>
  </si>
  <si>
    <t>U540467</t>
  </si>
  <si>
    <t>P79784</t>
  </si>
  <si>
    <t>S6181</t>
  </si>
  <si>
    <t>U873266</t>
  </si>
  <si>
    <t>P39573</t>
  </si>
  <si>
    <t>S7943</t>
  </si>
  <si>
    <t>U756403</t>
  </si>
  <si>
    <t>P91958</t>
  </si>
  <si>
    <t>S1456</t>
  </si>
  <si>
    <t>U213079</t>
  </si>
  <si>
    <t>P72072</t>
  </si>
  <si>
    <t>S6583</t>
  </si>
  <si>
    <t>U559831</t>
  </si>
  <si>
    <t>P22539</t>
  </si>
  <si>
    <t>S8314</t>
  </si>
  <si>
    <t>U988869</t>
  </si>
  <si>
    <t>P18523</t>
  </si>
  <si>
    <t>S3089</t>
  </si>
  <si>
    <t>U168986</t>
  </si>
  <si>
    <t>P23346</t>
  </si>
  <si>
    <t>S1914</t>
  </si>
  <si>
    <t>U888490</t>
  </si>
  <si>
    <t>P63884</t>
  </si>
  <si>
    <t>S1173</t>
  </si>
  <si>
    <t>U456113</t>
  </si>
  <si>
    <t>P95317</t>
  </si>
  <si>
    <t>S1425</t>
  </si>
  <si>
    <t>U724086</t>
  </si>
  <si>
    <t>P18853</t>
  </si>
  <si>
    <t>S4172</t>
  </si>
  <si>
    <t>U604783</t>
  </si>
  <si>
    <t>P91376</t>
  </si>
  <si>
    <t>S4046</t>
  </si>
  <si>
    <t>U557019</t>
  </si>
  <si>
    <t>P77256</t>
  </si>
  <si>
    <t>S6861</t>
  </si>
  <si>
    <t>U405202</t>
  </si>
  <si>
    <t>P58343</t>
  </si>
  <si>
    <t>S1132</t>
  </si>
  <si>
    <t>U542563</t>
  </si>
  <si>
    <t>P55064</t>
  </si>
  <si>
    <t>S4282</t>
  </si>
  <si>
    <t>U828531</t>
  </si>
  <si>
    <t>P71263</t>
  </si>
  <si>
    <t>S6425</t>
  </si>
  <si>
    <t>U209940</t>
  </si>
  <si>
    <t>P69546</t>
  </si>
  <si>
    <t>S1691</t>
  </si>
  <si>
    <t>U754227</t>
  </si>
  <si>
    <t>P37936</t>
  </si>
  <si>
    <t>S8876</t>
  </si>
  <si>
    <t>U966212</t>
  </si>
  <si>
    <t>P10881</t>
  </si>
  <si>
    <t>S1162</t>
  </si>
  <si>
    <t>U561801</t>
  </si>
  <si>
    <t>P35480</t>
  </si>
  <si>
    <t>S6896</t>
  </si>
  <si>
    <t>U374725</t>
  </si>
  <si>
    <t>P32843</t>
  </si>
  <si>
    <t>S5029</t>
  </si>
  <si>
    <t>U971834</t>
  </si>
  <si>
    <t>P98795</t>
  </si>
  <si>
    <t>U487596</t>
  </si>
  <si>
    <t>P58804</t>
  </si>
  <si>
    <t>S3807</t>
  </si>
  <si>
    <t>U933511</t>
  </si>
  <si>
    <t>P34856</t>
  </si>
  <si>
    <t>S9725</t>
  </si>
  <si>
    <t>U148439</t>
  </si>
  <si>
    <t>P90744</t>
  </si>
  <si>
    <t>S4098</t>
  </si>
  <si>
    <t>U232601</t>
  </si>
  <si>
    <t>P76619</t>
  </si>
  <si>
    <t>S9011</t>
  </si>
  <si>
    <t>U506968</t>
  </si>
  <si>
    <t>P94550</t>
  </si>
  <si>
    <t>S9342</t>
  </si>
  <si>
    <t>U651001</t>
  </si>
  <si>
    <t>P73346</t>
  </si>
  <si>
    <t>S9106</t>
  </si>
  <si>
    <t>U781298</t>
  </si>
  <si>
    <t>P14797</t>
  </si>
  <si>
    <t>S4596</t>
  </si>
  <si>
    <t>U545668</t>
  </si>
  <si>
    <t>P59425</t>
  </si>
  <si>
    <t>S3575</t>
  </si>
  <si>
    <t>U566097</t>
  </si>
  <si>
    <t>P78002</t>
  </si>
  <si>
    <t>S4771</t>
  </si>
  <si>
    <t>U573066</t>
  </si>
  <si>
    <t>P71282</t>
  </si>
  <si>
    <t>S7700</t>
  </si>
  <si>
    <t>U288288</t>
  </si>
  <si>
    <t>P67892</t>
  </si>
  <si>
    <t>S5351</t>
  </si>
  <si>
    <t>U673206</t>
  </si>
  <si>
    <t>P94365</t>
  </si>
  <si>
    <t>U310036</t>
  </si>
  <si>
    <t>P53746</t>
  </si>
  <si>
    <t>S6394</t>
  </si>
  <si>
    <t>U244562</t>
  </si>
  <si>
    <t>P81188</t>
  </si>
  <si>
    <t>S5278</t>
  </si>
  <si>
    <t>U894617</t>
  </si>
  <si>
    <t>P95892</t>
  </si>
  <si>
    <t>S8733</t>
  </si>
  <si>
    <t>U597484</t>
  </si>
  <si>
    <t>P40634</t>
  </si>
  <si>
    <t>S8679</t>
  </si>
  <si>
    <t>U907540</t>
  </si>
  <si>
    <t>P64747</t>
  </si>
  <si>
    <t>S8187</t>
  </si>
  <si>
    <t>U420415</t>
  </si>
  <si>
    <t>P11268</t>
  </si>
  <si>
    <t>S6810</t>
  </si>
  <si>
    <t>U414192</t>
  </si>
  <si>
    <t>P52739</t>
  </si>
  <si>
    <t>S1380</t>
  </si>
  <si>
    <t>U737363</t>
  </si>
  <si>
    <t>P85219</t>
  </si>
  <si>
    <t>S7404</t>
  </si>
  <si>
    <t>U213915</t>
  </si>
  <si>
    <t>P53101</t>
  </si>
  <si>
    <t>S8397</t>
  </si>
  <si>
    <t>U286264</t>
  </si>
  <si>
    <t>P14202</t>
  </si>
  <si>
    <t>S9005</t>
  </si>
  <si>
    <t>U344359</t>
  </si>
  <si>
    <t>P48155</t>
  </si>
  <si>
    <t>S9591</t>
  </si>
  <si>
    <t>U442645</t>
  </si>
  <si>
    <t>P63852</t>
  </si>
  <si>
    <t>S3572</t>
  </si>
  <si>
    <t>U507888</t>
  </si>
  <si>
    <t>P37063</t>
  </si>
  <si>
    <t>U425387</t>
  </si>
  <si>
    <t>P87003</t>
  </si>
  <si>
    <t>S9232</t>
  </si>
  <si>
    <t>U167077</t>
  </si>
  <si>
    <t>P62328</t>
  </si>
  <si>
    <t>S5044</t>
  </si>
  <si>
    <t>U140983</t>
  </si>
  <si>
    <t>P21941</t>
  </si>
  <si>
    <t>S8476</t>
  </si>
  <si>
    <t>U288301</t>
  </si>
  <si>
    <t>P90967</t>
  </si>
  <si>
    <t>S8079</t>
  </si>
  <si>
    <t>U512668</t>
  </si>
  <si>
    <t>P15723</t>
  </si>
  <si>
    <t>U898868</t>
  </si>
  <si>
    <t>P82459</t>
  </si>
  <si>
    <t>S7041</t>
  </si>
  <si>
    <t>U365045</t>
  </si>
  <si>
    <t>P37180</t>
  </si>
  <si>
    <t>S1731</t>
  </si>
  <si>
    <t>U997343</t>
  </si>
  <si>
    <t>S1618</t>
  </si>
  <si>
    <t>U608306</t>
  </si>
  <si>
    <t>P70470</t>
  </si>
  <si>
    <t>S2352</t>
  </si>
  <si>
    <t>U982442</t>
  </si>
  <si>
    <t>P31150</t>
  </si>
  <si>
    <t>S1295</t>
  </si>
  <si>
    <t>U276636</t>
  </si>
  <si>
    <t>P20169</t>
  </si>
  <si>
    <t>S1183</t>
  </si>
  <si>
    <t>U849115</t>
  </si>
  <si>
    <t>P14514</t>
  </si>
  <si>
    <t>S9721</t>
  </si>
  <si>
    <t>U565553</t>
  </si>
  <si>
    <t>P16870</t>
  </si>
  <si>
    <t>S1076</t>
  </si>
  <si>
    <t>U195825</t>
  </si>
  <si>
    <t>P12102</t>
  </si>
  <si>
    <t>S1457</t>
  </si>
  <si>
    <t>U859181</t>
  </si>
  <si>
    <t>P31895</t>
  </si>
  <si>
    <t>S7810</t>
  </si>
  <si>
    <t>U755017</t>
  </si>
  <si>
    <t>P37147</t>
  </si>
  <si>
    <t>S9875</t>
  </si>
  <si>
    <t>U439075</t>
  </si>
  <si>
    <t>P32756</t>
  </si>
  <si>
    <t>S7588</t>
  </si>
  <si>
    <t>U169223</t>
  </si>
  <si>
    <t>P96240</t>
  </si>
  <si>
    <t>S5562</t>
  </si>
  <si>
    <t>U904829</t>
  </si>
  <si>
    <t>P88494</t>
  </si>
  <si>
    <t>S2668</t>
  </si>
  <si>
    <t>U810830</t>
  </si>
  <si>
    <t>P27423</t>
  </si>
  <si>
    <t>U738093</t>
  </si>
  <si>
    <t>P86681</t>
  </si>
  <si>
    <t>S7264</t>
  </si>
  <si>
    <t>U122243</t>
  </si>
  <si>
    <t>P90786</t>
  </si>
  <si>
    <t>S3032</t>
  </si>
  <si>
    <t>U162833</t>
  </si>
  <si>
    <t>P28029</t>
  </si>
  <si>
    <t>S9171</t>
  </si>
  <si>
    <t>U349628</t>
  </si>
  <si>
    <t>P88390</t>
  </si>
  <si>
    <t>S8270</t>
  </si>
  <si>
    <t>U646174</t>
  </si>
  <si>
    <t>P64380</t>
  </si>
  <si>
    <t>S5726</t>
  </si>
  <si>
    <t>U665509</t>
  </si>
  <si>
    <t>P17087</t>
  </si>
  <si>
    <t>U563849</t>
  </si>
  <si>
    <t>P92546</t>
  </si>
  <si>
    <t>S2058</t>
  </si>
  <si>
    <t>U196216</t>
  </si>
  <si>
    <t>P32764</t>
  </si>
  <si>
    <t>U426592</t>
  </si>
  <si>
    <t>P31516</t>
  </si>
  <si>
    <t>S4236</t>
  </si>
  <si>
    <t>U704422</t>
  </si>
  <si>
    <t>P68755</t>
  </si>
  <si>
    <t>S4299</t>
  </si>
  <si>
    <t>U593578</t>
  </si>
  <si>
    <t>P67852</t>
  </si>
  <si>
    <t>S9278</t>
  </si>
  <si>
    <t>U548158</t>
  </si>
  <si>
    <t>P20909</t>
  </si>
  <si>
    <t>S5918</t>
  </si>
  <si>
    <t>U420704</t>
  </si>
  <si>
    <t>P69454</t>
  </si>
  <si>
    <t>S7146</t>
  </si>
  <si>
    <t>U305222</t>
  </si>
  <si>
    <t>P30280</t>
  </si>
  <si>
    <t>S4106</t>
  </si>
  <si>
    <t>U513820</t>
  </si>
  <si>
    <t>P58908</t>
  </si>
  <si>
    <t>S9020</t>
  </si>
  <si>
    <t>U270249</t>
  </si>
  <si>
    <t>P35457</t>
  </si>
  <si>
    <t>S8148</t>
  </si>
  <si>
    <t>U830286</t>
  </si>
  <si>
    <t>P17563</t>
  </si>
  <si>
    <t>S7313</t>
  </si>
  <si>
    <t>U831351</t>
  </si>
  <si>
    <t>P97251</t>
  </si>
  <si>
    <t>S3422</t>
  </si>
  <si>
    <t>U706435</t>
  </si>
  <si>
    <t>P96848</t>
  </si>
  <si>
    <t>S3644</t>
  </si>
  <si>
    <t>U184251</t>
  </si>
  <si>
    <t>P77965</t>
  </si>
  <si>
    <t>S4093</t>
  </si>
  <si>
    <t>U659102</t>
  </si>
  <si>
    <t>P96309</t>
  </si>
  <si>
    <t>U767083</t>
  </si>
  <si>
    <t>P85053</t>
  </si>
  <si>
    <t>S6642</t>
  </si>
  <si>
    <t>U106732</t>
  </si>
  <si>
    <t>P32072</t>
  </si>
  <si>
    <t>S9056</t>
  </si>
  <si>
    <t>U786315</t>
  </si>
  <si>
    <t>P47793</t>
  </si>
  <si>
    <t>S8060</t>
  </si>
  <si>
    <t>U610102</t>
  </si>
  <si>
    <t>P33853</t>
  </si>
  <si>
    <t>S2806</t>
  </si>
  <si>
    <t xml:space="preserve"> Net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</si>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</sst>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8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0" fillId="0" borderId="1" xfId="0" applyBorder="1">
      <alignment vertical="center"/>
    </xf>
    <xf numFmtId="8" fontId="0" fillId="0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8" fontId="0" fillId="3" borderId="1" xfId="0" applyNumberFormat="1" applyFill="1" applyBorder="1">
      <alignment vertical="center"/>
    </xf>
    <xf numFmtId="8" fontId="0" fillId="0" borderId="0" xfId="0" applyNumberFormat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8" fontId="0" fillId="3" borderId="2" xfId="0" applyNumberForma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>
      <alignment vertical="center"/>
    </xf>
    <xf numFmtId="8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47">
    <dxf>
      <numFmt numFmtId="12" formatCode="&quot;$&quot;#,##0.00_);[Red]\(&quot;$&quot;#,##0.00\)"/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border>
        <bottom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[Amezom 1m.xlsx]Sheet2!PivotTable1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Sheet2!$B$2:$B$7</c:f>
              <c:numCache>
                <c:formatCode>"$"#,##0.00_);[Red]\("$"#,##0.00\)</c:formatCode>
                <c:ptCount val="5"/>
                <c:pt idx="0">
                  <c:v>119894.224</c:v>
                </c:pt>
                <c:pt idx="1">
                  <c:v>62111.910499999998</c:v>
                </c:pt>
                <c:pt idx="2">
                  <c:v>2184493.2940000002</c:v>
                </c:pt>
                <c:pt idx="3">
                  <c:v>429793.03850000002</c:v>
                </c:pt>
                <c:pt idx="4">
                  <c:v>330368.36949999997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F-4CB1-804F-3C547D26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0782856"/>
        <c:axId val="119336827"/>
      </c:barChart>
      <c:catAx>
        <c:axId val="30782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36827"/>
        <c:crosses val="autoZero"/>
        <c:auto val="1"/>
        <c:lblAlgn val="ctr"/>
        <c:lblOffset val="100"/>
        <c:noMultiLvlLbl val="0"/>
      </c:catAx>
      <c:valAx>
        <c:axId val="1193368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2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98425</xdr:colOff>
      <xdr:row>0</xdr:row>
      <xdr:rowOff>60325</xdr:rowOff>
    </xdr:from>
    <xdr:to>
      <xdr:col>12</xdr:col>
      <xdr:colOff>155575</xdr:colOff>
      <xdr:row>12</xdr:row>
      <xdr:rowOff>149225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brand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7400" y="60325"/>
              <a:ext cx="127635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184150</xdr:colOff>
      <xdr:row>0</xdr:row>
      <xdr:rowOff>44450</xdr:rowOff>
    </xdr:from>
    <xdr:to>
      <xdr:col>9</xdr:col>
      <xdr:colOff>333375</xdr:colOff>
      <xdr:row>14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8.671354166698" createdVersion="5" refreshedVersion="5" minRefreshableVersion="3" recordCount="1000" xr:uid="{00000000-000A-0000-FFFF-FFFF00000000}">
  <cacheSource type="worksheet">
    <worksheetSource ref="A1:X1001" sheet="Sheet1"/>
  </cacheSource>
  <cacheFields count="24">
    <cacheField name="user_id" numFmtId="0">
      <sharedItems count="999">
        <s v="U356787"/>
        <s v="U198246"/>
        <s v="U539898"/>
        <s v="U325772"/>
        <s v="U865179"/>
        <s v="U705397"/>
        <s v="U498591"/>
        <s v="U738720"/>
        <s v="U330283"/>
        <s v="U694731"/>
        <s v="U665158"/>
        <s v="U617488"/>
        <s v="U166613"/>
        <s v="U887352"/>
        <s v="U624902"/>
        <s v="U492077"/>
        <s v="U351083"/>
        <s v="U676510"/>
        <s v="U847581"/>
        <s v="U454508"/>
        <s v="U132938"/>
        <s v="U858490"/>
        <s v="U471507"/>
        <s v="U939482"/>
        <s v="U361941"/>
        <s v="U604740"/>
        <s v="U399105"/>
        <s v="U163918"/>
        <s v="U632496"/>
        <s v="U358175"/>
        <s v="U373432"/>
        <s v="U579434"/>
        <s v="U323508"/>
        <s v="U974244"/>
        <s v="U240814"/>
        <s v="U313487"/>
        <s v="U969634"/>
        <s v="U678478"/>
        <s v="U710805"/>
        <s v="U815198"/>
        <s v="U532322"/>
        <s v="U140605"/>
        <s v="U517821"/>
        <s v="U447235"/>
        <s v="U557592"/>
        <s v="U945687"/>
        <s v="U854717"/>
        <s v="U233470"/>
        <s v="U974224"/>
        <s v="U563246"/>
        <s v="U640490"/>
        <s v="U125611"/>
        <s v="U853240"/>
        <s v="U284430"/>
        <s v="U686075"/>
        <s v="U571932"/>
        <s v="U387936"/>
        <s v="U258157"/>
        <s v="U588557"/>
        <s v="U468845"/>
        <s v="U130434"/>
        <s v="U513160"/>
        <s v="U497519"/>
        <s v="U593152"/>
        <s v="U890870"/>
        <s v="U801978"/>
        <s v="U915573"/>
        <s v="U849747"/>
        <s v="U464069"/>
        <s v="U479781"/>
        <s v="U745830"/>
        <s v="U971084"/>
        <s v="U130094"/>
        <s v="U393243"/>
        <s v="U612311"/>
        <s v="U408528"/>
        <s v="U882169"/>
        <s v="U856321"/>
        <s v="U859782"/>
        <s v="U288158"/>
        <s v="U768854"/>
        <s v="U153872"/>
        <s v="U259097"/>
        <s v="U929151"/>
        <s v="U696251"/>
        <s v="U678805"/>
        <s v="U342720"/>
        <s v="U793300"/>
        <s v="U162535"/>
        <s v="U833723"/>
        <s v="U733039"/>
        <s v="U593355"/>
        <s v="U592841"/>
        <s v="U402218"/>
        <s v="U221552"/>
        <s v="U752878"/>
        <s v="U832168"/>
        <s v="U679077"/>
        <s v="U633590"/>
        <s v="U728492"/>
        <s v="U396578"/>
        <s v="U899929"/>
        <s v="U997594"/>
        <s v="U619389"/>
        <s v="U116093"/>
        <s v="U781403"/>
        <s v="U171744"/>
        <s v="U565230"/>
        <s v="U551607"/>
        <s v="U749813"/>
        <s v="U367729"/>
        <s v="U769975"/>
        <s v="U348728"/>
        <s v="U387813"/>
        <s v="U767542"/>
        <s v="U134985"/>
        <s v="U924718"/>
        <s v="U943298"/>
        <s v="U929090"/>
        <s v="U712955"/>
        <s v="U779112"/>
        <s v="U139019"/>
        <s v="U803055"/>
        <s v="U823811"/>
        <s v="U163491"/>
        <s v="U122394"/>
        <s v="U714867"/>
        <s v="U666456"/>
        <s v="U439498"/>
        <s v="U599380"/>
        <s v="U862569"/>
        <s v="U614084"/>
        <s v="U674993"/>
        <s v="U931621"/>
        <s v="U536196"/>
        <s v="U195656"/>
        <s v="U688967"/>
        <s v="U729575"/>
        <s v="U986438"/>
        <s v="U127529"/>
        <s v="U290217"/>
        <s v="U325583"/>
        <s v="U914571"/>
        <s v="U385320"/>
        <s v="U461939"/>
        <s v="U728437"/>
        <s v="U108105"/>
        <s v="U685864"/>
        <s v="U181644"/>
        <s v="U121869"/>
        <s v="U717476"/>
        <s v="U180089"/>
        <s v="U347745"/>
        <s v="U285751"/>
        <s v="U438908"/>
        <s v="U720148"/>
        <s v="U972097"/>
        <s v="U571579"/>
        <s v="U208529"/>
        <s v="U649525"/>
        <s v="U154909"/>
        <s v="U364236"/>
        <s v="U235215"/>
        <s v="U197992"/>
        <s v="U458332"/>
        <s v="U975686"/>
        <s v="U971728"/>
        <s v="U565776"/>
        <s v="U561999"/>
        <s v="U154714"/>
        <s v="U900185"/>
        <s v="U127965"/>
        <s v="U129556"/>
        <s v="U829884"/>
        <s v="U675462"/>
        <s v="U540218"/>
        <s v="U702980"/>
        <s v="U536802"/>
        <s v="U681070"/>
        <s v="U926823"/>
        <s v="U672536"/>
        <s v="U166165"/>
        <s v="U517568"/>
        <s v="U386488"/>
        <s v="U620306"/>
        <s v="U962287"/>
        <s v="U567576"/>
        <s v="U744718"/>
        <s v="U132653"/>
        <s v="U501451"/>
        <s v="U244383"/>
        <s v="U623285"/>
        <s v="U827691"/>
        <s v="U949884"/>
        <s v="U846385"/>
        <s v="U127560"/>
        <s v="U851759"/>
        <s v="U588461"/>
        <s v="U643269"/>
        <s v="U987025"/>
        <s v="U626986"/>
        <s v="U772612"/>
        <s v="U757629"/>
        <s v="U822063"/>
        <s v="U427766"/>
        <s v="U353480"/>
        <s v="U745270"/>
        <s v="U589491"/>
        <s v="U352422"/>
        <s v="U399628"/>
        <s v="U520040"/>
        <s v="U393308"/>
        <s v="U891638"/>
        <s v="U943019"/>
        <s v="U746447"/>
        <s v="U486251"/>
        <s v="U705693"/>
        <s v="U912233"/>
        <s v="U258787"/>
        <s v="U688132"/>
        <s v="U672808"/>
        <s v="U335790"/>
        <s v="U687713"/>
        <s v="U401602"/>
        <s v="U384303"/>
        <s v="U802371"/>
        <s v="U814281"/>
        <s v="U777273"/>
        <s v="U138105"/>
        <s v="U212512"/>
        <s v="U948102"/>
        <s v="U872399"/>
        <s v="U640310"/>
        <s v="U107161"/>
        <s v="U111991"/>
        <s v="U267475"/>
        <s v="U331577"/>
        <s v="U593699"/>
        <s v="U181896"/>
        <s v="U995993"/>
        <s v="U567122"/>
        <s v="U805448"/>
        <s v="U544278"/>
        <s v="U288724"/>
        <s v="U239449"/>
        <s v="U975373"/>
        <s v="U963355"/>
        <s v="U948799"/>
        <s v="U804667"/>
        <s v="U628373"/>
        <s v="U331780"/>
        <s v="U461145"/>
        <s v="U494747"/>
        <s v="U160423"/>
        <s v="U778120"/>
        <s v="U381502"/>
        <s v="U449138"/>
        <s v="U837954"/>
        <s v="U423404"/>
        <s v="U428122"/>
        <s v="U854987"/>
        <s v="U677390"/>
        <s v="U277487"/>
        <s v="U901467"/>
        <s v="U578160"/>
        <s v="U655134"/>
        <s v="U256130"/>
        <s v="U581294"/>
        <s v="U495490"/>
        <s v="U776234"/>
        <s v="U384263"/>
        <s v="U991737"/>
        <s v="U691353"/>
        <s v="U625119"/>
        <s v="U515973"/>
        <s v="U294760"/>
        <s v="U498458"/>
        <s v="U477400"/>
        <s v="U527865"/>
        <s v="U406024"/>
        <s v="U277735"/>
        <s v="U541557"/>
        <s v="U580102"/>
        <s v="U450996"/>
        <s v="U517584"/>
        <s v="U219420"/>
        <s v="U936433"/>
        <s v="U849979"/>
        <s v="U631221"/>
        <s v="U274418"/>
        <s v="U371306"/>
        <s v="U823975"/>
        <s v="U971699"/>
        <s v="U202365"/>
        <s v="U779445"/>
        <s v="U687044"/>
        <s v="U514798"/>
        <s v="U315780"/>
        <s v="U579776"/>
        <s v="U219781"/>
        <s v="U804758"/>
        <s v="U635638"/>
        <s v="U827117"/>
        <s v="U982885"/>
        <s v="U629990"/>
        <s v="U692862"/>
        <s v="U276379"/>
        <s v="U668373"/>
        <s v="U571578"/>
        <s v="U845279"/>
        <s v="U658136"/>
        <s v="U999695"/>
        <s v="U361805"/>
        <s v="U758309"/>
        <s v="U576782"/>
        <s v="U991401"/>
        <s v="U968581"/>
        <s v="U148174"/>
        <s v="U312146"/>
        <s v="U796787"/>
        <s v="U837880"/>
        <s v="U109738"/>
        <s v="U501677"/>
        <s v="U772741"/>
        <s v="U758589"/>
        <s v="U718213"/>
        <s v="U680278"/>
        <s v="U634273"/>
        <s v="U623850"/>
        <s v="U541307"/>
        <s v="U326222"/>
        <s v="U186431"/>
        <s v="U313068"/>
        <s v="U160718"/>
        <s v="U225245"/>
        <s v="U921021"/>
        <s v="U385192"/>
        <s v="U623879"/>
        <s v="U339499"/>
        <s v="U257375"/>
        <s v="U384434"/>
        <s v="U172274"/>
        <s v="U310418"/>
        <s v="U868043"/>
        <s v="U766833"/>
        <s v="U349736"/>
        <s v="U834891"/>
        <s v="U720647"/>
        <s v="U834764"/>
        <s v="U262959"/>
        <s v="U423284"/>
        <s v="U142288"/>
        <s v="U151328"/>
        <s v="U361989"/>
        <s v="U963684"/>
        <s v="U948611"/>
        <s v="U961599"/>
        <s v="U393448"/>
        <s v="U602300"/>
        <s v="U761393"/>
        <s v="U626797"/>
        <s v="U161437"/>
        <s v="U379473"/>
        <s v="U433451"/>
        <s v="U297377"/>
        <s v="U329437"/>
        <s v="U941403"/>
        <s v="U838761"/>
        <s v="U930307"/>
        <s v="U334081"/>
        <s v="U836109"/>
        <s v="U620287"/>
        <s v="U568325"/>
        <s v="U150486"/>
        <s v="U206355"/>
        <s v="U373812"/>
        <s v="U743453"/>
        <s v="U447177"/>
        <s v="U152046"/>
        <s v="U963918"/>
        <s v="U185916"/>
        <s v="U773045"/>
        <s v="U561101"/>
        <s v="U947438"/>
        <s v="U700534"/>
        <s v="U281276"/>
        <s v="U311727"/>
        <s v="U441968"/>
        <s v="U716493"/>
        <s v="U501650"/>
        <s v="U738221"/>
        <s v="U381631"/>
        <s v="U339030"/>
        <s v="U297064"/>
        <s v="U168804"/>
        <s v="U973390"/>
        <s v="U387286"/>
        <s v="U612530"/>
        <s v="U398916"/>
        <s v="U783238"/>
        <s v="U939767"/>
        <s v="U688730"/>
        <s v="U390334"/>
        <s v="U792616"/>
        <s v="U524252"/>
        <s v="U819656"/>
        <s v="U289934"/>
        <s v="U786224"/>
        <s v="U408334"/>
        <s v="U595158"/>
        <s v="U244037"/>
        <s v="U611265"/>
        <s v="U704272"/>
        <s v="U501936"/>
        <s v="U809621"/>
        <s v="U717265"/>
        <s v="U649577"/>
        <s v="U339513"/>
        <s v="U845652"/>
        <s v="U794125"/>
        <s v="U365015"/>
        <s v="U794663"/>
        <s v="U922880"/>
        <s v="U409698"/>
        <s v="U113368"/>
        <s v="U368322"/>
        <s v="U993647"/>
        <s v="U444625"/>
        <s v="U219361"/>
        <s v="U218548"/>
        <s v="U290065"/>
        <s v="U531262"/>
        <s v="U334865"/>
        <s v="U255875"/>
        <s v="U887931"/>
        <s v="U522866"/>
        <s v="U621533"/>
        <s v="U930244"/>
        <s v="U956255"/>
        <s v="U202170"/>
        <s v="U836201"/>
        <s v="U305438"/>
        <s v="U764000"/>
        <s v="U104548"/>
        <s v="U282085"/>
        <s v="U386886"/>
        <s v="U413433"/>
        <s v="U819964"/>
        <s v="U844858"/>
        <s v="U806995"/>
        <s v="U309612"/>
        <s v="U133875"/>
        <s v="U922405"/>
        <s v="U879794"/>
        <s v="U913848"/>
        <s v="U495521"/>
        <s v="U446620"/>
        <s v="U984096"/>
        <s v="U645895"/>
        <s v="U331942"/>
        <s v="U688602"/>
        <s v="U355671"/>
        <s v="U125905"/>
        <s v="U435872"/>
        <s v="U818699"/>
        <s v="U851690"/>
        <s v="U961530"/>
        <s v="U508422"/>
        <s v="U475075"/>
        <s v="U514306"/>
        <s v="U412534"/>
        <s v="U513224"/>
        <s v="U249375"/>
        <s v="U993650"/>
        <s v="U860835"/>
        <s v="U173199"/>
        <s v="U693024"/>
        <s v="U390119"/>
        <s v="U214119"/>
        <s v="U862760"/>
        <s v="U138436"/>
        <s v="U909652"/>
        <s v="U626560"/>
        <s v="U693868"/>
        <s v="U165914"/>
        <s v="U148693"/>
        <s v="U282294"/>
        <s v="U525556"/>
        <s v="U341162"/>
        <s v="U793223"/>
        <s v="U269078"/>
        <s v="U241268"/>
        <s v="U641737"/>
        <s v="U605065"/>
        <s v="U377370"/>
        <s v="U117367"/>
        <s v="U744610"/>
        <s v="U665482"/>
        <s v="U927909"/>
        <s v="U727354"/>
        <s v="U493247"/>
        <s v="U365953"/>
        <s v="U533301"/>
        <s v="U705711"/>
        <s v="U205149"/>
        <s v="U963245"/>
        <s v="U139589"/>
        <s v="U560295"/>
        <s v="U745073"/>
        <s v="U917546"/>
        <s v="U398313"/>
        <s v="U702833"/>
        <s v="U941945"/>
        <s v="U907369"/>
        <s v="U170835"/>
        <s v="U110195"/>
        <s v="U599704"/>
        <s v="U346269"/>
        <s v="U916776"/>
        <s v="U750817"/>
        <s v="U234475"/>
        <s v="U579404"/>
        <s v="U497859"/>
        <s v="U382495"/>
        <s v="U834750"/>
        <s v="U953740"/>
        <s v="U595962"/>
        <s v="U923481"/>
        <s v="U953350"/>
        <s v="U949363"/>
        <s v="U781433"/>
        <s v="U182216"/>
        <s v="U699405"/>
        <s v="U844943"/>
        <s v="U275445"/>
        <s v="U320800"/>
        <s v="U649435"/>
        <s v="U873422"/>
        <s v="U589887"/>
        <s v="U578720"/>
        <s v="U563324"/>
        <s v="U460589"/>
        <s v="U726003"/>
        <s v="U362035"/>
        <s v="U641704"/>
        <s v="U403662"/>
        <s v="U120337"/>
        <s v="U862427"/>
        <s v="U923892"/>
        <s v="U913331"/>
        <s v="U905459"/>
        <s v="U798359"/>
        <s v="U880900"/>
        <s v="U799080"/>
        <s v="U713099"/>
        <s v="U489439"/>
        <s v="U162678"/>
        <s v="U926867"/>
        <s v="U362874"/>
        <s v="U670027"/>
        <s v="U959222"/>
        <s v="U119629"/>
        <s v="U816412"/>
        <s v="U200932"/>
        <s v="U300924"/>
        <s v="U151470"/>
        <s v="U478458"/>
        <s v="U974991"/>
        <s v="U302500"/>
        <s v="U903506"/>
        <s v="U676680"/>
        <s v="U676802"/>
        <s v="U672130"/>
        <s v="U398301"/>
        <s v="U122755"/>
        <s v="U245131"/>
        <s v="U869933"/>
        <s v="U139186"/>
        <s v="U883997"/>
        <s v="U666157"/>
        <s v="U703198"/>
        <s v="U598969"/>
        <s v="U911414"/>
        <s v="U688426"/>
        <s v="U817999"/>
        <s v="U461260"/>
        <s v="U561859"/>
        <s v="U354854"/>
        <s v="U123853"/>
        <s v="U753306"/>
        <s v="U927524"/>
        <s v="U213132"/>
        <s v="U657381"/>
        <s v="U359409"/>
        <s v="U472640"/>
        <s v="U393804"/>
        <s v="U755910"/>
        <s v="U668573"/>
        <s v="U241822"/>
        <s v="U980303"/>
        <s v="U259338"/>
        <s v="U742108"/>
        <s v="U987240"/>
        <s v="U337264"/>
        <s v="U560623"/>
        <s v="U855185"/>
        <s v="U357657"/>
        <s v="U299072"/>
        <s v="U157196"/>
        <s v="U829928"/>
        <s v="U847251"/>
        <s v="U195620"/>
        <s v="U741804"/>
        <s v="U251631"/>
        <s v="U223264"/>
        <s v="U946677"/>
        <s v="U183262"/>
        <s v="U151295"/>
        <s v="U978721"/>
        <s v="U740774"/>
        <s v="U497346"/>
        <s v="U828361"/>
        <s v="U699121"/>
        <s v="U703080"/>
        <s v="U344026"/>
        <s v="U534153"/>
        <s v="U928580"/>
        <s v="U457943"/>
        <s v="U935981"/>
        <s v="U922072"/>
        <s v="U318379"/>
        <s v="U756944"/>
        <s v="U844321"/>
        <s v="U650607"/>
        <s v="U937838"/>
        <s v="U913205"/>
        <s v="U221462"/>
        <s v="U903398"/>
        <s v="U400487"/>
        <s v="U115997"/>
        <s v="U248433"/>
        <s v="U565198"/>
        <s v="U510954"/>
        <s v="U182361"/>
        <s v="U593403"/>
        <s v="U927094"/>
        <s v="U986850"/>
        <s v="U441699"/>
        <s v="U355528"/>
        <s v="U552091"/>
        <s v="U725030"/>
        <s v="U818807"/>
        <s v="U708979"/>
        <s v="U706005"/>
        <s v="U852658"/>
        <s v="U155708"/>
        <s v="U513420"/>
        <s v="U597938"/>
        <s v="U112166"/>
        <s v="U773440"/>
        <s v="U678866"/>
        <s v="U987938"/>
        <s v="U695748"/>
        <s v="U887042"/>
        <s v="U817303"/>
        <s v="U637566"/>
        <s v="U885829"/>
        <s v="U948188"/>
        <s v="U238976"/>
        <s v="U791174"/>
        <s v="U188501"/>
        <s v="U321099"/>
        <s v="U599365"/>
        <s v="U656208"/>
        <s v="U202093"/>
        <s v="U786128"/>
        <s v="U810638"/>
        <s v="U650779"/>
        <s v="U124851"/>
        <s v="U236217"/>
        <s v="U769809"/>
        <s v="U501393"/>
        <s v="U739947"/>
        <s v="U563031"/>
        <s v="U256085"/>
        <s v="U702553"/>
        <s v="U822742"/>
        <s v="U483102"/>
        <s v="U502824"/>
        <s v="U871043"/>
        <s v="U166052"/>
        <s v="U926045"/>
        <s v="U344303"/>
        <s v="U115063"/>
        <s v="U957525"/>
        <s v="U439984"/>
        <s v="U226610"/>
        <s v="U142675"/>
        <s v="U193471"/>
        <s v="U648496"/>
        <s v="U741780"/>
        <s v="U655953"/>
        <s v="U218152"/>
        <s v="U398911"/>
        <s v="U265722"/>
        <s v="U539422"/>
        <s v="U309668"/>
        <s v="U326665"/>
        <s v="U382795"/>
        <s v="U538539"/>
        <s v="U706204"/>
        <s v="U977646"/>
        <s v="U707615"/>
        <s v="U135253"/>
        <s v="U889660"/>
        <s v="U116703"/>
        <s v="U909327"/>
        <s v="U757776"/>
        <s v="U668784"/>
        <s v="U807424"/>
        <s v="U484232"/>
        <s v="U219073"/>
        <s v="U390607"/>
        <s v="U593002"/>
        <s v="U297503"/>
        <s v="U217466"/>
        <s v="U596925"/>
        <s v="U975505"/>
        <s v="U982804"/>
        <s v="U489967"/>
        <s v="U846389"/>
        <s v="U702433"/>
        <s v="U460549"/>
        <s v="U623676"/>
        <s v="U596931"/>
        <s v="U810943"/>
        <s v="U442220"/>
        <s v="U664566"/>
        <s v="U636405"/>
        <s v="U112782"/>
        <s v="U877548"/>
        <s v="U976097"/>
        <s v="U719371"/>
        <s v="U891930"/>
        <s v="U418677"/>
        <s v="U230208"/>
        <s v="U129824"/>
        <s v="U557250"/>
        <s v="U986340"/>
        <s v="U385915"/>
        <s v="U303229"/>
        <s v="U384645"/>
        <s v="U395087"/>
        <s v="U331854"/>
        <s v="U118223"/>
        <s v="U280572"/>
        <s v="U231432"/>
        <s v="U305888"/>
        <s v="U416298"/>
        <s v="U130680"/>
        <s v="U353569"/>
        <s v="U280117"/>
        <s v="U289633"/>
        <s v="U215674"/>
        <s v="U221343"/>
        <s v="U404704"/>
        <s v="U515623"/>
        <s v="U206663"/>
        <s v="U978821"/>
        <s v="U524089"/>
        <s v="U342034"/>
        <s v="U287795"/>
        <s v="U904857"/>
        <s v="U668787"/>
        <s v="U429839"/>
        <s v="U615353"/>
        <s v="U818666"/>
        <s v="U719755"/>
        <s v="U465823"/>
        <s v="U159191"/>
        <s v="U453993"/>
        <s v="U379570"/>
        <s v="U700350"/>
        <s v="U274721"/>
        <s v="U324479"/>
        <s v="U199335"/>
        <s v="U629152"/>
        <s v="U640403"/>
        <s v="U323297"/>
        <s v="U254920"/>
        <s v="U963723"/>
        <s v="U129049"/>
        <s v="U311802"/>
        <s v="U857568"/>
        <s v="U481088"/>
        <s v="U912767"/>
        <s v="U873048"/>
        <s v="U560823"/>
        <s v="U597920"/>
        <s v="U136500"/>
        <s v="U951706"/>
        <s v="U194634"/>
        <s v="U387348"/>
        <s v="U630930"/>
        <s v="U760766"/>
        <s v="U216211"/>
        <s v="U870883"/>
        <s v="U290724"/>
        <s v="U307897"/>
        <s v="U193387"/>
        <s v="U299800"/>
        <s v="U862008"/>
        <s v="U747684"/>
        <s v="U826687"/>
        <s v="U176604"/>
        <s v="U844033"/>
        <s v="U686741"/>
        <s v="U194002"/>
        <s v="U623460"/>
        <s v="U556943"/>
        <s v="U341026"/>
        <s v="U142773"/>
        <s v="U313630"/>
        <s v="U651567"/>
        <s v="U814407"/>
        <s v="U971051"/>
        <s v="U575111"/>
        <s v="U673734"/>
        <s v="U993749"/>
        <s v="U940014"/>
        <s v="U613406"/>
        <s v="U950389"/>
        <s v="U779068"/>
        <s v="U414985"/>
        <s v="U147285"/>
        <s v="U952308"/>
        <s v="U288274"/>
        <s v="U894143"/>
        <s v="U371914"/>
        <s v="U787657"/>
        <s v="U943726"/>
        <s v="U128117"/>
        <s v="U907111"/>
        <s v="U608608"/>
        <s v="U153395"/>
        <s v="U866591"/>
        <s v="U811634"/>
        <s v="U380859"/>
        <s v="U121817"/>
        <s v="U818247"/>
        <s v="U934637"/>
        <s v="U309174"/>
        <s v="U149334"/>
        <s v="U551538"/>
        <s v="U907503"/>
        <s v="U211035"/>
        <s v="U315363"/>
        <s v="U261790"/>
        <s v="U975365"/>
        <s v="U478162"/>
        <s v="U581037"/>
        <s v="U430096"/>
        <s v="U762288"/>
        <s v="U460875"/>
        <s v="U670871"/>
        <s v="U138766"/>
        <s v="U636526"/>
        <s v="U861800"/>
        <s v="U229827"/>
        <s v="U944510"/>
        <s v="U805097"/>
        <s v="U962813"/>
        <s v="U236381"/>
        <s v="U644153"/>
        <s v="U867260"/>
        <s v="U654844"/>
        <s v="U730823"/>
        <s v="U419736"/>
        <s v="U419987"/>
        <s v="U537859"/>
        <s v="U239260"/>
        <s v="U529526"/>
        <s v="U273659"/>
        <s v="U668154"/>
        <s v="U288474"/>
        <s v="U717499"/>
        <s v="U500567"/>
        <s v="U261719"/>
        <s v="U847949"/>
        <s v="U967949"/>
        <s v="U382368"/>
        <s v="U119527"/>
        <s v="U987386"/>
        <s v="U682119"/>
        <s v="U386578"/>
        <s v="U875089"/>
        <s v="U393033"/>
        <s v="U357874"/>
        <s v="U777844"/>
        <s v="U899502"/>
        <s v="U470141"/>
        <s v="U302365"/>
        <s v="U755608"/>
        <s v="U319242"/>
        <s v="U303182"/>
        <s v="U997034"/>
        <s v="U575976"/>
        <s v="U227630"/>
        <s v="U540467"/>
        <s v="U873266"/>
        <s v="U756403"/>
        <s v="U213079"/>
        <s v="U559831"/>
        <s v="U988869"/>
        <s v="U168986"/>
        <s v="U888490"/>
        <s v="U456113"/>
        <s v="U724086"/>
        <s v="U604783"/>
        <s v="U557019"/>
        <s v="U405202"/>
        <s v="U542563"/>
        <s v="U828531"/>
        <s v="U209940"/>
        <s v="U754227"/>
        <s v="U966212"/>
        <s v="U561801"/>
        <s v="U374725"/>
        <s v="U971834"/>
        <s v="U487596"/>
        <s v="U933511"/>
        <s v="U148439"/>
        <s v="U232601"/>
        <s v="U506968"/>
        <s v="U651001"/>
        <s v="U781298"/>
        <s v="U545668"/>
        <s v="U566097"/>
        <s v="U573066"/>
        <s v="U288288"/>
        <s v="U673206"/>
        <s v="U310036"/>
        <s v="U244562"/>
        <s v="U894617"/>
        <s v="U597484"/>
        <s v="U907540"/>
        <s v="U420415"/>
        <s v="U414192"/>
        <s v="U737363"/>
        <s v="U213915"/>
        <s v="U286264"/>
        <s v="U344359"/>
        <s v="U442645"/>
        <s v="U507888"/>
        <s v="U425387"/>
        <s v="U167077"/>
        <s v="U140983"/>
        <s v="U288301"/>
        <s v="U512668"/>
        <s v="U898868"/>
        <s v="U365045"/>
        <s v="U997343"/>
        <s v="U608306"/>
        <s v="U982442"/>
        <s v="U276636"/>
        <s v="U849115"/>
        <s v="U565553"/>
        <s v="U195825"/>
        <s v="U859181"/>
        <s v="U755017"/>
        <s v="U439075"/>
        <s v="U169223"/>
        <s v="U904829"/>
        <s v="U810830"/>
        <s v="U738093"/>
        <s v="U122243"/>
        <s v="U162833"/>
        <s v="U349628"/>
        <s v="U646174"/>
        <s v="U665509"/>
        <s v="U563849"/>
        <s v="U196216"/>
        <s v="U426592"/>
        <s v="U704422"/>
        <s v="U593578"/>
        <s v="U548158"/>
        <s v="U420704"/>
        <s v="U305222"/>
        <s v="U513820"/>
        <s v="U270249"/>
        <s v="U830286"/>
        <s v="U831351"/>
        <s v="U706435"/>
        <s v="U184251"/>
        <s v="U659102"/>
        <s v="U767083"/>
        <s v="U106732"/>
        <s v="U786315"/>
        <s v="U610102"/>
      </sharedItems>
    </cacheField>
    <cacheField name="product_id" numFmtId="0">
      <sharedItems count="995">
        <s v="P39256"/>
        <s v="P38657"/>
        <s v="P38893"/>
        <s v="P54118"/>
        <s v="P70217"/>
        <s v="P35203"/>
        <s v="P46434"/>
        <s v="P93227"/>
        <s v="P99733"/>
        <s v="P51245"/>
        <s v="P44438"/>
        <s v="P21915"/>
        <s v="P60432"/>
        <s v="P44973"/>
        <s v="P33416"/>
        <s v="P31174"/>
        <s v="P17592"/>
        <s v="P31643"/>
        <s v="P50857"/>
        <s v="P12757"/>
        <s v="P53309"/>
        <s v="P84847"/>
        <s v="P65519"/>
        <s v="P24322"/>
        <s v="P19880"/>
        <s v="P38016"/>
        <s v="P65444"/>
        <s v="P51104"/>
        <s v="P20500"/>
        <s v="P85880"/>
        <s v="P36772"/>
        <s v="P51441"/>
        <s v="P76307"/>
        <s v="P81200"/>
        <s v="P44664"/>
        <s v="P93130"/>
        <s v="P46265"/>
        <s v="P66057"/>
        <s v="P82420"/>
        <s v="P42706"/>
        <s v="P13248"/>
        <s v="P71694"/>
        <s v="P53025"/>
        <s v="P13617"/>
        <s v="P89457"/>
        <s v="P80575"/>
        <s v="P49363"/>
        <s v="P35144"/>
        <s v="P10053"/>
        <s v="P67954"/>
        <s v="P97012"/>
        <s v="P16057"/>
        <s v="P60328"/>
        <s v="P77889"/>
        <s v="P88047"/>
        <s v="P43972"/>
        <s v="P67654"/>
        <s v="P40311"/>
        <s v="P64496"/>
        <s v="P49139"/>
        <s v="P60968"/>
        <s v="P87580"/>
        <s v="P52906"/>
        <s v="P12540"/>
        <s v="P14067"/>
        <s v="P24993"/>
        <s v="P31465"/>
        <s v="P35995"/>
        <s v="P79827"/>
        <s v="P93307"/>
        <s v="P80539"/>
        <s v="P21359"/>
        <s v="P74789"/>
        <s v="P88139"/>
        <s v="P82768"/>
        <s v="P39045"/>
        <s v="P82140"/>
        <s v="P35242"/>
        <s v="P87278"/>
        <s v="P49618"/>
        <s v="P74340"/>
        <s v="P43092"/>
        <s v="P29555"/>
        <s v="P91057"/>
        <s v="P91399"/>
        <s v="P19838"/>
        <s v="P47762"/>
        <s v="P35928"/>
        <s v="P31747"/>
        <s v="P62757"/>
        <s v="P42816"/>
        <s v="P78021"/>
        <s v="P55607"/>
        <s v="P96846"/>
        <s v="P62976"/>
        <s v="P75338"/>
        <s v="P73532"/>
        <s v="P63476"/>
        <s v="P45838"/>
        <s v="P76616"/>
        <s v="P49132"/>
        <s v="P81228"/>
        <s v="P63841"/>
        <s v="P14852"/>
        <s v="P28894"/>
        <s v="P20527"/>
        <s v="P40771"/>
        <s v="P31805"/>
        <s v="P29080"/>
        <s v="P99539"/>
        <s v="P97404"/>
        <s v="P65615"/>
        <s v="P59986"/>
        <s v="P11061"/>
        <s v="P34920"/>
        <s v="P85965"/>
        <s v="P80701"/>
        <s v="P25095"/>
        <s v="P61717"/>
        <s v="P59941"/>
        <s v="P18285"/>
        <s v="P49893"/>
        <s v="P80804"/>
        <s v="P58566"/>
        <s v="P62184"/>
        <s v="P16629"/>
        <s v="P38305"/>
        <s v="P42853"/>
        <s v="P12068"/>
        <s v="P68756"/>
        <s v="P96363"/>
        <s v="P68138"/>
        <s v="P52622"/>
        <s v="P24996"/>
        <s v="P22463"/>
        <s v="P21188"/>
        <s v="P53207"/>
        <s v="P50953"/>
        <s v="P82910"/>
        <s v="P89822"/>
        <s v="P28776"/>
        <s v="P59308"/>
        <s v="P84395"/>
        <s v="P68079"/>
        <s v="P66349"/>
        <s v="P17180"/>
        <s v="P75193"/>
        <s v="P97562"/>
        <s v="P51033"/>
        <s v="P52568"/>
        <s v="P62487"/>
        <s v="P76910"/>
        <s v="P23474"/>
        <s v="P92306"/>
        <s v="P92210"/>
        <s v="P17362"/>
        <s v="P47627"/>
        <s v="P84928"/>
        <s v="P55015"/>
        <s v="P78517"/>
        <s v="P92691"/>
        <s v="P96057"/>
        <s v="P87993"/>
        <s v="P94675"/>
        <s v="P73736"/>
        <s v="P79013"/>
        <s v="P91885"/>
        <s v="P90031"/>
        <s v="P70513"/>
        <s v="P94040"/>
        <s v="P31012"/>
        <s v="P64381"/>
        <s v="P51770"/>
        <s v="P28191"/>
        <s v="P89807"/>
        <s v="P93748"/>
        <s v="P41711"/>
        <s v="P34551"/>
        <s v="P12665"/>
        <s v="P18855"/>
        <s v="P54374"/>
        <s v="P69988"/>
        <s v="P81176"/>
        <s v="P26315"/>
        <s v="P75211"/>
        <s v="P33652"/>
        <s v="P88986"/>
        <s v="P67008"/>
        <s v="P28714"/>
        <s v="P84349"/>
        <s v="P79397"/>
        <s v="P77861"/>
        <s v="P74382"/>
        <s v="P99381"/>
        <s v="P93584"/>
        <s v="P57303"/>
        <s v="P72739"/>
        <s v="P99143"/>
        <s v="P30056"/>
        <s v="P20336"/>
        <s v="P94015"/>
        <s v="P85598"/>
        <s v="P81509"/>
        <s v="P17852"/>
        <s v="P51853"/>
        <s v="P71141"/>
        <s v="P64805"/>
        <s v="P75373"/>
        <s v="P38199"/>
        <s v="P80345"/>
        <s v="P16705"/>
        <s v="P91689"/>
        <s v="P28909"/>
        <s v="P72094"/>
        <s v="P49221"/>
        <s v="P53416"/>
        <s v="P39824"/>
        <s v="P59832"/>
        <s v="P64127"/>
        <s v="P52604"/>
        <s v="P56437"/>
        <s v="P49008"/>
        <s v="P45842"/>
        <s v="P20358"/>
        <s v="P83664"/>
        <s v="P79604"/>
        <s v="P28018"/>
        <s v="P17754"/>
        <s v="P62034"/>
        <s v="P53914"/>
        <s v="P24764"/>
        <s v="P54185"/>
        <s v="P52982"/>
        <s v="P44181"/>
        <s v="P44282"/>
        <s v="P63138"/>
        <s v="P38721"/>
        <s v="P80453"/>
        <s v="P83946"/>
        <s v="P78202"/>
        <s v="P17292"/>
        <s v="P50392"/>
        <s v="P55158"/>
        <s v="P27750"/>
        <s v="P95660"/>
        <s v="P10455"/>
        <s v="P40102"/>
        <s v="P96533"/>
        <s v="P16380"/>
        <s v="P47914"/>
        <s v="P64206"/>
        <s v="P94320"/>
        <s v="P34101"/>
        <s v="P83713"/>
        <s v="P20363"/>
        <s v="P59436"/>
        <s v="P49739"/>
        <s v="P36805"/>
        <s v="P44283"/>
        <s v="P64254"/>
        <s v="P64732"/>
        <s v="P95800"/>
        <s v="P28344"/>
        <s v="P10836"/>
        <s v="P58916"/>
        <s v="P46010"/>
        <s v="P41584"/>
        <s v="P84055"/>
        <s v="P82443"/>
        <s v="P53420"/>
        <s v="P16102"/>
        <s v="P51220"/>
        <s v="P41519"/>
        <s v="P55332"/>
        <s v="P52778"/>
        <s v="P99088"/>
        <s v="P93086"/>
        <s v="P45358"/>
        <s v="P23538"/>
        <s v="P64238"/>
        <s v="P28198"/>
        <s v="P49289"/>
        <s v="P24021"/>
        <s v="P66441"/>
        <s v="P51830"/>
        <s v="P83905"/>
        <s v="P48185"/>
        <s v="P65460"/>
        <s v="P64827"/>
        <s v="P94803"/>
        <s v="P39098"/>
        <s v="P75597"/>
        <s v="P28569"/>
        <s v="P67431"/>
        <s v="P24334"/>
        <s v="P65885"/>
        <s v="P13826"/>
        <s v="P46483"/>
        <s v="P24936"/>
        <s v="P55603"/>
        <s v="P27556"/>
        <s v="P60916"/>
        <s v="P94575"/>
        <s v="P69113"/>
        <s v="P95599"/>
        <s v="P14044"/>
        <s v="P69942"/>
        <s v="P15453"/>
        <s v="P44447"/>
        <s v="P89988"/>
        <s v="P46842"/>
        <s v="P77425"/>
        <s v="P29168"/>
        <s v="P64293"/>
        <s v="P73968"/>
        <s v="P18300"/>
        <s v="P47171"/>
        <s v="P23051"/>
        <s v="P27290"/>
        <s v="P95054"/>
        <s v="P22475"/>
        <s v="P11056"/>
        <s v="P21708"/>
        <s v="P98753"/>
        <s v="P29840"/>
        <s v="P60335"/>
        <s v="P88774"/>
        <s v="P34726"/>
        <s v="P93634"/>
        <s v="P57895"/>
        <s v="P15220"/>
        <s v="P93956"/>
        <s v="P30365"/>
        <s v="P42044"/>
        <s v="P11660"/>
        <s v="P43980"/>
        <s v="P78662"/>
        <s v="P84302"/>
        <s v="P76692"/>
        <s v="P33456"/>
        <s v="P20208"/>
        <s v="P70960"/>
        <s v="P48219"/>
        <s v="P81638"/>
        <s v="P11257"/>
        <s v="P65026"/>
        <s v="P58823"/>
        <s v="P84425"/>
        <s v="P52762"/>
        <s v="P23848"/>
        <s v="P70731"/>
        <s v="P38183"/>
        <s v="P98759"/>
        <s v="P22415"/>
        <s v="P62505"/>
        <s v="P26880"/>
        <s v="P61773"/>
        <s v="P68459"/>
        <s v="P17992"/>
        <s v="P81258"/>
        <s v="P52153"/>
        <s v="P71824"/>
        <s v="P79951"/>
        <s v="P57026"/>
        <s v="P74517"/>
        <s v="P12612"/>
        <s v="P52413"/>
        <s v="P96787"/>
        <s v="P93789"/>
        <s v="P97232"/>
        <s v="P85082"/>
        <s v="P28434"/>
        <s v="P11493"/>
        <s v="P60585"/>
        <s v="P72847"/>
        <s v="P23726"/>
        <s v="P73273"/>
        <s v="P36941"/>
        <s v="P61498"/>
        <s v="P96772"/>
        <s v="P72071"/>
        <s v="P81319"/>
        <s v="P70956"/>
        <s v="P80968"/>
        <s v="P40886"/>
        <s v="P31910"/>
        <s v="P92211"/>
        <s v="P46202"/>
        <s v="P86372"/>
        <s v="P95824"/>
        <s v="P99235"/>
        <s v="P58816"/>
        <s v="P27614"/>
        <s v="P67896"/>
        <s v="P50779"/>
        <s v="P36309"/>
        <s v="P58280"/>
        <s v="P87862"/>
        <s v="P13597"/>
        <s v="P63674"/>
        <s v="P11109"/>
        <s v="P43029"/>
        <s v="P94848"/>
        <s v="P44229"/>
        <s v="P51888"/>
        <s v="P60891"/>
        <s v="P80075"/>
        <s v="P48506"/>
        <s v="P21704"/>
        <s v="P70786"/>
        <s v="P35499"/>
        <s v="P36253"/>
        <s v="P53598"/>
        <s v="P30766"/>
        <s v="P10611"/>
        <s v="P10540"/>
        <s v="P50123"/>
        <s v="P54280"/>
        <s v="P39402"/>
        <s v="P95267"/>
        <s v="P24170"/>
        <s v="P72180"/>
        <s v="P78197"/>
        <s v="P23928"/>
        <s v="P31020"/>
        <s v="P98032"/>
        <s v="P94454"/>
        <s v="P48085"/>
        <s v="P56861"/>
        <s v="P62530"/>
        <s v="P27368"/>
        <s v="P90127"/>
        <s v="P67761"/>
        <s v="P97797"/>
        <s v="P83183"/>
        <s v="P74441"/>
        <s v="P40801"/>
        <s v="P95638"/>
        <s v="P89194"/>
        <s v="P39218"/>
        <s v="P96364"/>
        <s v="P23935"/>
        <s v="P34581"/>
        <s v="P98098"/>
        <s v="P79515"/>
        <s v="P26827"/>
        <s v="P62149"/>
        <s v="P81802"/>
        <s v="P55258"/>
        <s v="P25126"/>
        <s v="P79979"/>
        <s v="P44993"/>
        <s v="P57013"/>
        <s v="P47701"/>
        <s v="P42943"/>
        <s v="P35362"/>
        <s v="P15326"/>
        <s v="P71122"/>
        <s v="P96755"/>
        <s v="P18936"/>
        <s v="P37964"/>
        <s v="P95105"/>
        <s v="P15226"/>
        <s v="P77746"/>
        <s v="P77357"/>
        <s v="P65601"/>
        <s v="P53478"/>
        <s v="P39837"/>
        <s v="P98250"/>
        <s v="P75907"/>
        <s v="P96602"/>
        <s v="P98773"/>
        <s v="P80405"/>
        <s v="P31096"/>
        <s v="P17128"/>
        <s v="P86099"/>
        <s v="P84299"/>
        <s v="P57118"/>
        <s v="P33038"/>
        <s v="P19882"/>
        <s v="P82298"/>
        <s v="P87280"/>
        <s v="P11388"/>
        <s v="P84162"/>
        <s v="P44649"/>
        <s v="P15230"/>
        <s v="P59369"/>
        <s v="P56255"/>
        <s v="P20104"/>
        <s v="P40191"/>
        <s v="P94837"/>
        <s v="P92515"/>
        <s v="P63143"/>
        <s v="P32356"/>
        <s v="P31983"/>
        <s v="P36522"/>
        <s v="P88618"/>
        <s v="P10157"/>
        <s v="P59969"/>
        <s v="P81267"/>
        <s v="P95792"/>
        <s v="P44249"/>
        <s v="P82365"/>
        <s v="P55135"/>
        <s v="P38109"/>
        <s v="P29048"/>
        <s v="P60374"/>
        <s v="P11403"/>
        <s v="P32214"/>
        <s v="P62354"/>
        <s v="P83284"/>
        <s v="P10609"/>
        <s v="P77277"/>
        <s v="P41886"/>
        <s v="P60157"/>
        <s v="P44517"/>
        <s v="P51139"/>
        <s v="P41726"/>
        <s v="P23983"/>
        <s v="P51342"/>
        <s v="P17097"/>
        <s v="P25776"/>
        <s v="P86153"/>
        <s v="P71780"/>
        <s v="P58799"/>
        <s v="P23090"/>
        <s v="P11276"/>
        <s v="P73782"/>
        <s v="P43330"/>
        <s v="P43779"/>
        <s v="P95082"/>
        <s v="P59947"/>
        <s v="P63054"/>
        <s v="P45058"/>
        <s v="P34102"/>
        <s v="P31877"/>
        <s v="P20911"/>
        <s v="P47247"/>
        <s v="P80855"/>
        <s v="P92712"/>
        <s v="P50352"/>
        <s v="P47586"/>
        <s v="P40305"/>
        <s v="P31400"/>
        <s v="P90375"/>
        <s v="P24464"/>
        <s v="P29942"/>
        <s v="P11075"/>
        <s v="P75325"/>
        <s v="P61435"/>
        <s v="P42631"/>
        <s v="P37321"/>
        <s v="P82034"/>
        <s v="P38545"/>
        <s v="P25682"/>
        <s v="P21728"/>
        <s v="P56598"/>
        <s v="P94495"/>
        <s v="P15175"/>
        <s v="P55569"/>
        <s v="P91229"/>
        <s v="P75214"/>
        <s v="P78576"/>
        <s v="P22943"/>
        <s v="P58018"/>
        <s v="P83140"/>
        <s v="P49833"/>
        <s v="P78969"/>
        <s v="P93705"/>
        <s v="P62632"/>
        <s v="P52553"/>
        <s v="P38039"/>
        <s v="P88087"/>
        <s v="P46170"/>
        <s v="P44732"/>
        <s v="P20118"/>
        <s v="P85534"/>
        <s v="P95561"/>
        <s v="P84044"/>
        <s v="P76155"/>
        <s v="P84899"/>
        <s v="P27088"/>
        <s v="P90739"/>
        <s v="P85499"/>
        <s v="P87840"/>
        <s v="P15882"/>
        <s v="P91396"/>
        <s v="P53499"/>
        <s v="P28526"/>
        <s v="P90997"/>
        <s v="P12500"/>
        <s v="P21537"/>
        <s v="P79391"/>
        <s v="P91950"/>
        <s v="P39567"/>
        <s v="P99983"/>
        <s v="P27271"/>
        <s v="P66369"/>
        <s v="P29073"/>
        <s v="P34632"/>
        <s v="P40266"/>
        <s v="P89260"/>
        <s v="P14224"/>
        <s v="P90879"/>
        <s v="P51012"/>
        <s v="P77987"/>
        <s v="P48165"/>
        <s v="P77760"/>
        <s v="P81618"/>
        <s v="P36467"/>
        <s v="P24963"/>
        <s v="P30958"/>
        <s v="P33444"/>
        <s v="P27245"/>
        <s v="P10753"/>
        <s v="P88802"/>
        <s v="P34227"/>
        <s v="P89073"/>
        <s v="P96628"/>
        <s v="P18869"/>
        <s v="P45968"/>
        <s v="P92441"/>
        <s v="P48074"/>
        <s v="P15962"/>
        <s v="P18891"/>
        <s v="P61910"/>
        <s v="P14660"/>
        <s v="P64257"/>
        <s v="P85680"/>
        <s v="P80028"/>
        <s v="P14145"/>
        <s v="P49625"/>
        <s v="P73263"/>
        <s v="P52904"/>
        <s v="P10538"/>
        <s v="P96374"/>
        <s v="P46261"/>
        <s v="P91650"/>
        <s v="P47128"/>
        <s v="P16648"/>
        <s v="P33459"/>
        <s v="P71039"/>
        <s v="P40368"/>
        <s v="P52567"/>
        <s v="P32387"/>
        <s v="P82895"/>
        <s v="P81820"/>
        <s v="P67062"/>
        <s v="P70674"/>
        <s v="P88172"/>
        <s v="P93379"/>
        <s v="P68610"/>
        <s v="P55123"/>
        <s v="P10110"/>
        <s v="P91948"/>
        <s v="P28228"/>
        <s v="P19403"/>
        <s v="P64507"/>
        <s v="P68988"/>
        <s v="P41031"/>
        <s v="P73342"/>
        <s v="P46624"/>
        <s v="P93058"/>
        <s v="P71503"/>
        <s v="P49855"/>
        <s v="P91830"/>
        <s v="P90713"/>
        <s v="P68543"/>
        <s v="P29014"/>
        <s v="P85727"/>
        <s v="P49500"/>
        <s v="P66981"/>
        <s v="P79637"/>
        <s v="P86569"/>
        <s v="P33582"/>
        <s v="P23619"/>
        <s v="P91185"/>
        <s v="P59277"/>
        <s v="P69433"/>
        <s v="P60933"/>
        <s v="P61463"/>
        <s v="P43947"/>
        <s v="P95572"/>
        <s v="P10485"/>
        <s v="P73185"/>
        <s v="P80074"/>
        <s v="P96603"/>
        <s v="P34833"/>
        <s v="P80851"/>
        <s v="P15611"/>
        <s v="P19441"/>
        <s v="P32577"/>
        <s v="P23937"/>
        <s v="P25833"/>
        <s v="P45899"/>
        <s v="P27481"/>
        <s v="P95426"/>
        <s v="P69037"/>
        <s v="P22541"/>
        <s v="P29558"/>
        <s v="P37471"/>
        <s v="P13809"/>
        <s v="P36050"/>
        <s v="P59221"/>
        <s v="P89879"/>
        <s v="P36504"/>
        <s v="P32439"/>
        <s v="P82450"/>
        <s v="P70655"/>
        <s v="P39151"/>
        <s v="P65797"/>
        <s v="P11628"/>
        <s v="P72886"/>
        <s v="P28169"/>
        <s v="P19266"/>
        <s v="P85396"/>
        <s v="P57708"/>
        <s v="P32972"/>
        <s v="P95070"/>
        <s v="P17138"/>
        <s v="P79717"/>
        <s v="P70014"/>
        <s v="P29392"/>
        <s v="P55442"/>
        <s v="P78107"/>
        <s v="P81888"/>
        <s v="P47767"/>
        <s v="P80165"/>
        <s v="P26577"/>
        <s v="P29391"/>
        <s v="P29055"/>
        <s v="P47988"/>
        <s v="P82215"/>
        <s v="P17213"/>
        <s v="P68387"/>
        <s v="P17346"/>
        <s v="P47309"/>
        <s v="P64474"/>
        <s v="P86962"/>
        <s v="P59253"/>
        <s v="P27947"/>
        <s v="P74762"/>
        <s v="P95696"/>
        <s v="P25644"/>
        <s v="P43804"/>
        <s v="P44018"/>
        <s v="P57338"/>
        <s v="P92317"/>
        <s v="P99842"/>
        <s v="P58891"/>
        <s v="P34696"/>
        <s v="P72851"/>
        <s v="P49935"/>
        <s v="P37504"/>
        <s v="P24131"/>
        <s v="P97501"/>
        <s v="P21898"/>
        <s v="P76179"/>
        <s v="P80402"/>
        <s v="P56507"/>
        <s v="P78121"/>
        <s v="P60434"/>
        <s v="P66093"/>
        <s v="P67417"/>
        <s v="P32114"/>
        <s v="P65666"/>
        <s v="P73508"/>
        <s v="P92361"/>
        <s v="P60152"/>
        <s v="P74512"/>
        <s v="P55038"/>
        <s v="P59327"/>
        <s v="P66450"/>
        <s v="P80699"/>
        <s v="P59518"/>
        <s v="P86541"/>
        <s v="P96670"/>
        <s v="P32253"/>
        <s v="P12674"/>
        <s v="P22809"/>
        <s v="P90586"/>
        <s v="P47664"/>
        <s v="P87576"/>
        <s v="P49309"/>
        <s v="P69405"/>
        <s v="P96613"/>
        <s v="P41506"/>
        <s v="P47623"/>
        <s v="P42189"/>
        <s v="P30887"/>
        <s v="P73680"/>
        <s v="P98037"/>
        <s v="P78846"/>
        <s v="P61111"/>
        <s v="P63526"/>
        <s v="P99487"/>
        <s v="P96798"/>
        <s v="P99816"/>
        <s v="P40862"/>
        <s v="P20498"/>
        <s v="P18698"/>
        <s v="P68117"/>
        <s v="P30686"/>
        <s v="P27499"/>
        <s v="P61576"/>
        <s v="P44312"/>
        <s v="P58224"/>
        <s v="P44891"/>
        <s v="P98760"/>
        <s v="P69110"/>
        <s v="P62108"/>
        <s v="P22488"/>
        <s v="P15965"/>
        <s v="P15390"/>
        <s v="P51591"/>
        <s v="P46831"/>
        <s v="P31624"/>
        <s v="P34004"/>
        <s v="P67870"/>
        <s v="P47239"/>
        <s v="P84814"/>
        <s v="P99212"/>
        <s v="P96447"/>
        <s v="P52587"/>
        <s v="P88943"/>
        <s v="P37292"/>
        <s v="P66670"/>
        <s v="P68385"/>
        <s v="P58265"/>
        <s v="P99946"/>
        <s v="P29478"/>
        <s v="P77294"/>
        <s v="P43211"/>
        <s v="P33882"/>
        <s v="P97852"/>
        <s v="P98265"/>
        <s v="P72537"/>
        <s v="P49669"/>
        <s v="P37424"/>
        <s v="P70742"/>
        <s v="P71799"/>
        <s v="P53758"/>
        <s v="P82653"/>
        <s v="P73950"/>
        <s v="P94974"/>
        <s v="P31146"/>
        <s v="P54453"/>
        <s v="P71908"/>
        <s v="P30488"/>
        <s v="P12376"/>
        <s v="P24938"/>
        <s v="P83010"/>
        <s v="P90028"/>
        <s v="P57400"/>
        <s v="P94815"/>
        <s v="P72084"/>
        <s v="P92502"/>
        <s v="P77653"/>
        <s v="P62645"/>
        <s v="P96554"/>
        <s v="P11035"/>
        <s v="P91836"/>
        <s v="P80442"/>
        <s v="P82323"/>
        <s v="P65410"/>
        <s v="P16256"/>
        <s v="P86230"/>
        <s v="P28346"/>
        <s v="P57352"/>
        <s v="P72423"/>
        <s v="P61744"/>
        <s v="P64646"/>
        <s v="P25474"/>
        <s v="P63558"/>
        <s v="P59081"/>
        <s v="P47156"/>
        <s v="P73068"/>
        <s v="P28156"/>
        <s v="P60755"/>
        <s v="P13251"/>
        <s v="P85609"/>
        <s v="P12486"/>
        <s v="P15896"/>
        <s v="P43708"/>
        <s v="P50212"/>
        <s v="P17667"/>
        <s v="P25855"/>
        <s v="P17947"/>
        <s v="P45279"/>
        <s v="P93335"/>
        <s v="P69210"/>
        <s v="P88363"/>
        <s v="P80004"/>
        <s v="P66618"/>
        <s v="P96805"/>
        <s v="P10268"/>
        <s v="P61483"/>
        <s v="P59332"/>
        <s v="P68271"/>
        <s v="P49738"/>
        <s v="P10935"/>
        <s v="P96486"/>
        <s v="P39879"/>
        <s v="P10256"/>
        <s v="P99151"/>
        <s v="P79784"/>
        <s v="P39573"/>
        <s v="P91958"/>
        <s v="P72072"/>
        <s v="P22539"/>
        <s v="P18523"/>
        <s v="P23346"/>
        <s v="P63884"/>
        <s v="P95317"/>
        <s v="P18853"/>
        <s v="P91376"/>
        <s v="P77256"/>
        <s v="P58343"/>
        <s v="P55064"/>
        <s v="P71263"/>
        <s v="P69546"/>
        <s v="P37936"/>
        <s v="P10881"/>
        <s v="P35480"/>
        <s v="P32843"/>
        <s v="P98795"/>
        <s v="P58804"/>
        <s v="P34856"/>
        <s v="P90744"/>
        <s v="P76619"/>
        <s v="P94550"/>
        <s v="P73346"/>
        <s v="P14797"/>
        <s v="P59425"/>
        <s v="P78002"/>
        <s v="P71282"/>
        <s v="P67892"/>
        <s v="P94365"/>
        <s v="P53746"/>
        <s v="P81188"/>
        <s v="P95892"/>
        <s v="P40634"/>
        <s v="P64747"/>
        <s v="P11268"/>
        <s v="P52739"/>
        <s v="P85219"/>
        <s v="P53101"/>
        <s v="P14202"/>
        <s v="P48155"/>
        <s v="P63852"/>
        <s v="P37063"/>
        <s v="P87003"/>
        <s v="P62328"/>
        <s v="P21941"/>
        <s v="P90967"/>
        <s v="P15723"/>
        <s v="P82459"/>
        <s v="P37180"/>
        <s v="P70470"/>
        <s v="P31150"/>
        <s v="P20169"/>
        <s v="P14514"/>
        <s v="P16870"/>
        <s v="P12102"/>
        <s v="P31895"/>
        <s v="P37147"/>
        <s v="P32756"/>
        <s v="P96240"/>
        <s v="P88494"/>
        <s v="P27423"/>
        <s v="P86681"/>
        <s v="P90786"/>
        <s v="P28029"/>
        <s v="P88390"/>
        <s v="P64380"/>
        <s v="P17087"/>
        <s v="P92546"/>
        <s v="P32764"/>
        <s v="P31516"/>
        <s v="P68755"/>
        <s v="P67852"/>
        <s v="P20909"/>
        <s v="P69454"/>
        <s v="P30280"/>
        <s v="P58908"/>
        <s v="P35457"/>
        <s v="P17563"/>
        <s v="P97251"/>
        <s v="P96848"/>
        <s v="P77965"/>
        <s v="P96309"/>
        <s v="P85053"/>
        <s v="P32072"/>
        <s v="P47793"/>
        <s v="P33853"/>
      </sharedItems>
    </cacheField>
    <cacheField name="category" numFmtId="0">
      <sharedItems count="5">
        <s v="Electronics"/>
        <s v="Sports"/>
        <s v="Beauty"/>
        <s v="Home"/>
        <s v="Clothing"/>
      </sharedItems>
    </cacheField>
    <cacheField name="subcategory" numFmtId="0">
      <sharedItems count="16">
        <s v="Mobile"/>
        <s v="Outdoor"/>
        <s v="Fitness"/>
        <s v="Makeup"/>
        <s v="Decor"/>
        <s v="Furniture"/>
        <s v="Kids"/>
        <s v="Women"/>
        <s v="Cycling"/>
        <s v="Laptop"/>
        <s v="Skincare"/>
        <s v="Men"/>
        <s v="Camera"/>
        <s v="Kitchen"/>
        <s v="Haircare"/>
        <s v="Headphones"/>
      </sharedItems>
    </cacheField>
    <cacheField name="brand" numFmtId="0">
      <sharedItems count="12">
        <s v="H&amp;M"/>
        <s v="Samsung"/>
        <s v="Sony"/>
        <s v="HP"/>
        <s v="Adidas"/>
        <s v="Apple"/>
        <s v="Nike"/>
        <s v="Boat"/>
        <s v="Zara"/>
        <s v="LG"/>
        <s v="Lenovo"/>
        <s v="Puma"/>
      </sharedItems>
    </cacheField>
    <cacheField name="price" numFmtId="0">
      <sharedItems containsSemiMixedTypes="0" containsString="0" containsNumber="1" minValue="206.86" maxValue="79446.92" count="1000">
        <n v="33090.51"/>
        <n v="9368.9699999999993"/>
        <n v="14756.85"/>
        <n v="668.83"/>
        <n v="10881.29"/>
        <n v="6155.63"/>
        <n v="1104.92"/>
        <n v="1899.42"/>
        <n v="3611.18"/>
        <n v="3826.65"/>
        <n v="5150.37"/>
        <n v="17353.88"/>
        <n v="3011.46"/>
        <n v="50717.33"/>
        <n v="1569.37"/>
        <n v="10811.67"/>
        <n v="75254.75"/>
        <n v="13298.23"/>
        <n v="10200.33"/>
        <n v="46155.03"/>
        <n v="12025.61"/>
        <n v="2596.13"/>
        <n v="2426.83"/>
        <n v="75211.61"/>
        <n v="1623.25"/>
        <n v="2285.5300000000002"/>
        <n v="26490.59"/>
        <n v="4289.1000000000004"/>
        <n v="3012.77"/>
        <n v="3820.54"/>
        <n v="748.84"/>
        <n v="3357.92"/>
        <n v="10318.94"/>
        <n v="4720.03"/>
        <n v="10546.91"/>
        <n v="8839.74"/>
        <n v="45074.559999999998"/>
        <n v="7244.63"/>
        <n v="1026.8"/>
        <n v="5431.33"/>
        <n v="3997.16"/>
        <n v="4202.5600000000004"/>
        <n v="4864.45"/>
        <n v="6070.93"/>
        <n v="53513.63"/>
        <n v="56354.84"/>
        <n v="16400.509999999998"/>
        <n v="561.72"/>
        <n v="4483.6099999999997"/>
        <n v="12856.63"/>
        <n v="4031.01"/>
        <n v="10765.8"/>
        <n v="564.14"/>
        <n v="55066.83"/>
        <n v="2509.5"/>
        <n v="1978.27"/>
        <n v="941.85"/>
        <n v="2694.88"/>
        <n v="2271.9699999999998"/>
        <n v="29776.14"/>
        <n v="4193.88"/>
        <n v="1798.84"/>
        <n v="866.36"/>
        <n v="3361.65"/>
        <n v="3877.26"/>
        <n v="2476.11"/>
        <n v="1530.61"/>
        <n v="11789.29"/>
        <n v="6260.67"/>
        <n v="3075.34"/>
        <n v="2776.5"/>
        <n v="14048.32"/>
        <n v="9314.4699999999993"/>
        <n v="2918.28"/>
        <n v="1244.81"/>
        <n v="4985"/>
        <n v="9018.08"/>
        <n v="4456.63"/>
        <n v="4401.47"/>
        <n v="1571.82"/>
        <n v="29299.25"/>
        <n v="3033.42"/>
        <n v="2915.73"/>
        <n v="14773.83"/>
        <n v="2276.33"/>
        <n v="54877.75"/>
        <n v="9350.8700000000008"/>
        <n v="1680.19"/>
        <n v="3672.16"/>
        <n v="38450.43"/>
        <n v="53499.87"/>
        <n v="16111.49"/>
        <n v="1831.4"/>
        <n v="17656.64"/>
        <n v="62539.12"/>
        <n v="13285.56"/>
        <n v="14198.61"/>
        <n v="1537.56"/>
        <n v="4977.09"/>
        <n v="6171.96"/>
        <n v="2652.75"/>
        <n v="4437.95"/>
        <n v="4406.72"/>
        <n v="818.58"/>
        <n v="2887.25"/>
        <n v="15320.28"/>
        <n v="4850.6099999999997"/>
        <n v="4300.21"/>
        <n v="70104.070000000007"/>
        <n v="640.1"/>
        <n v="4620.07"/>
        <n v="3327.29"/>
        <n v="2659.72"/>
        <n v="4996.6400000000003"/>
        <n v="2286.15"/>
        <n v="72216.600000000006"/>
        <n v="4123.03"/>
        <n v="12699.1"/>
        <n v="2567.73"/>
        <n v="17078.66"/>
        <n v="59394.32"/>
        <n v="2145.4899999999998"/>
        <n v="4418.37"/>
        <n v="3936.9"/>
        <n v="15931.74"/>
        <n v="2508.66"/>
        <n v="687.08"/>
        <n v="44129.75"/>
        <n v="16712.29"/>
        <n v="3509.73"/>
        <n v="14903.39"/>
        <n v="3858.97"/>
        <n v="3244.24"/>
        <n v="13018.34"/>
        <n v="2092.9499999999998"/>
        <n v="4541.1400000000003"/>
        <n v="1799.58"/>
        <n v="3603.42"/>
        <n v="2672.84"/>
        <n v="12427.91"/>
        <n v="17515.93"/>
        <n v="49585.73"/>
        <n v="7407.32"/>
        <n v="12105.17"/>
        <n v="1994.44"/>
        <n v="4817.74"/>
        <n v="19509.13"/>
        <n v="10776.8"/>
        <n v="22929.15"/>
        <n v="3214.16"/>
        <n v="4795.1499999999996"/>
        <n v="4321.93"/>
        <n v="3318.67"/>
        <n v="3570.45"/>
        <n v="10528.46"/>
        <n v="827.41"/>
        <n v="842.26"/>
        <n v="7573.88"/>
        <n v="12254.95"/>
        <n v="1919.33"/>
        <n v="4435.8100000000004"/>
        <n v="6120.13"/>
        <n v="594.25"/>
        <n v="19236.7"/>
        <n v="13473.09"/>
        <n v="18638.03"/>
        <n v="3696.76"/>
        <n v="640.98"/>
        <n v="3506.65"/>
        <n v="4466.53"/>
        <n v="11534.37"/>
        <n v="61719.85"/>
        <n v="3174.03"/>
        <n v="1514.47"/>
        <n v="9391.32"/>
        <n v="14977.6"/>
        <n v="8700.4699999999993"/>
        <n v="6730.02"/>
        <n v="13686.16"/>
        <n v="2084.04"/>
        <n v="17208.7"/>
        <n v="2888.81"/>
        <n v="15872.38"/>
        <n v="14733.47"/>
        <n v="4337.54"/>
        <n v="1441.38"/>
        <n v="11643.46"/>
        <n v="2026.02"/>
        <n v="8228.92"/>
        <n v="2781.73"/>
        <n v="10598.93"/>
        <n v="54210.05"/>
        <n v="1708.88"/>
        <n v="1599.53"/>
        <n v="51569.64"/>
        <n v="1252.0899999999999"/>
        <n v="62236.65"/>
        <n v="17426.71"/>
        <n v="4869.33"/>
        <n v="1006.61"/>
        <n v="12377.36"/>
        <n v="37188.69"/>
        <n v="8002.97"/>
        <n v="3986.25"/>
        <n v="3202.93"/>
        <n v="9526.5400000000009"/>
        <n v="5574.8"/>
        <n v="1780.53"/>
        <n v="59739.519999999997"/>
        <n v="14045.21"/>
        <n v="15247.16"/>
        <n v="778.68"/>
        <n v="8588.01"/>
        <n v="37244.83"/>
        <n v="897.59"/>
        <n v="9864.42"/>
        <n v="68535.460000000006"/>
        <n v="1220.1099999999999"/>
        <n v="78800.990000000005"/>
        <n v="23518.06"/>
        <n v="3112.1"/>
        <n v="1165.93"/>
        <n v="4012.21"/>
        <n v="10926.44"/>
        <n v="2952.94"/>
        <n v="11557.65"/>
        <n v="19191.509999999998"/>
        <n v="1142.83"/>
        <n v="56555.48"/>
        <n v="8766.9500000000007"/>
        <n v="6533.76"/>
        <n v="10999.29"/>
        <n v="9628.59"/>
        <n v="3681.39"/>
        <n v="11864.37"/>
        <n v="42036.05"/>
        <n v="55708.12"/>
        <n v="12954.87"/>
        <n v="9312.41"/>
        <n v="1737.45"/>
        <n v="780.25"/>
        <n v="10324.36"/>
        <n v="3965.71"/>
        <n v="2832.23"/>
        <n v="4699.42"/>
        <n v="4821.29"/>
        <n v="13643.1"/>
        <n v="772.83"/>
        <n v="55971.519999999997"/>
        <n v="8144.87"/>
        <n v="11821.26"/>
        <n v="2096.9899999999998"/>
        <n v="2912.41"/>
        <n v="10778.99"/>
        <n v="4637.8900000000003"/>
        <n v="8820.7000000000007"/>
        <n v="8911.2900000000009"/>
        <n v="68438.720000000001"/>
        <n v="4421.58"/>
        <n v="4668.8500000000004"/>
        <n v="6779.78"/>
        <n v="4120.54"/>
        <n v="2684.46"/>
        <n v="47006.879999999997"/>
        <n v="4327.12"/>
        <n v="59529.26"/>
        <n v="4088.96"/>
        <n v="1060.43"/>
        <n v="51877.19"/>
        <n v="1794.35"/>
        <n v="2000.58"/>
        <n v="666.47"/>
        <n v="1468.53"/>
        <n v="1274.5"/>
        <n v="13844.5"/>
        <n v="5048.62"/>
        <n v="48719.45"/>
        <n v="37518.71"/>
        <n v="1179.32"/>
        <n v="10256.64"/>
        <n v="4726.6899999999996"/>
        <n v="32633.67"/>
        <n v="2600.38"/>
        <n v="6427.27"/>
        <n v="4163.57"/>
        <n v="4586.18"/>
        <n v="2703.68"/>
        <n v="4405.8100000000004"/>
        <n v="4431.9799999999996"/>
        <n v="2259.65"/>
        <n v="1772.25"/>
        <n v="8445.33"/>
        <n v="5216.1099999999997"/>
        <n v="3159.91"/>
        <n v="6163.12"/>
        <n v="4117.17"/>
        <n v="703.94"/>
        <n v="2830.56"/>
        <n v="1264.46"/>
        <n v="3638.71"/>
        <n v="11600.62"/>
        <n v="4725.8100000000004"/>
        <n v="4197.42"/>
        <n v="16662.21"/>
        <n v="3866.02"/>
        <n v="307.64"/>
        <n v="15483.75"/>
        <n v="10199.620000000001"/>
        <n v="44575.81"/>
        <n v="4386.3900000000003"/>
        <n v="3196.86"/>
        <n v="9642.58"/>
        <n v="1987.8"/>
        <n v="4487.42"/>
        <n v="12346.12"/>
        <n v="2304.59"/>
        <n v="2098.94"/>
        <n v="2987.36"/>
        <n v="1553.21"/>
        <n v="16962.05"/>
        <n v="2126.3200000000002"/>
        <n v="6340.25"/>
        <n v="1753.89"/>
        <n v="14859.81"/>
        <n v="740.82"/>
        <n v="50745.62"/>
        <n v="8559.4500000000007"/>
        <n v="1954.62"/>
        <n v="4591.84"/>
        <n v="5501.73"/>
        <n v="5316.98"/>
        <n v="11216.47"/>
        <n v="15669.14"/>
        <n v="19393.45"/>
        <n v="11870.99"/>
        <n v="713.87"/>
        <n v="60119.44"/>
        <n v="2990.8"/>
        <n v="1597.09"/>
        <n v="60415"/>
        <n v="15858.96"/>
        <n v="3099.34"/>
        <n v="3707.96"/>
        <n v="13904.78"/>
        <n v="77836.320000000007"/>
        <n v="18863.48"/>
        <n v="10258.11"/>
        <n v="4859.04"/>
        <n v="13871.32"/>
        <n v="3956.58"/>
        <n v="25399.9"/>
        <n v="9633.66"/>
        <n v="1502.04"/>
        <n v="451.48"/>
        <n v="15159.47"/>
        <n v="76006.7"/>
        <n v="25361.9"/>
        <n v="4671.74"/>
        <n v="14182.31"/>
        <n v="2338.0500000000002"/>
        <n v="9897.52"/>
        <n v="14851.47"/>
        <n v="54456.72"/>
        <n v="605.9"/>
        <n v="4168.88"/>
        <n v="62437.18"/>
        <n v="769.74"/>
        <n v="12709.23"/>
        <n v="4843.8599999999997"/>
        <n v="14876.08"/>
        <n v="6167.14"/>
        <n v="1073.1600000000001"/>
        <n v="1031.98"/>
        <n v="11428.58"/>
        <n v="620.72"/>
        <n v="55438.04"/>
        <n v="36945.33"/>
        <n v="2496.7600000000002"/>
        <n v="6163.94"/>
        <n v="57532.38"/>
        <n v="2543.83"/>
        <n v="2596.65"/>
        <n v="3417.05"/>
        <n v="27302.11"/>
        <n v="2995.25"/>
        <n v="28934.26"/>
        <n v="1050.3399999999999"/>
        <n v="305.92"/>
        <n v="1108.56"/>
        <n v="11873.88"/>
        <n v="1399.4"/>
        <n v="1235.1500000000001"/>
        <n v="323.89"/>
        <n v="3028.23"/>
        <n v="19030.63"/>
        <n v="1100.71"/>
        <n v="8823.1200000000008"/>
        <n v="29369.21"/>
        <n v="8070.28"/>
        <n v="1108.48"/>
        <n v="2074.34"/>
        <n v="8835.66"/>
        <n v="43528.09"/>
        <n v="11856.65"/>
        <n v="3252.41"/>
        <n v="591.55999999999995"/>
        <n v="17406.12"/>
        <n v="18703.07"/>
        <n v="13720.03"/>
        <n v="6764.33"/>
        <n v="2634.79"/>
        <n v="18275.8"/>
        <n v="6080.89"/>
        <n v="4736.12"/>
        <n v="2337.9699999999998"/>
        <n v="13876.74"/>
        <n v="4192.4799999999996"/>
        <n v="3587.05"/>
        <n v="4826.37"/>
        <n v="5489.33"/>
        <n v="8185.91"/>
        <n v="3810.15"/>
        <n v="1004.31"/>
        <n v="10809.51"/>
        <n v="5448.04"/>
        <n v="2519.5100000000002"/>
        <n v="25030.63"/>
        <n v="36304.61"/>
        <n v="68323.61"/>
        <n v="69045.72"/>
        <n v="1004.32"/>
        <n v="14286.87"/>
        <n v="989.07"/>
        <n v="12394.7"/>
        <n v="2219.56"/>
        <n v="2468.0700000000002"/>
        <n v="28707.599999999999"/>
        <n v="1845.63"/>
        <n v="13789.09"/>
        <n v="1433.9"/>
        <n v="4616.3999999999996"/>
        <n v="18878.849999999999"/>
        <n v="3172.18"/>
        <n v="19378.150000000001"/>
        <n v="1279.8399999999999"/>
        <n v="3710"/>
        <n v="3147.84"/>
        <n v="4313.96"/>
        <n v="4264.3900000000003"/>
        <n v="8220.83"/>
        <n v="3164.88"/>
        <n v="4064.84"/>
        <n v="15263.39"/>
        <n v="1738.34"/>
        <n v="9679.5400000000009"/>
        <n v="1154.69"/>
        <n v="2057.89"/>
        <n v="3203.56"/>
        <n v="2886.69"/>
        <n v="11123.71"/>
        <n v="13539.11"/>
        <n v="1841.03"/>
        <n v="4312.71"/>
        <n v="2784.14"/>
        <n v="2257.4899999999998"/>
        <n v="60390.95"/>
        <n v="52165.47"/>
        <n v="2110.6999999999998"/>
        <n v="4019.17"/>
        <n v="7778.21"/>
        <n v="40633.129999999997"/>
        <n v="462.13"/>
        <n v="18175.41"/>
        <n v="17931.66"/>
        <n v="8529.3799999999992"/>
        <n v="37462.99"/>
        <n v="4814.92"/>
        <n v="2412.36"/>
        <n v="19019.02"/>
        <n v="6462.71"/>
        <n v="2818.25"/>
        <n v="10729.61"/>
        <n v="2504.83"/>
        <n v="10913.44"/>
        <n v="2495.48"/>
        <n v="76139.02"/>
        <n v="2682.99"/>
        <n v="18818.689999999999"/>
        <n v="5057.3100000000004"/>
        <n v="38329.67"/>
        <n v="774.07"/>
        <n v="4939.37"/>
        <n v="509.34"/>
        <n v="41900.129999999997"/>
        <n v="3294.98"/>
        <n v="654.70000000000005"/>
        <n v="2735.31"/>
        <n v="13541.48"/>
        <n v="3267.72"/>
        <n v="10622"/>
        <n v="1220.79"/>
        <n v="74641.66"/>
        <n v="1881.19"/>
        <n v="16937.95"/>
        <n v="3246.93"/>
        <n v="47957.77"/>
        <n v="3445.74"/>
        <n v="3996.02"/>
        <n v="10827.19"/>
        <n v="11428.94"/>
        <n v="28209.69"/>
        <n v="70905.990000000005"/>
        <n v="7964.37"/>
        <n v="45873.67"/>
        <n v="2933.59"/>
        <n v="21970.799999999999"/>
        <n v="4715.6000000000004"/>
        <n v="7640.93"/>
        <n v="2323.39"/>
        <n v="3554.99"/>
        <n v="66196.679999999993"/>
        <n v="13501.04"/>
        <n v="13108.74"/>
        <n v="34272.17"/>
        <n v="1451.78"/>
        <n v="235.82"/>
        <n v="11214.49"/>
        <n v="4980.3999999999996"/>
        <n v="5363.4"/>
        <n v="16207.72"/>
        <n v="19706.939999999999"/>
        <n v="7882.79"/>
        <n v="3897.71"/>
        <n v="16011.58"/>
        <n v="2329.08"/>
        <n v="8294.93"/>
        <n v="10480.39"/>
        <n v="9824.3799999999992"/>
        <n v="3816.68"/>
        <n v="77232.06"/>
        <n v="13168.33"/>
        <n v="2990.34"/>
        <n v="68615.23"/>
        <n v="11027.48"/>
        <n v="2848.22"/>
        <n v="25696.16"/>
        <n v="4336.4399999999996"/>
        <n v="11154.01"/>
        <n v="3159.27"/>
        <n v="3903.4"/>
        <n v="32124.959999999999"/>
        <n v="10601.72"/>
        <n v="2919.29"/>
        <n v="3027.18"/>
        <n v="2706.62"/>
        <n v="8642.9500000000007"/>
        <n v="3946.75"/>
        <n v="557.41999999999996"/>
        <n v="655.28"/>
        <n v="1819.89"/>
        <n v="1114.77"/>
        <n v="4207.16"/>
        <n v="6765.69"/>
        <n v="79446.92"/>
        <n v="4082.24"/>
        <n v="47146.11"/>
        <n v="6102.34"/>
        <n v="3324.66"/>
        <n v="1192.17"/>
        <n v="2595.77"/>
        <n v="1071.55"/>
        <n v="4960.79"/>
        <n v="6888.75"/>
        <n v="1448.25"/>
        <n v="4027.22"/>
        <n v="10365.030000000001"/>
        <n v="13605.65"/>
        <n v="37324.089999999997"/>
        <n v="14257.46"/>
        <n v="2825.9"/>
        <n v="1190.8900000000001"/>
        <n v="57948.89"/>
        <n v="544.86"/>
        <n v="43135.93"/>
        <n v="584.09"/>
        <n v="23776.9"/>
        <n v="15255.16"/>
        <n v="2745.2"/>
        <n v="46232.34"/>
        <n v="60467.24"/>
        <n v="4153.97"/>
        <n v="2636.25"/>
        <n v="3682.25"/>
        <n v="10333.299999999999"/>
        <n v="4381.1899999999996"/>
        <n v="3135.03"/>
        <n v="7308.01"/>
        <n v="47849.98"/>
        <n v="7682.49"/>
        <n v="12590.82"/>
        <n v="54609.97"/>
        <n v="17849.98"/>
        <n v="2747.63"/>
        <n v="17831.45"/>
        <n v="206.86"/>
        <n v="2948.13"/>
        <n v="2376.4"/>
        <n v="35002.22"/>
        <n v="670.61"/>
        <n v="4810.6000000000004"/>
        <n v="12102.21"/>
        <n v="21015.31"/>
        <n v="3161.08"/>
        <n v="781.32"/>
        <n v="4898.78"/>
        <n v="1567.58"/>
        <n v="4672.3100000000004"/>
        <n v="735.85"/>
        <n v="12127.75"/>
        <n v="53634.12"/>
        <n v="3315.94"/>
        <n v="38426.879999999997"/>
        <n v="14506.99"/>
        <n v="4801.91"/>
        <n v="9818.11"/>
        <n v="4687.1499999999996"/>
        <n v="69096.429999999993"/>
        <n v="1340.48"/>
        <n v="50499.61"/>
        <n v="10373.49"/>
        <n v="4984.68"/>
        <n v="14860.91"/>
        <n v="9647.36"/>
        <n v="14607.94"/>
        <n v="13425.89"/>
        <n v="67876.47"/>
        <n v="2158.59"/>
        <n v="41890.089999999997"/>
        <n v="3744.99"/>
        <n v="708.81"/>
        <n v="1716.57"/>
        <n v="12859.65"/>
        <n v="5000.04"/>
        <n v="4589.7299999999996"/>
        <n v="18998.830000000002"/>
        <n v="2643.74"/>
        <n v="11274.39"/>
        <n v="62348.27"/>
        <n v="13982"/>
        <n v="14740.96"/>
        <n v="8338.49"/>
        <n v="27609.21"/>
        <n v="3667.39"/>
        <n v="31178.93"/>
        <n v="4897.57"/>
        <n v="12294.4"/>
        <n v="10851.37"/>
        <n v="2701.95"/>
        <n v="3053.2"/>
        <n v="8090.94"/>
        <n v="1941.28"/>
        <n v="1964.38"/>
        <n v="10499.76"/>
        <n v="9158.19"/>
        <n v="69796.61"/>
        <n v="3395.77"/>
        <n v="11742.31"/>
        <n v="9305.81"/>
        <n v="680.56"/>
        <n v="10177.530000000001"/>
        <n v="11079.47"/>
        <n v="2766.29"/>
        <n v="4687.0200000000004"/>
        <n v="63794.64"/>
        <n v="1278"/>
        <n v="15663.88"/>
        <n v="13577.43"/>
        <n v="6192.52"/>
        <n v="45672.5"/>
        <n v="14407.53"/>
        <n v="59368.46"/>
        <n v="15659.82"/>
        <n v="727.69"/>
        <n v="3803.21"/>
        <n v="422.06"/>
        <n v="3801.61"/>
        <n v="3767.85"/>
        <n v="71212.740000000005"/>
        <n v="4218.53"/>
        <n v="2364.9299999999998"/>
        <n v="10110.870000000001"/>
        <n v="8533.85"/>
        <n v="15584.46"/>
        <n v="6948.96"/>
        <n v="13431.39"/>
        <n v="10925.83"/>
        <n v="4114.87"/>
        <n v="55917.56"/>
        <n v="670.19"/>
        <n v="22941.74"/>
        <n v="2934.44"/>
        <n v="7107.08"/>
        <n v="3812.84"/>
        <n v="2347.35"/>
        <n v="31838.09"/>
        <n v="34147.42"/>
        <n v="560.97"/>
        <n v="4114.1000000000004"/>
        <n v="3891.1"/>
        <n v="707.84"/>
        <n v="1009.11"/>
        <n v="3312.25"/>
        <n v="385.24"/>
        <n v="3218.59"/>
        <n v="58188.55"/>
        <n v="3121.2"/>
        <n v="19830.07"/>
        <n v="9457.0400000000009"/>
        <n v="251.23"/>
        <n v="4304.53"/>
        <n v="14411.77"/>
        <n v="1014.84"/>
        <n v="3719.46"/>
        <n v="3004.76"/>
        <n v="744.62"/>
        <n v="15103.89"/>
        <n v="44737.54"/>
        <n v="3155.49"/>
        <n v="599.91"/>
        <n v="8314.2199999999993"/>
        <n v="4125.67"/>
        <n v="4367.83"/>
        <n v="2840.72"/>
        <n v="5970.15"/>
        <n v="1300.92"/>
        <n v="2939.78"/>
        <n v="46101.61"/>
        <n v="2258.39"/>
        <n v="16520.68"/>
        <n v="985.02"/>
        <n v="4535.8500000000004"/>
        <n v="910.89"/>
        <n v="2208.56"/>
        <n v="3541.86"/>
        <n v="3048.33"/>
        <n v="3709.86"/>
        <n v="1927.65"/>
        <n v="4342.26"/>
        <n v="5309.9"/>
        <n v="14365.57"/>
        <n v="4691.91"/>
        <n v="5113.72"/>
        <n v="6876.09"/>
        <n v="2389.7199999999998"/>
        <n v="18474.45"/>
        <n v="4792.71"/>
        <n v="273.27"/>
        <n v="3441.45"/>
        <n v="6352.84"/>
        <n v="17760.71"/>
        <n v="4653.1899999999996"/>
        <n v="2535.46"/>
        <n v="927.09"/>
        <n v="6271.8"/>
        <n v="76971.960000000006"/>
        <n v="77405.8"/>
        <n v="535.34"/>
        <n v="12943.68"/>
        <n v="2742.29"/>
        <n v="9783.64"/>
        <n v="2655.11"/>
        <n v="50336.67"/>
        <n v="42865.61"/>
        <n v="7743.46"/>
        <n v="370.94"/>
        <n v="488.35"/>
        <n v="6540.59"/>
        <n v="24785.46"/>
        <n v="63830.61"/>
        <n v="36994.39"/>
        <n v="12844.42"/>
        <n v="33939.46"/>
        <n v="2507.4699999999998"/>
        <n v="1207.49"/>
        <n v="2782.72"/>
        <n v="886.79"/>
        <n v="9599.56"/>
        <n v="2663.54"/>
        <n v="1707.41"/>
        <n v="1392.57"/>
        <n v="8686.89"/>
        <n v="9597.41"/>
        <n v="3270.31"/>
        <n v="938.36"/>
        <n v="10622.7"/>
        <n v="14162.39"/>
        <n v="50503.97"/>
        <n v="67301.72"/>
        <n v="49574.879999999997"/>
        <n v="11600.45"/>
        <n v="8572.75"/>
        <n v="10092.1"/>
        <n v="50578.18"/>
        <n v="1216.4000000000001"/>
        <n v="4768.47"/>
        <n v="37703.620000000003"/>
        <n v="15639.15"/>
        <n v="749.76"/>
        <n v="2262.9699999999998"/>
        <n v="7251.52"/>
        <n v="1619.06"/>
        <n v="3808.06"/>
        <n v="2020.86"/>
        <n v="33416.53"/>
        <n v="64400.23"/>
        <n v="3194.67"/>
        <n v="3652.05"/>
        <n v="2510.11"/>
        <n v="1089.7"/>
        <n v="54461.75"/>
        <n v="9219.7099999999991"/>
        <n v="35591.370000000003"/>
        <n v="4408.84"/>
        <n v="3123.58"/>
        <n v="13946.81"/>
        <n v="61809.69"/>
        <n v="3667.71"/>
        <n v="27811.64"/>
        <n v="6632.37"/>
        <n v="2935.35"/>
        <n v="2603.11"/>
        <n v="65106.26"/>
        <n v="8547.58"/>
        <n v="23740.720000000001"/>
        <n v="4884.87"/>
        <n v="6245.42"/>
        <n v="3728.11"/>
        <n v="9674.09"/>
        <n v="6712.46"/>
        <n v="3771.41"/>
        <n v="660.83"/>
        <n v="4333.8599999999997"/>
        <n v="76180.97"/>
        <n v="2655.75"/>
        <n v="3722.28"/>
        <n v="1871.96"/>
        <n v="2432.17"/>
        <n v="1694.06"/>
        <n v="7682.11"/>
        <n v="12570.98"/>
        <n v="3741.45"/>
        <n v="3701.25"/>
        <n v="63085.81"/>
        <n v="3197.83"/>
        <n v="4107.84"/>
        <n v="1975.35"/>
        <n v="16506.32"/>
        <n v="24719.32"/>
        <n v="7017.5"/>
        <n v="2070.36"/>
        <n v="14079.1"/>
        <n v="1094.73"/>
        <n v="21866.51"/>
        <n v="50018.98"/>
        <n v="7857.21"/>
        <n v="1430.93"/>
        <n v="2124.06"/>
        <n v="3226.6"/>
        <n v="60042.15"/>
        <n v="3387.56"/>
        <n v="51647.199999999997"/>
        <n v="13301.49"/>
        <n v="5076.57"/>
        <n v="56098.49"/>
        <n v="4166.3999999999996"/>
        <n v="4863.12"/>
        <n v="599.37"/>
        <n v="2722.94"/>
        <n v="11080.64"/>
        <n v="3303.38"/>
        <n v="30197.77"/>
        <n v="1024.9100000000001"/>
        <n v="5127.26"/>
        <n v="4850.83"/>
        <n v="503.49"/>
        <n v="796.92"/>
        <n v="13523.09"/>
        <n v="258.45999999999998"/>
        <n v="4676.4799999999996"/>
        <n v="5755.26"/>
        <n v="2327.62"/>
        <n v="10293.36"/>
        <n v="4744.2"/>
        <n v="1282.56"/>
        <n v="531.30999999999995"/>
        <n v="3273.22"/>
        <n v="3865.94"/>
        <n v="15268.91"/>
        <n v="15290.94"/>
        <n v="11987.48"/>
        <n v="783.93"/>
        <n v="59061.22"/>
        <n v="55639.21"/>
        <n v="1389.71"/>
        <n v="20057.5"/>
        <n v="13378.75"/>
        <n v="64668.639999999999"/>
        <n v="7523.77"/>
        <n v="14824.27"/>
        <n v="6006.72"/>
        <n v="10904.09"/>
        <n v="2773.52"/>
        <n v="59382.2"/>
        <n v="3414.51"/>
        <n v="30230.79"/>
        <n v="10526.53"/>
        <n v="1929.54"/>
        <n v="2266.0300000000002"/>
        <n v="4474.04"/>
        <n v="11000.97"/>
        <n v="73452.58"/>
        <n v="1317.11"/>
        <n v="1625.26"/>
        <n v="1152.6099999999999"/>
        <n v="2906.98"/>
        <n v="2997.19"/>
        <n v="4367.96"/>
        <n v="42899.9"/>
        <n v="688.87"/>
        <n v="2382.19"/>
        <n v="2193.75"/>
        <n v="57030.6"/>
        <n v="17730.419999999998"/>
        <n v="18317.63"/>
        <n v="13700.02"/>
        <n v="4274.01"/>
        <n v="11334.03"/>
        <n v="4083.35"/>
        <n v="63519.45"/>
        <n v="13435.62"/>
        <n v="2716.05"/>
        <n v="54408.959999999999"/>
        <n v="12861.7"/>
        <n v="6890.77"/>
        <n v="4490.84"/>
        <n v="3204.06"/>
        <n v="9252.85"/>
        <n v="5871.71"/>
        <n v="4533.33"/>
        <n v="1489.47"/>
        <n v="40639.83"/>
        <n v="1735.92"/>
        <n v="23396.76"/>
        <n v="7704.67"/>
        <n v="1126.47"/>
        <n v="512.03"/>
        <n v="3929.32"/>
        <n v="2717.36"/>
        <n v="6212.19"/>
        <n v="569.15"/>
        <n v="8379.4699999999993"/>
        <n v="14267.95"/>
        <n v="3412.79"/>
        <n v="3521.56"/>
        <n v="3926.68"/>
        <n v="14722.72"/>
        <n v="2716.44"/>
        <n v="47520.94"/>
        <n v="4720.22"/>
        <n v="43309.4"/>
        <n v="2251"/>
        <n v="866.42"/>
        <n v="4245.38"/>
        <n v="43578.74"/>
        <n v="37520.449999999997"/>
        <n v="4205.47"/>
        <n v="542.96"/>
        <n v="4998.43"/>
        <n v="4645.5600000000004"/>
        <n v="9514.4500000000007"/>
        <n v="18215.849999999999"/>
        <n v="2907.61"/>
        <n v="70768.92"/>
        <n v="34840.89"/>
        <n v="6560.97"/>
        <n v="14217.16"/>
        <n v="4110.3"/>
        <n v="3430.37"/>
        <n v="8756.2099999999991"/>
        <n v="13286.78"/>
        <n v="5828.54"/>
        <n v="2281.39"/>
        <n v="287.16000000000003"/>
        <n v="4770.3900000000003"/>
        <n v="907.29"/>
        <n v="4391.2"/>
        <n v="1201.98"/>
        <n v="3200.98"/>
        <n v="26254.83"/>
        <n v="2805.95"/>
      </sharedItems>
    </cacheField>
    <cacheField name="discount" numFmtId="0">
      <sharedItems containsSemiMixedTypes="0" containsString="0" containsNumber="1" minValue="5.04" maxValue="69.8" count="903">
        <n v="10.46"/>
        <n v="5.32"/>
        <n v="26"/>
        <n v="24.81"/>
        <n v="48.63"/>
        <n v="17.64"/>
        <n v="37.81"/>
        <n v="63.23"/>
        <n v="24.77"/>
        <n v="8.4600000000000009"/>
        <n v="19.600000000000001"/>
        <n v="23.78"/>
        <n v="13.38"/>
        <n v="48.01"/>
        <n v="41.43"/>
        <n v="35.71"/>
        <n v="13.49"/>
        <n v="31.13"/>
        <n v="13.3"/>
        <n v="18.760000000000002"/>
        <n v="39.58"/>
        <n v="27.67"/>
        <n v="39.65"/>
        <n v="16.53"/>
        <n v="44.73"/>
        <n v="17.61"/>
        <n v="18.3"/>
        <n v="12.04"/>
        <n v="24.86"/>
        <n v="39.35"/>
        <n v="40.19"/>
        <n v="30.8"/>
        <n v="5.82"/>
        <n v="20.68"/>
        <n v="20.34"/>
        <n v="6.87"/>
        <n v="40.619999999999997"/>
        <n v="16.07"/>
        <n v="44.62"/>
        <n v="16.670000000000002"/>
        <n v="34.01"/>
        <n v="69.58"/>
        <n v="38.17"/>
        <n v="14.1"/>
        <n v="30.4"/>
        <n v="31.74"/>
        <n v="29.05"/>
        <n v="14.33"/>
        <n v="29.84"/>
        <n v="47.04"/>
        <n v="32.99"/>
        <n v="10.76"/>
        <n v="14.75"/>
        <n v="28.02"/>
        <n v="32.82"/>
        <n v="44.02"/>
        <n v="20.43"/>
        <n v="17.77"/>
        <n v="22.07"/>
        <n v="60.31"/>
        <n v="41.96"/>
        <n v="10.25"/>
        <n v="13.16"/>
        <n v="24.14"/>
        <n v="54.86"/>
        <n v="53.83"/>
        <n v="11.44"/>
        <n v="40.880000000000003"/>
        <n v="48.16"/>
        <n v="65.930000000000007"/>
        <n v="46.65"/>
        <n v="54.25"/>
        <n v="26.66"/>
        <n v="31.79"/>
        <n v="18.23"/>
        <n v="21.8"/>
        <n v="21.77"/>
        <n v="61.34"/>
        <n v="9.3000000000000007"/>
        <n v="33.090000000000003"/>
        <n v="26.2"/>
        <n v="28.66"/>
        <n v="37.409999999999997"/>
        <n v="23.16"/>
        <n v="47.72"/>
        <n v="45.81"/>
        <n v="14.67"/>
        <n v="33.229999999999997"/>
        <n v="25.59"/>
        <n v="25.48"/>
        <n v="7.94"/>
        <n v="49.57"/>
        <n v="39.44"/>
        <n v="6.47"/>
        <n v="26.03"/>
        <n v="33.049999999999997"/>
        <n v="51.76"/>
        <n v="17.28"/>
        <n v="16.690000000000001"/>
        <n v="45.79"/>
        <n v="30.04"/>
        <n v="38.46"/>
        <n v="21.95"/>
        <n v="39.69"/>
        <n v="10.85"/>
        <n v="42.17"/>
        <n v="35.01"/>
        <n v="38.39"/>
        <n v="40.840000000000003"/>
        <n v="31.56"/>
        <n v="61.61"/>
        <n v="47.36"/>
        <n v="58.04"/>
        <n v="37.729999999999997"/>
        <n v="33.96"/>
        <n v="38.49"/>
        <n v="23.15"/>
        <n v="39.549999999999997"/>
        <n v="14.69"/>
        <n v="33.46"/>
        <n v="45.58"/>
        <n v="15.56"/>
        <n v="17.57"/>
        <n v="12.05"/>
        <n v="10.3"/>
        <n v="10.02"/>
        <n v="39.25"/>
        <n v="14.71"/>
        <n v="38.86"/>
        <n v="24.6"/>
        <n v="28.36"/>
        <n v="38.61"/>
        <n v="66.069999999999993"/>
        <n v="37.29"/>
        <n v="30.53"/>
        <n v="40.72"/>
        <n v="24.07"/>
        <n v="13.03"/>
        <n v="19.149999999999999"/>
        <n v="16.920000000000002"/>
        <n v="15.52"/>
        <n v="49.8"/>
        <n v="25.27"/>
        <n v="39.590000000000003"/>
        <n v="6.63"/>
        <n v="35.57"/>
        <n v="28.96"/>
        <n v="46.97"/>
        <n v="11.59"/>
        <n v="44.42"/>
        <n v="26.81"/>
        <n v="32.81"/>
        <n v="25.24"/>
        <n v="40.57"/>
        <n v="9.94"/>
        <n v="32.630000000000003"/>
        <n v="60.45"/>
        <n v="49.47"/>
        <n v="25.79"/>
        <n v="56.15"/>
        <n v="19.5"/>
        <n v="46.76"/>
        <n v="5.57"/>
        <n v="34.53"/>
        <n v="26.98"/>
        <n v="33.630000000000003"/>
        <n v="49.45"/>
        <n v="6.59"/>
        <n v="18.489999999999998"/>
        <n v="40.74"/>
        <n v="45.96"/>
        <n v="23.1"/>
        <n v="33.92"/>
        <n v="49.08"/>
        <n v="44.27"/>
        <n v="40.11"/>
        <n v="16.11"/>
        <n v="30.29"/>
        <n v="7.35"/>
        <n v="38.15"/>
        <n v="29.46"/>
        <n v="38.72"/>
        <n v="19.86"/>
        <n v="29.86"/>
        <n v="48.4"/>
        <n v="12.11"/>
        <n v="53.96"/>
        <n v="49.28"/>
        <n v="33.799999999999997"/>
        <n v="41.97"/>
        <n v="35.21"/>
        <n v="27.19"/>
        <n v="14.62"/>
        <n v="33.26"/>
        <n v="48.96"/>
        <n v="36.47"/>
        <n v="24.51"/>
        <n v="44.48"/>
        <n v="13.83"/>
        <n v="24.37"/>
        <n v="35.44"/>
        <n v="14.26"/>
        <n v="26.14"/>
        <n v="44.49"/>
        <n v="15.39"/>
        <n v="25.53"/>
        <n v="34.090000000000003"/>
        <n v="7.99"/>
        <n v="14.72"/>
        <n v="20.62"/>
        <n v="22.68"/>
        <n v="33.659999999999997"/>
        <n v="8.68"/>
        <n v="27.35"/>
        <n v="16.91"/>
        <n v="11.2"/>
        <n v="39.33"/>
        <n v="17.940000000000001"/>
        <n v="44.47"/>
        <n v="32.26"/>
        <n v="14.02"/>
        <n v="46.82"/>
        <n v="35.46"/>
        <n v="55.97"/>
        <n v="25.2"/>
        <n v="14.84"/>
        <n v="39.18"/>
        <n v="18.64"/>
        <n v="7.44"/>
        <n v="24.01"/>
        <n v="10.84"/>
        <n v="39.979999999999997"/>
        <n v="13.37"/>
        <n v="18.29"/>
        <n v="6.94"/>
        <n v="10.6"/>
        <n v="19.03"/>
        <n v="11.05"/>
        <n v="35.4"/>
        <n v="26.3"/>
        <n v="21.46"/>
        <n v="12.37"/>
        <n v="39.840000000000003"/>
        <n v="24.13"/>
        <n v="22.63"/>
        <n v="31.71"/>
        <n v="48.52"/>
        <n v="27.45"/>
        <n v="16.059999999999999"/>
        <n v="32.299999999999997"/>
        <n v="23.7"/>
        <n v="28.25"/>
        <n v="24.06"/>
        <n v="9.2799999999999994"/>
        <n v="29.6"/>
        <n v="5.07"/>
        <n v="21.69"/>
        <n v="33.28"/>
        <n v="20.71"/>
        <n v="18.53"/>
        <n v="10.71"/>
        <n v="43.54"/>
        <n v="29.87"/>
        <n v="15.95"/>
        <n v="32.89"/>
        <n v="25.26"/>
        <n v="26.74"/>
        <n v="51.75"/>
        <n v="19.079999999999998"/>
        <n v="39.75"/>
        <n v="34.39"/>
        <n v="14.05"/>
        <n v="41.83"/>
        <n v="8.65"/>
        <n v="39.68"/>
        <n v="27.06"/>
        <n v="31.95"/>
        <n v="46.58"/>
        <n v="28.59"/>
        <n v="19.7"/>
        <n v="44.8"/>
        <n v="10.29"/>
        <n v="33.56"/>
        <n v="46.98"/>
        <n v="30.89"/>
        <n v="27.85"/>
        <n v="37.909999999999997"/>
        <n v="43.47"/>
        <n v="11.36"/>
        <n v="29.27"/>
        <n v="59.88"/>
        <n v="20.76"/>
        <n v="64.489999999999995"/>
        <n v="24.97"/>
        <n v="56.42"/>
        <n v="40.270000000000003"/>
        <n v="59.6"/>
        <n v="32.880000000000003"/>
        <n v="33.15"/>
        <n v="13.26"/>
        <n v="50.07"/>
        <n v="33.76"/>
        <n v="8.81"/>
        <n v="58.16"/>
        <n v="43.36"/>
        <n v="49.34"/>
        <n v="58.54"/>
        <n v="11.48"/>
        <n v="13.58"/>
        <n v="21.72"/>
        <n v="37.24"/>
        <n v="48.66"/>
        <n v="27.14"/>
        <n v="49.48"/>
        <n v="43.26"/>
        <n v="32.04"/>
        <n v="6.37"/>
        <n v="24.72"/>
        <n v="46.51"/>
        <n v="46.81"/>
        <n v="18.22"/>
        <n v="17.489999999999998"/>
        <n v="23.94"/>
        <n v="16.100000000000001"/>
        <n v="25.81"/>
        <n v="37.840000000000003"/>
        <n v="25.86"/>
        <n v="44.29"/>
        <n v="21.27"/>
        <n v="11.04"/>
        <n v="10.210000000000001"/>
        <n v="38.64"/>
        <n v="22.14"/>
        <n v="32.08"/>
        <n v="9.07"/>
        <n v="13.01"/>
        <n v="42.1"/>
        <n v="42.85"/>
        <n v="30.49"/>
        <n v="13.6"/>
        <n v="19.61"/>
        <n v="20.100000000000001"/>
        <n v="6.77"/>
        <n v="17.739999999999998"/>
        <n v="19.91"/>
        <n v="17.93"/>
        <n v="14.39"/>
        <n v="33.51"/>
        <n v="44.38"/>
        <n v="6.35"/>
        <n v="26.68"/>
        <n v="15.97"/>
        <n v="43.95"/>
        <n v="5.64"/>
        <n v="12.7"/>
        <n v="26.72"/>
        <n v="43.84"/>
        <n v="37.71"/>
        <n v="33.520000000000003"/>
        <n v="37.64"/>
        <n v="22.49"/>
        <n v="45.11"/>
        <n v="9.49"/>
        <n v="31.86"/>
        <n v="29.36"/>
        <n v="34.380000000000003"/>
        <n v="30.63"/>
        <n v="17.23"/>
        <n v="10.14"/>
        <n v="48.93"/>
        <n v="29.44"/>
        <n v="44.54"/>
        <n v="32.700000000000003"/>
        <n v="6.81"/>
        <n v="8.8800000000000008"/>
        <n v="38.85"/>
        <n v="31.94"/>
        <n v="40.450000000000003"/>
        <n v="13.07"/>
        <n v="28.42"/>
        <n v="25.32"/>
        <n v="29.96"/>
        <n v="48.55"/>
        <n v="16.62"/>
        <n v="27.08"/>
        <n v="19.52"/>
        <n v="28.9"/>
        <n v="10.87"/>
        <n v="30.71"/>
        <n v="36.380000000000003"/>
        <n v="19.88"/>
        <n v="12.73"/>
        <n v="16.97"/>
        <n v="17.920000000000002"/>
        <n v="36.119999999999997"/>
        <n v="14.3"/>
        <n v="45.36"/>
        <n v="32"/>
        <n v="19.920000000000002"/>
        <n v="35.72"/>
        <n v="12.6"/>
        <n v="44.67"/>
        <n v="11.39"/>
        <n v="24.93"/>
        <n v="26.06"/>
        <n v="19.440000000000001"/>
        <n v="38.4"/>
        <n v="15.55"/>
        <n v="24.99"/>
        <n v="38.96"/>
        <n v="9.27"/>
        <n v="16.559999999999999"/>
        <n v="5.73"/>
        <n v="36.82"/>
        <n v="27.65"/>
        <n v="14.45"/>
        <n v="30.56"/>
        <n v="30.28"/>
        <n v="27.99"/>
        <n v="28.28"/>
        <n v="7.82"/>
        <n v="30.67"/>
        <n v="19.75"/>
        <n v="15.21"/>
        <n v="18.47"/>
        <n v="41.23"/>
        <n v="34.78"/>
        <n v="24.22"/>
        <n v="5.99"/>
        <n v="48.89"/>
        <n v="13.63"/>
        <n v="52.4"/>
        <n v="28.38"/>
        <n v="19.78"/>
        <n v="8.82"/>
        <n v="30.36"/>
        <n v="48.76"/>
        <n v="16.489999999999998"/>
        <n v="24.71"/>
        <n v="63.09"/>
        <n v="37.340000000000003"/>
        <n v="7.87"/>
        <n v="5.47"/>
        <n v="33.06"/>
        <n v="22.54"/>
        <n v="69.150000000000006"/>
        <n v="22.46"/>
        <n v="14.68"/>
        <n v="39.4"/>
        <n v="27.88"/>
        <n v="12.56"/>
        <n v="17.7"/>
        <n v="45.95"/>
        <n v="35.200000000000003"/>
        <n v="28.07"/>
        <n v="5.33"/>
        <n v="49.27"/>
        <n v="21"/>
        <n v="36.29"/>
        <n v="26.25"/>
        <n v="48.23"/>
        <n v="23.25"/>
        <n v="56.33"/>
        <n v="13.44"/>
        <n v="18.37"/>
        <n v="26.41"/>
        <n v="32.28"/>
        <n v="31.83"/>
        <n v="8.1"/>
        <n v="14.79"/>
        <n v="20.13"/>
        <n v="29.76"/>
        <n v="34.799999999999997"/>
        <n v="20.45"/>
        <n v="14.03"/>
        <n v="36.32"/>
        <n v="27.56"/>
        <n v="9.8000000000000007"/>
        <n v="11.01"/>
        <n v="49.9"/>
        <n v="8.2100000000000009"/>
        <n v="7.89"/>
        <n v="39.04"/>
        <n v="16.149999999999999"/>
        <n v="29.78"/>
        <n v="23.05"/>
        <n v="14.6"/>
        <n v="48.32"/>
        <n v="50.37"/>
        <n v="12.92"/>
        <n v="16.399999999999999"/>
        <n v="15.32"/>
        <n v="12.81"/>
        <n v="28.1"/>
        <n v="17.809999999999999"/>
        <n v="49.62"/>
        <n v="35"/>
        <n v="44.36"/>
        <n v="35.630000000000003"/>
        <n v="64.569999999999993"/>
        <n v="47.81"/>
        <n v="27.04"/>
        <n v="29.07"/>
        <n v="36.86"/>
        <n v="37.31"/>
        <n v="6.31"/>
        <n v="65.010000000000005"/>
        <n v="47.85"/>
        <n v="6.78"/>
        <n v="31.36"/>
        <n v="6.11"/>
        <n v="5.88"/>
        <n v="33.01"/>
        <n v="64.47"/>
        <n v="30.91"/>
        <n v="27.64"/>
        <n v="39.31"/>
        <n v="29.61"/>
        <n v="8.57"/>
        <n v="34.119999999999997"/>
        <n v="39.79"/>
        <n v="25.13"/>
        <n v="22.12"/>
        <n v="53.36"/>
        <n v="19.47"/>
        <n v="41.1"/>
        <n v="16.14"/>
        <n v="22.93"/>
        <n v="38.549999999999997"/>
        <n v="18.62"/>
        <n v="45.61"/>
        <n v="9.5399999999999991"/>
        <n v="10.55"/>
        <n v="23.29"/>
        <n v="27.55"/>
        <n v="38.32"/>
        <n v="23.01"/>
        <n v="45.64"/>
        <n v="21.41"/>
        <n v="48.5"/>
        <n v="18.010000000000002"/>
        <n v="17.600000000000001"/>
        <n v="17.03"/>
        <n v="23.8"/>
        <n v="25.11"/>
        <n v="44.93"/>
        <n v="38.36"/>
        <n v="42.49"/>
        <n v="43.56"/>
        <n v="38.659999999999997"/>
        <n v="16.350000000000001"/>
        <n v="30.3"/>
        <n v="6.15"/>
        <n v="17.059999999999999"/>
        <n v="38.92"/>
        <n v="47.77"/>
        <n v="19.399999999999999"/>
        <n v="64.91"/>
        <n v="10.45"/>
        <n v="43.63"/>
        <n v="11.6"/>
        <n v="18.260000000000002"/>
        <n v="21.03"/>
        <n v="33.9"/>
        <n v="6.72"/>
        <n v="46.43"/>
        <n v="56.92"/>
        <n v="24.23"/>
        <n v="23.48"/>
        <n v="53.76"/>
        <n v="10.86"/>
        <n v="14.14"/>
        <n v="40.56"/>
        <n v="6.12"/>
        <n v="33.83"/>
        <n v="6.58"/>
        <n v="34.9"/>
        <n v="39.81"/>
        <n v="42.66"/>
        <n v="7.46"/>
        <n v="19.36"/>
        <n v="7.57"/>
        <n v="15.99"/>
        <n v="46.95"/>
        <n v="22.9"/>
        <n v="19.72"/>
        <n v="13.13"/>
        <n v="21.12"/>
        <n v="41.07"/>
        <n v="43.32"/>
        <n v="33.72"/>
        <n v="15.7"/>
        <n v="15.93"/>
        <n v="48.53"/>
        <n v="43.24"/>
        <n v="42.91"/>
        <n v="36.369999999999997"/>
        <n v="32.61"/>
        <n v="22.26"/>
        <n v="43.83"/>
        <n v="26.92"/>
        <n v="25.71"/>
        <n v="14.97"/>
        <n v="8.86"/>
        <n v="39.94"/>
        <n v="28.27"/>
        <n v="33.18"/>
        <n v="40.340000000000003"/>
        <n v="28.87"/>
        <n v="17.420000000000002"/>
        <n v="23.43"/>
        <n v="39.08"/>
        <n v="28.33"/>
        <n v="32.520000000000003"/>
        <n v="49.24"/>
        <n v="19.43"/>
        <n v="6.88"/>
        <n v="9.7799999999999994"/>
        <n v="18.07"/>
        <n v="21.32"/>
        <n v="38.43"/>
        <n v="7.24"/>
        <n v="38.25"/>
        <n v="37.25"/>
        <n v="13.51"/>
        <n v="35.75"/>
        <n v="35.43"/>
        <n v="18.559999999999999"/>
        <n v="24.09"/>
        <n v="20.53"/>
        <n v="25.7"/>
        <n v="25.28"/>
        <n v="44.21"/>
        <n v="60.07"/>
        <n v="38.520000000000003"/>
        <n v="40.380000000000003"/>
        <n v="16.77"/>
        <n v="37.590000000000003"/>
        <n v="42.82"/>
        <n v="48.26"/>
        <n v="25.23"/>
        <n v="20.39"/>
        <n v="25.33"/>
        <n v="14.99"/>
        <n v="5.41"/>
        <n v="32.11"/>
        <n v="50.58"/>
        <n v="32.14"/>
        <n v="14.58"/>
        <n v="50.27"/>
        <n v="38.76"/>
        <n v="69.8"/>
        <n v="46.89"/>
        <n v="37.01"/>
        <n v="7.09"/>
        <n v="13.84"/>
        <n v="11.85"/>
        <n v="37.69"/>
        <n v="17.690000000000001"/>
        <n v="65.77"/>
        <n v="43.99"/>
        <n v="13.32"/>
        <n v="36.22"/>
        <n v="24.75"/>
        <n v="57.76"/>
        <n v="26.28"/>
        <n v="12.9"/>
        <n v="67.010000000000005"/>
        <n v="19.170000000000002"/>
        <n v="25.55"/>
        <n v="20.350000000000001"/>
        <n v="48.25"/>
        <n v="7.81"/>
        <n v="48.79"/>
        <n v="39.82"/>
        <n v="5.67"/>
        <n v="43.31"/>
        <n v="47.78"/>
        <n v="41.33"/>
        <n v="18.73"/>
        <n v="14.92"/>
        <n v="23.19"/>
        <n v="25.14"/>
        <n v="48.33"/>
        <n v="49.05"/>
        <n v="5.08"/>
        <n v="30.1"/>
        <n v="34.880000000000003"/>
        <n v="27.79"/>
        <n v="31.17"/>
        <n v="22.25"/>
        <n v="21.43"/>
        <n v="11.35"/>
        <n v="45.39"/>
        <n v="42.28"/>
        <n v="26.45"/>
        <n v="30.12"/>
        <n v="9.41"/>
        <n v="19.510000000000002"/>
        <n v="7.83"/>
        <n v="28.17"/>
        <n v="39.5"/>
        <n v="22.56"/>
        <n v="12.47"/>
        <n v="18.89"/>
        <n v="50.16"/>
        <n v="32.5"/>
        <n v="48.3"/>
        <n v="65.67"/>
        <n v="37.94"/>
        <n v="39.03"/>
        <n v="42.25"/>
        <n v="19.13"/>
        <n v="28.11"/>
        <n v="12.78"/>
        <n v="32.909999999999997"/>
        <n v="9.6"/>
        <n v="28.6"/>
        <n v="10.039999999999999"/>
        <n v="29.94"/>
        <n v="11.47"/>
        <n v="34.18"/>
        <n v="25.63"/>
        <n v="35.92"/>
        <n v="34.58"/>
        <n v="25.68"/>
        <n v="36.85"/>
        <n v="43.09"/>
        <n v="18.899999999999999"/>
        <n v="21.04"/>
        <n v="34.89"/>
        <n v="15.66"/>
        <n v="34.49"/>
        <n v="43.93"/>
        <n v="46.17"/>
        <n v="18.989999999999998"/>
        <n v="28.73"/>
        <n v="39.520000000000003"/>
        <n v="8.8699999999999992"/>
        <n v="18.78"/>
        <n v="18.649999999999999"/>
        <n v="31.64"/>
        <n v="27.59"/>
        <n v="47.42"/>
        <n v="21.83"/>
        <n v="22.43"/>
        <n v="18.16"/>
        <n v="24.15"/>
        <n v="69.08"/>
        <n v="33.67"/>
        <n v="47.49"/>
        <n v="9.19"/>
        <n v="10.06"/>
        <n v="36.020000000000003"/>
        <n v="23.22"/>
        <n v="41.82"/>
        <n v="17.899999999999999"/>
        <n v="29.57"/>
        <n v="30.5"/>
        <n v="34.14"/>
        <n v="23.12"/>
        <n v="26.88"/>
        <n v="37.020000000000003"/>
        <n v="32.119999999999997"/>
        <n v="66.569999999999993"/>
        <n v="38.04"/>
        <n v="34.630000000000003"/>
        <n v="45.69"/>
        <n v="7.6"/>
        <n v="25.74"/>
        <n v="23.3"/>
        <n v="10.11"/>
        <n v="37.630000000000003"/>
        <n v="28.74"/>
        <n v="34"/>
        <n v="47.57"/>
        <n v="36.89"/>
        <n v="44.78"/>
        <n v="5.12"/>
        <n v="24.25"/>
        <n v="29.5"/>
        <n v="46.62"/>
        <n v="12.01"/>
        <n v="17.18"/>
        <n v="33.69"/>
        <n v="34.76"/>
        <n v="31.85"/>
        <n v="18.95"/>
        <n v="48.74"/>
        <n v="22.39"/>
        <n v="17.399999999999999"/>
        <n v="41.85"/>
        <n v="27.46"/>
        <n v="18.739999999999998"/>
        <n v="19.8"/>
        <n v="17.37"/>
        <n v="13.99"/>
        <n v="43.68"/>
        <n v="26.13"/>
        <n v="30.88"/>
        <n v="49.37"/>
        <n v="44.5"/>
        <n v="56.27"/>
        <n v="41.5"/>
        <n v="41.65"/>
        <n v="28.29"/>
        <n v="27.33"/>
        <n v="17.55"/>
        <n v="14.91"/>
        <n v="12.58"/>
        <n v="28.48"/>
        <n v="47.87"/>
        <n v="18.02"/>
        <n v="36.57"/>
        <n v="38.19"/>
        <n v="26.84"/>
        <n v="19.559999999999999"/>
        <n v="14.77"/>
        <n v="28.67"/>
        <n v="5.04"/>
        <n v="23.79"/>
        <n v="47.14"/>
        <n v="5.95"/>
        <n v="5.85"/>
        <n v="37.33"/>
        <n v="43.46"/>
        <n v="34.19"/>
        <n v="21.16"/>
        <n v="28.8"/>
        <n v="63.45"/>
        <n v="29.74"/>
        <n v="30.82"/>
        <n v="8.4700000000000006"/>
        <n v="35.67"/>
        <n v="21.86"/>
        <n v="56.95"/>
        <n v="45.86"/>
        <n v="24.41"/>
        <n v="44.26"/>
        <n v="17.59"/>
        <n v="14.06"/>
        <n v="44.95"/>
        <n v="47.98"/>
        <n v="44.89"/>
        <n v="67.02"/>
        <n v="46.06"/>
        <n v="50.22"/>
        <n v="30.06"/>
        <n v="17.13"/>
        <n v="24.08"/>
        <n v="47.17"/>
        <n v="25.82"/>
        <n v="52.78"/>
        <n v="12.84"/>
        <n v="6.39"/>
        <n v="9.6999999999999993"/>
        <n v="24.03"/>
        <n v="38.54"/>
        <n v="25.69"/>
        <n v="5.44"/>
        <n v="16.43"/>
        <n v="16.38"/>
        <n v="41.05"/>
        <n v="34.409999999999997"/>
        <n v="36.64"/>
        <n v="34.67"/>
        <n v="53.81"/>
        <n v="12.16"/>
        <n v="9.68"/>
        <n v="42.47"/>
        <n v="21.73"/>
        <n v="29.88"/>
        <n v="32.51"/>
        <n v="14.63"/>
        <n v="15.45"/>
        <n v="48.69"/>
        <n v="11.06"/>
        <n v="10.47"/>
        <n v="32.97"/>
        <n v="47.55"/>
        <n v="28.55"/>
        <n v="28.91"/>
        <n v="19.41"/>
        <n v="23.75"/>
        <n v="30.97"/>
        <n v="39.72"/>
        <n v="25.61"/>
        <n v="16.420000000000002"/>
        <n v="11.21"/>
        <n v="21.96"/>
        <n v="8.85"/>
        <n v="21.58"/>
        <n v="66.23"/>
        <n v="23.47"/>
        <n v="41.86"/>
        <n v="6.8"/>
        <n v="17.36"/>
        <n v="44.45"/>
        <n v="42.6"/>
        <n v="25.36"/>
        <n v="53.43"/>
        <n v="26.76"/>
        <n v="69.28"/>
      </sharedItems>
    </cacheField>
    <cacheField name="final_price" numFmtId="0">
      <sharedItems containsSemiMixedTypes="0" containsString="0" containsNumber="1" minValue="118.62" maxValue="70774.58" count="1000">
        <n v="29629.31"/>
        <n v="8870.73"/>
        <n v="10919.43"/>
        <n v="502.91"/>
        <n v="5589.58"/>
        <n v="5069.6499999999996"/>
        <n v="687.2"/>
        <n v="698.36"/>
        <n v="2716.69"/>
        <n v="3502.76"/>
        <n v="4141.13"/>
        <n v="13226.52"/>
        <n v="2264.2399999999998"/>
        <n v="43928.98"/>
        <n v="815.89"/>
        <n v="6332.66"/>
        <n v="48383.63"/>
        <n v="11504.06"/>
        <n v="7024.88"/>
        <n v="40014.69"/>
        <n v="9769.7999999999993"/>
        <n v="1568.45"/>
        <n v="1755.4"/>
        <n v="45388.79"/>
        <n v="1354.94"/>
        <n v="1263.17"/>
        <n v="21826.48"/>
        <n v="3504.14"/>
        <n v="2650.04"/>
        <n v="2870.61"/>
        <n v="454.16"/>
        <n v="2008.43"/>
        <n v="7140.55"/>
        <n v="4445.33"/>
        <n v="8366.32"/>
        <n v="7042.08"/>
        <n v="41977.04"/>
        <n v="4301.78"/>
        <n v="861.82"/>
        <n v="3008.08"/>
        <n v="3330.76"/>
        <n v="2773.13"/>
        <n v="1479.87"/>
        <n v="3753.68"/>
        <n v="45969.15"/>
        <n v="39222.870000000003"/>
        <n v="11195.66"/>
        <n v="398.57"/>
        <n v="3841.32"/>
        <n v="9020.75"/>
        <n v="2134.9899999999998"/>
        <n v="7213.74"/>
        <n v="503.43"/>
        <n v="46944.11"/>
        <n v="1806.22"/>
        <n v="1328.97"/>
        <n v="527.20000000000005"/>
        <n v="2144.27"/>
        <n v="1868.24"/>
        <n v="23203.55"/>
        <n v="1664.34"/>
        <n v="1044.1300000000001"/>
        <n v="777.55"/>
        <n v="2919.41"/>
        <n v="2941.23"/>
        <n v="1117.8"/>
        <n v="706.64"/>
        <n v="10440.51"/>
        <n v="3701.42"/>
        <n v="1594.31"/>
        <n v="946.03"/>
        <n v="7494.7"/>
        <n v="7258.88"/>
        <n v="1335.11"/>
        <n v="913"/>
        <n v="3400.15"/>
        <n v="7373.9"/>
        <n v="3485.13"/>
        <n v="3443.41"/>
        <n v="607.64"/>
        <n v="26575.24"/>
        <n v="2029.76"/>
        <n v="2151.87"/>
        <n v="10540.23"/>
        <n v="1424.78"/>
        <n v="42166.9"/>
        <n v="4888.75"/>
        <n v="910.49"/>
        <n v="3133.6"/>
        <n v="25673.49"/>
        <n v="39809.660000000003"/>
        <n v="12006.05"/>
        <n v="1685.97"/>
        <n v="8905.06"/>
        <n v="37871.86"/>
        <n v="12425.55"/>
        <n v="10502.28"/>
        <n v="1029.47"/>
        <n v="2400.89"/>
        <n v="5105.25"/>
        <n v="2210.0300000000002"/>
        <n v="2405.67"/>
        <n v="3082.92"/>
        <n v="503.77"/>
        <n v="2253.46"/>
        <n v="9239.9"/>
        <n v="4324.13"/>
        <n v="2486.96"/>
        <n v="45562.32"/>
        <n v="394.35"/>
        <n v="2733.04"/>
        <n v="2277.13"/>
        <n v="1021.14"/>
        <n v="2630.45"/>
        <n v="959.38"/>
        <n v="44967.79"/>
        <n v="2722.81"/>
        <n v="7810.89"/>
        <n v="1973.38"/>
        <n v="10324.459999999999"/>
        <n v="50669.9"/>
        <n v="1427.52"/>
        <n v="2404.61"/>
        <n v="3324.31"/>
        <n v="13131.93"/>
        <n v="2206.33"/>
        <n v="616.34"/>
        <n v="39706.19"/>
        <n v="10152.370000000001"/>
        <n v="2993.61"/>
        <n v="9112.0400000000009"/>
        <n v="2909.62"/>
        <n v="1758.73"/>
        <n v="9326.51"/>
        <n v="1284.8699999999999"/>
        <n v="1540.98"/>
        <n v="1128.45"/>
        <n v="2503.33"/>
        <n v="1584.5"/>
        <n v="9436.73"/>
        <n v="15233.59"/>
        <n v="40089.49"/>
        <n v="6153.98"/>
        <n v="10226.81"/>
        <n v="1001.28"/>
        <n v="3600.46"/>
        <n v="11786.05"/>
        <n v="10062.6"/>
        <n v="14773.99"/>
        <n v="2283.29"/>
        <n v="2542.73"/>
        <n v="3821.16"/>
        <n v="1844.36"/>
        <n v="2613.3200000000002"/>
        <n v="7073.83"/>
        <n v="618.57000000000005"/>
        <n v="500.6"/>
        <n v="6821.18"/>
        <n v="8255.7099999999991"/>
        <n v="759.05"/>
        <n v="2241.31"/>
        <n v="4541.8900000000003"/>
        <n v="260.56"/>
        <n v="15485.6"/>
        <n v="7172.57"/>
        <n v="17599.490000000002"/>
        <n v="2420.37"/>
        <n v="468.06"/>
        <n v="2327.25"/>
        <n v="2257.67"/>
        <n v="10774.37"/>
        <n v="50308.99"/>
        <n v="1880.97"/>
        <n v="818.39"/>
        <n v="7221.51"/>
        <n v="9897.8799999999992"/>
        <n v="4429.92"/>
        <n v="3750.45"/>
        <n v="8196.7000000000007"/>
        <n v="1748.22"/>
        <n v="11996.24"/>
        <n v="2676.44"/>
        <n v="9817.66"/>
        <n v="10393.1"/>
        <n v="2658.14"/>
        <n v="1155.1300000000001"/>
        <n v="8166.36"/>
        <n v="1045.4000000000001"/>
        <n v="7232.57"/>
        <n v="1280.76"/>
        <n v="5375.25"/>
        <n v="35885.129999999997"/>
        <n v="991.6"/>
        <n v="1036.3800000000001"/>
        <n v="37545.29"/>
        <n v="1068.98"/>
        <n v="41537.449999999997"/>
        <n v="8895.2900000000009"/>
        <n v="3093.52"/>
        <n v="759.85"/>
        <n v="6872.31"/>
        <n v="32045.21"/>
        <n v="6052.71"/>
        <n v="2573.56"/>
        <n v="2746.32"/>
        <n v="7036.45"/>
        <n v="3730.07"/>
        <n v="988.43"/>
        <n v="50548.32"/>
        <n v="10459.379999999999"/>
        <n v="10049.36"/>
        <n v="716.46"/>
        <n v="7323.66"/>
        <n v="29563.200000000001"/>
        <n v="693.98"/>
        <n v="6544"/>
        <n v="62583.79"/>
        <n v="886.35"/>
        <n v="65472.95"/>
        <n v="20883.810000000001"/>
        <n v="1887.99"/>
        <n v="956.73"/>
        <n v="2228.02"/>
        <n v="7401.68"/>
        <n v="2538.9"/>
        <n v="6146.75"/>
        <n v="12386.78"/>
        <n v="503.22"/>
        <n v="42305.52"/>
        <n v="7466.36"/>
        <n v="3973.67"/>
        <n v="8948.61"/>
        <n v="8911.75"/>
        <n v="2768.06"/>
        <n v="9016.0499999999993"/>
        <n v="37477.93"/>
        <n v="33435.279999999999"/>
        <n v="11222.67"/>
        <n v="7609.3"/>
        <n v="1616.95"/>
        <n v="697.57"/>
        <n v="8359.23"/>
        <n v="3527.37"/>
        <n v="1829.59"/>
        <n v="3463.33"/>
        <n v="3786.85"/>
        <n v="11954.81"/>
        <n v="464.94"/>
        <n v="42465.48"/>
        <n v="6301.39"/>
        <n v="8072.71"/>
        <n v="1079.5899999999999"/>
        <n v="2112.94"/>
        <n v="9047.74"/>
        <n v="3139.69"/>
        <n v="6730"/>
        <n v="6393.72"/>
        <n v="51973.94"/>
        <n v="4011.37"/>
        <n v="3286.8"/>
        <n v="6436.29"/>
        <n v="3226.7"/>
        <n v="1791.08"/>
        <n v="37272.47"/>
        <n v="3525.29"/>
        <n v="53155.92"/>
        <n v="2308.67"/>
        <n v="743.66"/>
        <n v="43602.67"/>
        <n v="1255.27"/>
        <n v="1342.66"/>
        <n v="498.15"/>
        <n v="1075.8900000000001"/>
        <n v="614.97"/>
        <n v="11202.85"/>
        <n v="3041.61"/>
        <n v="31963.34"/>
        <n v="32245.49"/>
        <n v="686.05"/>
        <n v="9369.26"/>
        <n v="2850.98"/>
        <n v="23803.439999999999"/>
        <n v="1769.61"/>
        <n v="3433.37"/>
        <n v="2973.27"/>
        <n v="3682.55"/>
        <n v="1492.51"/>
        <n v="3952.46"/>
        <n v="2944.66"/>
        <n v="1198.1099999999999"/>
        <n v="1224.74"/>
        <n v="6093.2"/>
        <n v="3238.72"/>
        <n v="1786.18"/>
        <n v="5462.97"/>
        <n v="2912.09"/>
        <n v="282.41000000000003"/>
        <n v="2242.96"/>
        <n v="448.96"/>
        <n v="3125.6"/>
        <n v="8703.52"/>
        <n v="3711.86"/>
        <n v="1829.25"/>
        <n v="9952.3799999999992"/>
        <n v="1561.91"/>
        <n v="183.76"/>
        <n v="10392.9"/>
        <n v="7623.26"/>
        <n v="29796.93"/>
        <n v="3804.6"/>
        <n v="1596.33"/>
        <n v="6387.59"/>
        <n v="1812.77"/>
        <n v="1877.61"/>
        <n v="6992.27"/>
        <n v="1167.54"/>
        <n v="870.19"/>
        <n v="2644.31"/>
        <n v="1342.24"/>
        <n v="13278.57"/>
        <n v="1334.49"/>
        <n v="3255.05"/>
        <n v="1277.8399999999999"/>
        <n v="7506.66"/>
        <n v="420.34"/>
        <n v="34487.699999999997"/>
        <n v="8014.14"/>
        <n v="1471.48"/>
        <n v="2456.33"/>
        <n v="2926.29"/>
        <n v="4348.2299999999996"/>
        <n v="9255.17"/>
        <n v="11918.72"/>
        <n v="16271.17"/>
        <n v="8807.3700000000008"/>
        <n v="443.76"/>
        <n v="44570.83"/>
        <n v="1666.3"/>
        <n v="1257.4000000000001"/>
        <n v="53746.19"/>
        <n v="14240.31"/>
        <n v="1901.72"/>
        <n v="2886.85"/>
        <n v="9444.7199999999993"/>
        <n v="70774.58"/>
        <n v="14200.81"/>
        <n v="9594.7099999999991"/>
        <n v="4226.74"/>
        <n v="8031.33"/>
        <n v="2261.25"/>
        <n v="17654.71"/>
        <n v="8323.39"/>
        <n v="1207.44"/>
        <n v="360.72"/>
        <n v="14132.9"/>
        <n v="62520.11"/>
        <n v="20311.27"/>
        <n v="3834.11"/>
        <n v="12141.98"/>
        <n v="1554.46"/>
        <n v="5504.97"/>
        <n v="13908.26"/>
        <n v="39928.400000000001"/>
        <n v="509.12"/>
        <n v="2336.64"/>
        <n v="58913.53"/>
        <n v="671.98"/>
        <n v="9313.06"/>
        <n v="2720.55"/>
        <n v="9266.65"/>
        <n v="4100.1000000000004"/>
        <n v="669.22"/>
        <n v="771.21"/>
        <n v="8857.99"/>
        <n v="340.72"/>
        <n v="50176.19"/>
        <n v="25173.64"/>
        <n v="1763.67"/>
        <n v="4044.61"/>
        <n v="39908.14"/>
        <n v="2105.61"/>
        <n v="2333.4499999999998"/>
        <n v="1745.23"/>
        <n v="19265.2"/>
        <n v="1661.03"/>
        <n v="19472.95"/>
        <n v="978.78"/>
        <n v="278.77"/>
        <n v="677.93"/>
        <n v="8081.92"/>
        <n v="833.37"/>
        <n v="1073.73"/>
        <n v="231.84"/>
        <n v="2261.4699999999998"/>
        <n v="13328.5"/>
        <n v="566.29999999999995"/>
        <n v="7356.76"/>
        <n v="21417.46"/>
        <n v="7008.62"/>
        <n v="892.06"/>
        <n v="1474.84"/>
        <n v="7874.98"/>
        <n v="30160.05"/>
        <n v="7543.19"/>
        <n v="2605.92"/>
        <n v="516.24"/>
        <n v="14452.32"/>
        <n v="15350.55"/>
        <n v="12785.28"/>
        <n v="4320.75"/>
        <n v="2258.12"/>
        <n v="9985.02"/>
        <n v="4135.09"/>
        <n v="3792.55"/>
        <n v="1502.86"/>
        <n v="12128.46"/>
        <n v="2319.71"/>
        <n v="3178.49"/>
        <n v="3623.28"/>
        <n v="3929.02"/>
        <n v="6052.73"/>
        <n v="3069.52"/>
        <n v="618.62"/>
        <n v="9128.36"/>
        <n v="4086.67"/>
        <n v="1538.02"/>
        <n v="22711.35"/>
        <n v="30294.22"/>
        <n v="64411.040000000001"/>
        <n v="43621.65"/>
        <n v="726.62"/>
        <n v="12223.08"/>
        <n v="686.86"/>
        <n v="8641.11"/>
        <n v="1598.22"/>
        <n v="1770.14"/>
        <n v="26462.57"/>
        <n v="1279.5999999999999"/>
        <n v="11065.37"/>
        <n v="1215.75"/>
        <n v="3763.96"/>
        <n v="11095.22"/>
        <n v="2069"/>
        <n v="14684.81"/>
        <n v="1203.1300000000001"/>
        <n v="1896.05"/>
        <n v="2718.85"/>
        <n v="2053.61"/>
        <n v="3054.32"/>
        <n v="5721.8"/>
        <n v="2538.9499999999998"/>
        <n v="3706.18"/>
        <n v="10628.76"/>
        <n v="890.71"/>
        <n v="8083.3"/>
        <n v="869.42"/>
        <n v="759.6"/>
        <n v="2007.38"/>
        <n v="2659.38"/>
        <n v="10514.71"/>
        <n v="9063.39"/>
        <n v="1426.02"/>
        <n v="1330.55"/>
        <n v="2158.86"/>
        <n v="1926.05"/>
        <n v="36595.019999999997"/>
        <n v="37624.07"/>
        <n v="1845.58"/>
        <n v="3307.61"/>
        <n v="4204.37"/>
        <n v="26328.81"/>
        <n v="332.42"/>
        <n v="17205.93"/>
        <n v="9097.27"/>
        <n v="6738.46"/>
        <n v="23868.54"/>
        <n v="3527.39"/>
        <n v="1779.11"/>
        <n v="9845.4699999999993"/>
        <n v="4959.87"/>
        <n v="1230.75"/>
        <n v="9287.7999999999993"/>
        <n v="2044.77"/>
        <n v="9756.73"/>
        <n v="1836.46"/>
        <n v="51563.03"/>
        <n v="1829.09"/>
        <n v="17294.05"/>
        <n v="4309.57"/>
        <n v="30614.639999999999"/>
        <n v="543.69000000000005"/>
        <n v="3220.26"/>
        <n v="405.18"/>
        <n v="36019.96"/>
        <n v="2098.2800000000002"/>
        <n v="474.27"/>
        <n v="2467.19"/>
        <n v="12050.69"/>
        <n v="1637.28"/>
        <n v="9749.7000000000007"/>
        <n v="1124.46"/>
        <n v="45501.64"/>
        <n v="1577.34"/>
        <n v="11894.56"/>
        <n v="2498.46"/>
        <n v="40957.160000000003"/>
        <n v="1780.66"/>
        <n v="1983.23"/>
        <n v="9428.85"/>
        <n v="9554.36"/>
        <n v="23888.36"/>
        <n v="61824.34"/>
        <n v="5726.64"/>
        <n v="37705.19"/>
        <n v="1477.85"/>
        <n v="14281.37"/>
        <n v="2623.6"/>
        <n v="4918.83"/>
        <n v="823.09"/>
        <n v="1855.33"/>
        <n v="48297.81"/>
        <n v="11345.35"/>
        <n v="9298.56"/>
        <n v="21640.28"/>
        <n v="1165.04"/>
        <n v="147.83000000000001"/>
        <n v="10506.56"/>
        <n v="1742.87"/>
        <n v="2796.91"/>
        <n v="15109.15"/>
        <n v="13526.57"/>
        <n v="7401.14"/>
        <n v="3668.36"/>
        <n v="10725.42"/>
        <n v="827.62"/>
        <n v="5730.91"/>
        <n v="7583.09"/>
        <n v="5962.02"/>
        <n v="2686.52"/>
        <n v="70616.2"/>
        <n v="11758.52"/>
        <n v="2582.9"/>
        <n v="45205.120000000003"/>
        <n v="6639.36"/>
        <n v="2132.5"/>
        <n v="20010.939999999999"/>
        <n v="2022.47"/>
        <n v="8982.44"/>
        <n v="1860.74"/>
        <n v="3273.39"/>
        <n v="24758.99"/>
        <n v="6514.41"/>
        <n v="2375.7800000000002"/>
        <n v="1646.49"/>
        <n v="2448.34"/>
        <n v="7731.18"/>
        <n v="3027.6"/>
        <n v="403.84"/>
        <n v="404.16"/>
        <n v="1401.05"/>
        <n v="606.03"/>
        <n v="3306.6"/>
        <n v="3484.56"/>
        <n v="65138.18"/>
        <n v="2915.07"/>
        <n v="38848.519999999997"/>
        <n v="5063.32"/>
        <n v="2533.4899999999998"/>
        <n v="892.87"/>
        <n v="1429.52"/>
        <n v="660.52"/>
        <n v="2852.77"/>
        <n v="3887.82"/>
        <n v="888.29"/>
        <n v="2217.59"/>
        <n v="8670.7099999999991"/>
        <n v="9483.2199999999993"/>
        <n v="35028.660000000003"/>
        <n v="11824.83"/>
        <n v="1726.07"/>
        <n v="621.97"/>
        <n v="46708.800000000003"/>
        <n v="191.2"/>
        <n v="38628.550000000003"/>
        <n v="329.27"/>
        <n v="21019.38"/>
        <n v="12470"/>
        <n v="2167.92"/>
        <n v="30561.37"/>
        <n v="56403.72"/>
        <n v="2225.11"/>
        <n v="1135.8"/>
        <n v="2824.78"/>
        <n v="7829.91"/>
        <n v="3352.62"/>
        <n v="1449.48"/>
        <n v="6514.05"/>
        <n v="41085.910000000003"/>
        <n v="4566.79"/>
        <n v="11820.43"/>
        <n v="36134.839999999997"/>
        <n v="16675.080000000002"/>
        <n v="1788.7"/>
        <n v="10732.79"/>
        <n v="118.62"/>
        <n v="2185.8000000000002"/>
        <n v="2199.04"/>
        <n v="28225.7"/>
        <n v="619.85"/>
        <n v="4041.59"/>
        <n v="6420.73"/>
        <n v="16202.09"/>
        <n v="2217.1999999999998"/>
        <n v="627.28"/>
        <n v="3787.85"/>
        <n v="1361.78"/>
        <n v="3685.52"/>
        <n v="433.64"/>
        <n v="6874.37"/>
        <n v="49096.37"/>
        <n v="2197.9299999999998"/>
        <n v="32394.74"/>
        <n v="12195.66"/>
        <n v="2471.71"/>
        <n v="5572.47"/>
        <n v="2675.7"/>
        <n v="43966.16"/>
        <n v="903.37"/>
        <n v="46678.96"/>
        <n v="8064.7"/>
        <n v="2799.73"/>
        <n v="10860.54"/>
        <n v="7167.48"/>
        <n v="12421.82"/>
        <n v="12236.26"/>
        <n v="40767.839999999997"/>
        <n v="1548.35"/>
        <n v="38772.22"/>
        <n v="2502.34"/>
        <n v="422.88"/>
        <n v="1221.06"/>
        <n v="10619.91"/>
        <n v="3828.52"/>
        <n v="2795.87"/>
        <n v="13616.84"/>
        <n v="1783.88"/>
        <n v="6355.24"/>
        <n v="44045.4"/>
        <n v="9060.76"/>
        <n v="7483.12"/>
        <n v="6718.15"/>
        <n v="25711.03"/>
        <n v="3308.87"/>
        <n v="25543.68"/>
        <n v="3853.59"/>
        <n v="7569.98"/>
        <n v="10065.719999999999"/>
        <n v="1668.53"/>
        <n v="1915.81"/>
        <n v="6997.98"/>
        <n v="1247.18"/>
        <n v="1268.43"/>
        <n v="8550.73"/>
        <n v="6952.14"/>
        <n v="55463.9"/>
        <n v="2522.9"/>
        <n v="8773.65"/>
        <n v="5191.71"/>
        <n v="271.77999999999997"/>
        <n v="9610.19"/>
        <n v="6811.21"/>
        <n v="1649.23"/>
        <n v="3900.94"/>
        <n v="39815.410000000003"/>
        <n v="730.76"/>
        <n v="8104.48"/>
        <n v="10151.58"/>
        <n v="4929.8"/>
        <n v="34104.620000000003"/>
        <n v="12247.31"/>
        <n v="56155.26"/>
        <n v="10630.98"/>
        <n v="359.6"/>
        <n v="2580.67"/>
        <n v="360.52"/>
        <n v="2324.36"/>
        <n v="1873.63"/>
        <n v="43607.71"/>
        <n v="2926.46"/>
        <n v="714.19"/>
        <n v="8118.93"/>
        <n v="4532.54"/>
        <n v="9816.41"/>
        <n v="6456.31"/>
        <n v="11572.5"/>
        <n v="7902.11"/>
        <n v="3627.28"/>
        <n v="34843.18"/>
        <n v="556.80999999999995"/>
        <n v="18883.84"/>
        <n v="1004.31"/>
        <n v="4814.59"/>
        <n v="2135.6"/>
        <n v="2034.68"/>
        <n v="20305.509999999998"/>
        <n v="25697.02"/>
        <n v="410.99"/>
        <n v="1737.63"/>
        <n v="2868.63"/>
        <n v="642.17999999999995"/>
        <n v="878.94"/>
        <n v="1092.6199999999999"/>
        <n v="311.38"/>
        <n v="2396.15"/>
        <n v="46345.14"/>
        <n v="1615.21"/>
        <n v="18281.310000000001"/>
        <n v="7042.22"/>
        <n v="145.78"/>
        <n v="2204.48"/>
        <n v="8672.85"/>
        <n v="957.31"/>
        <n v="2108.58"/>
        <n v="1569.17"/>
        <n v="436.86"/>
        <n v="12274.23"/>
        <n v="38064.769999999997"/>
        <n v="2423.84"/>
        <n v="449.12"/>
        <n v="4296.3500000000004"/>
        <n v="2101.9499999999998"/>
        <n v="4145.88"/>
        <n v="1985.65"/>
        <n v="3887.56"/>
        <n v="939.33"/>
        <n v="2023.32"/>
        <n v="32337.48"/>
        <n v="1755.8"/>
        <n v="12980.43"/>
        <n v="873.22"/>
        <n v="2477.08"/>
        <n v="525.73"/>
        <n v="1624.31"/>
        <n v="2661.52"/>
        <n v="2130.16"/>
        <n v="3360.67"/>
        <n v="1551.52"/>
        <n v="4002.32"/>
        <n v="3814.01"/>
        <n v="8690.92"/>
        <n v="3633.54"/>
        <n v="4476.07"/>
        <n v="5577.3"/>
        <n v="1191.1500000000001"/>
        <n v="12470.56"/>
        <n v="2477.91"/>
        <n v="224.94"/>
        <n v="1181.54"/>
        <n v="3942.59"/>
        <n v="10829.05"/>
        <n v="4052.75"/>
        <n v="1464.35"/>
        <n v="749.73"/>
        <n v="4508.58"/>
        <n v="57955.69"/>
        <n v="60319.4"/>
        <n v="466.94"/>
        <n v="8683.4"/>
        <n v="1962.84"/>
        <n v="5431.19"/>
        <n v="2400.2199999999998"/>
        <n v="35941.550000000003"/>
        <n v="32521.32"/>
        <n v="6965.67"/>
        <n v="259.89"/>
        <n v="432.36"/>
        <n v="4304.7700000000004"/>
        <n v="18432.580000000002"/>
        <n v="45580.13"/>
        <n v="23707.03"/>
        <n v="8402.9"/>
        <n v="25225.040000000001"/>
        <n v="1583.35"/>
        <n v="1136.46"/>
        <n v="1583.66"/>
        <n v="719.2"/>
        <n v="7580.06"/>
        <n v="1734.21"/>
        <n v="1440.09"/>
        <n v="912.22"/>
        <n v="8194.65"/>
        <n v="7636.97"/>
        <n v="1833.55"/>
        <n v="505.1"/>
        <n v="8605.0499999999993"/>
        <n v="10094.219999999999"/>
        <n v="30542.53"/>
        <n v="61334.13"/>
        <n v="40264.629999999997"/>
        <n v="9436.7000000000007"/>
        <n v="5160.25"/>
        <n v="6899.35"/>
        <n v="36624.19"/>
        <n v="639.61"/>
        <n v="3727.67"/>
        <n v="29244.99"/>
        <n v="12798.4"/>
        <n v="568.69000000000005"/>
        <n v="699.74"/>
        <n v="4810.0200000000004"/>
        <n v="850.16"/>
        <n v="2731.45"/>
        <n v="1419.43"/>
        <n v="30344.26"/>
        <n v="57918.43"/>
        <n v="2456.83"/>
        <n v="2336.6999999999998"/>
        <n v="1927.24"/>
        <n v="633.94000000000005"/>
        <n v="44713.27"/>
        <n v="6493.23"/>
        <n v="24737.25"/>
        <n v="2452"/>
        <n v="2057.12"/>
        <n v="10722.65"/>
        <n v="45195.18"/>
        <n v="2310.0700000000002"/>
        <n v="18878.53"/>
        <n v="5437.68"/>
        <n v="981.15"/>
        <n v="1612.96"/>
        <n v="42560.800000000003"/>
        <n v="4642.3100000000004"/>
        <n v="21936.04"/>
        <n v="3627.33"/>
        <n v="4790.3500000000004"/>
        <n v="3351.34"/>
        <n v="5433.98"/>
        <n v="4761.2"/>
        <n v="2352.08"/>
        <n v="611.65"/>
        <n v="3088.17"/>
        <n v="50276.89"/>
        <n v="1977.63"/>
        <n v="1951.42"/>
        <n v="1181.33"/>
        <n v="1343.05"/>
        <n v="1607.3"/>
        <n v="5819.5"/>
        <n v="8862.0499999999993"/>
        <n v="1997.05"/>
        <n v="3256.9"/>
        <n v="52248.36"/>
        <n v="2120.56"/>
        <n v="2680.14"/>
        <n v="1238.4000000000001"/>
        <n v="11248.91"/>
        <n v="20035.61"/>
        <n v="3597.41"/>
        <n v="1606.81"/>
        <n v="11629.33"/>
        <n v="636.64"/>
        <n v="15862.26"/>
        <n v="40643.19"/>
        <n v="6301.37"/>
        <n v="1182.44"/>
        <n v="1826.99"/>
        <n v="1817.06"/>
        <n v="46140.98"/>
        <n v="2502.2399999999998"/>
        <n v="39707.01"/>
        <n v="9193.41"/>
        <n v="2570.1999999999998"/>
        <n v="45238.15"/>
        <n v="2988.01"/>
        <n v="3951.73"/>
        <n v="332.64"/>
        <n v="1190.79"/>
        <n v="6482.65"/>
        <n v="1927.4"/>
        <n v="21653.97"/>
        <n v="744.76"/>
        <n v="4227.25"/>
        <n v="4127.5200000000004"/>
        <n v="440.14"/>
        <n v="569.91999999999996"/>
        <n v="7049.59"/>
        <n v="211.88"/>
        <n v="2966.24"/>
        <n v="3557.2"/>
        <n v="1702.87"/>
        <n v="8279.64"/>
        <n v="4043.42"/>
        <n v="778.08"/>
        <n v="421.74"/>
        <n v="2334.73"/>
        <n v="3671"/>
        <n v="11636.08"/>
        <n v="8083.49"/>
        <n v="11273.89"/>
        <n v="541.84"/>
        <n v="35820.9"/>
        <n v="52385.2"/>
        <n v="870.88"/>
        <n v="14665.52"/>
        <n v="7563.87"/>
        <n v="42560.32"/>
        <n v="5931.42"/>
        <n v="11495.42"/>
        <n v="4276.83"/>
        <n v="8781.52"/>
        <n v="1013.73"/>
        <n v="41723.32"/>
        <n v="2362.06"/>
        <n v="27669.33"/>
        <n v="6771.86"/>
        <n v="1302.04"/>
        <n v="1770.61"/>
        <n v="1926.04"/>
        <n v="5955.75"/>
        <n v="55519.66"/>
        <n v="734.14"/>
        <n v="1339.33"/>
        <n v="990.6"/>
        <n v="1600.32"/>
        <n v="1559.14"/>
        <n v="2407.3200000000002"/>
        <n v="36570.03"/>
        <n v="227.19"/>
        <n v="1284.92"/>
        <n v="1092.02"/>
        <n v="39885.339999999997"/>
        <n v="14693.56"/>
        <n v="13907.11"/>
        <n v="11000.66"/>
        <n v="2257.96"/>
        <n v="8408.11"/>
        <n v="1928.08"/>
        <n v="55365.64"/>
        <n v="12577.72"/>
        <n v="2452.46"/>
        <n v="41336.78"/>
        <n v="7904.96"/>
        <n v="5120.3"/>
        <n v="4246.37"/>
        <n v="2677.6"/>
        <n v="7736.98"/>
        <n v="3461.64"/>
        <n v="2973.31"/>
        <n v="943.78"/>
        <n v="26550.47"/>
        <n v="801.74"/>
        <n v="20551.53"/>
        <n v="6958.81"/>
        <n v="659.82"/>
        <n v="294.55"/>
        <n v="3075.66"/>
        <n v="1905.48"/>
        <n v="4192.6499999999996"/>
        <n v="289.81"/>
        <n v="7220.84"/>
        <n v="12180.97"/>
        <n v="2885.45"/>
        <n v="1807"/>
        <n v="2591.75"/>
        <n v="13094.03"/>
        <n v="2431.9499999999998"/>
        <n v="31854.44"/>
        <n v="2475.6799999999998"/>
        <n v="30943.65"/>
        <n v="1853.93"/>
        <n v="670.31"/>
        <n v="3017.93"/>
        <n v="35119.07"/>
        <n v="28610.65"/>
        <n v="2903.1"/>
        <n v="456.49"/>
        <n v="3013.07"/>
        <n v="4050.45"/>
        <n v="7078.12"/>
        <n v="15225.21"/>
        <n v="2581.8000000000002"/>
        <n v="43445.87"/>
        <n v="27191.03"/>
        <n v="5980.11"/>
        <n v="11149.54"/>
        <n v="1388.1"/>
        <n v="2625.32"/>
        <n v="5090.6499999999996"/>
        <n v="12383.2"/>
        <n v="4816.95"/>
        <n v="1267.3800000000001"/>
        <n v="164.83"/>
        <n v="3560.66"/>
        <n v="856.12"/>
        <n v="2276.36"/>
        <n v="1095.3800000000001"/>
        <n v="1490.76"/>
        <n v="19229.82"/>
        <n v="862.03"/>
      </sharedItems>
    </cacheField>
    <cacheField name="rating" numFmtId="0">
      <sharedItems containsSemiMixedTypes="0" containsString="0" containsNumber="1" minValue="2" maxValue="5" count="27">
        <n v="4.9000000000000004"/>
        <n v="3.9"/>
        <n v="4.2"/>
        <n v="3.8"/>
        <n v="4"/>
        <n v="3.3"/>
        <n v="3.4"/>
        <n v="3.7"/>
        <n v="4.4000000000000004"/>
        <n v="4.3"/>
        <n v="3.5"/>
        <n v="5"/>
        <n v="4.8"/>
        <n v="4.0999999999999996"/>
        <n v="2.9"/>
        <n v="4.5999999999999996"/>
        <n v="3.2"/>
        <n v="4.5"/>
        <n v="4.7"/>
        <n v="3.1"/>
        <n v="3.6"/>
        <n v="2.7"/>
        <n v="3"/>
        <n v="2.8"/>
        <n v="2.6"/>
        <n v="2"/>
        <n v="2.4"/>
      </sharedItems>
    </cacheField>
    <cacheField name="review_count" numFmtId="0">
      <sharedItems containsSemiMixedTypes="0" containsString="0" containsNumber="1" containsInteger="1" minValue="1" maxValue="440" count="138">
        <n v="43"/>
        <n v="13"/>
        <n v="46"/>
        <n v="6"/>
        <n v="48"/>
        <n v="22"/>
        <n v="14"/>
        <n v="18"/>
        <n v="17"/>
        <n v="12"/>
        <n v="8"/>
        <n v="15"/>
        <n v="54"/>
        <n v="21"/>
        <n v="5"/>
        <n v="45"/>
        <n v="24"/>
        <n v="10"/>
        <n v="2"/>
        <n v="4"/>
        <n v="9"/>
        <n v="60"/>
        <n v="49"/>
        <n v="19"/>
        <n v="16"/>
        <n v="11"/>
        <n v="125"/>
        <n v="32"/>
        <n v="23"/>
        <n v="25"/>
        <n v="7"/>
        <n v="3"/>
        <n v="38"/>
        <n v="20"/>
        <n v="33"/>
        <n v="36"/>
        <n v="123"/>
        <n v="64"/>
        <n v="47"/>
        <n v="58"/>
        <n v="28"/>
        <n v="85"/>
        <n v="29"/>
        <n v="120"/>
        <n v="53"/>
        <n v="31"/>
        <n v="56"/>
        <n v="1"/>
        <n v="37"/>
        <n v="102"/>
        <n v="117"/>
        <n v="124"/>
        <n v="26"/>
        <n v="111"/>
        <n v="69"/>
        <n v="30"/>
        <n v="278"/>
        <n v="79"/>
        <n v="44"/>
        <n v="157"/>
        <n v="90"/>
        <n v="101"/>
        <n v="51"/>
        <n v="84"/>
        <n v="308"/>
        <n v="50"/>
        <n v="440"/>
        <n v="95"/>
        <n v="39"/>
        <n v="61"/>
        <n v="76"/>
        <n v="41"/>
        <n v="27"/>
        <n v="42"/>
        <n v="52"/>
        <n v="93"/>
        <n v="83"/>
        <n v="82"/>
        <n v="138"/>
        <n v="55"/>
        <n v="57"/>
        <n v="40"/>
        <n v="99"/>
        <n v="193"/>
        <n v="91"/>
        <n v="87"/>
        <n v="35"/>
        <n v="227"/>
        <n v="70"/>
        <n v="80"/>
        <n v="160"/>
        <n v="154"/>
        <n v="107"/>
        <n v="59"/>
        <n v="81"/>
        <n v="34"/>
        <n v="103"/>
        <n v="65"/>
        <n v="178"/>
        <n v="127"/>
        <n v="74"/>
        <n v="98"/>
        <n v="89"/>
        <n v="66"/>
        <n v="184"/>
        <n v="121"/>
        <n v="229"/>
        <n v="320"/>
        <n v="210"/>
        <n v="88"/>
        <n v="148"/>
        <n v="72"/>
        <n v="92"/>
        <n v="129"/>
        <n v="113"/>
        <n v="78"/>
        <n v="96"/>
        <n v="132"/>
        <n v="122"/>
        <n v="62"/>
        <n v="396"/>
        <n v="134"/>
        <n v="100"/>
        <n v="156"/>
        <n v="161"/>
        <n v="247"/>
        <n v="144"/>
        <n v="73"/>
        <n v="288"/>
        <n v="114"/>
        <n v="180"/>
        <n v="63"/>
        <n v="67"/>
        <n v="68"/>
        <n v="106"/>
        <n v="86"/>
        <n v="149"/>
        <n v="172"/>
      </sharedItems>
    </cacheField>
    <cacheField name="stock" numFmtId="0">
      <sharedItems containsSemiMixedTypes="0" containsString="0" containsNumber="1" containsInteger="1" minValue="0" maxValue="500" count="437">
        <n v="71"/>
        <n v="119"/>
        <n v="229"/>
        <n v="52"/>
        <n v="274"/>
        <n v="360"/>
        <n v="232"/>
        <n v="87"/>
        <n v="166"/>
        <n v="108"/>
        <n v="382"/>
        <n v="386"/>
        <n v="195"/>
        <n v="393"/>
        <n v="259"/>
        <n v="276"/>
        <n v="123"/>
        <n v="135"/>
        <n v="204"/>
        <n v="301"/>
        <n v="36"/>
        <n v="295"/>
        <n v="210"/>
        <n v="127"/>
        <n v="226"/>
        <n v="442"/>
        <n v="356"/>
        <n v="29"/>
        <n v="435"/>
        <n v="304"/>
        <n v="342"/>
        <n v="475"/>
        <n v="59"/>
        <n v="436"/>
        <n v="22"/>
        <n v="287"/>
        <n v="75"/>
        <n v="341"/>
        <n v="91"/>
        <n v="113"/>
        <n v="142"/>
        <n v="261"/>
        <n v="351"/>
        <n v="215"/>
        <n v="155"/>
        <n v="345"/>
        <n v="324"/>
        <n v="125"/>
        <n v="253"/>
        <n v="237"/>
        <n v="162"/>
        <n v="384"/>
        <n v="39"/>
        <n v="196"/>
        <n v="31"/>
        <n v="385"/>
        <n v="172"/>
        <n v="288"/>
        <n v="383"/>
        <n v="486"/>
        <n v="493"/>
        <n v="38"/>
        <n v="219"/>
        <n v="456"/>
        <n v="396"/>
        <n v="359"/>
        <n v="388"/>
        <n v="207"/>
        <n v="169"/>
        <n v="161"/>
        <n v="500"/>
        <n v="7"/>
        <n v="481"/>
        <n v="415"/>
        <n v="115"/>
        <n v="30"/>
        <n v="80"/>
        <n v="361"/>
        <n v="217"/>
        <n v="405"/>
        <n v="482"/>
        <n v="13"/>
        <n v="333"/>
        <n v="209"/>
        <n v="483"/>
        <n v="320"/>
        <n v="62"/>
        <n v="47"/>
        <n v="212"/>
        <n v="428"/>
        <n v="193"/>
        <n v="64"/>
        <n v="323"/>
        <n v="355"/>
        <n v="4"/>
        <n v="353"/>
        <n v="292"/>
        <n v="289"/>
        <n v="317"/>
        <n v="186"/>
        <n v="448"/>
        <n v="239"/>
        <n v="421"/>
        <n v="325"/>
        <n v="252"/>
        <n v="214"/>
        <n v="111"/>
        <n v="141"/>
        <n v="402"/>
        <n v="416"/>
        <n v="408"/>
        <n v="89"/>
        <n v="398"/>
        <n v="266"/>
        <n v="37"/>
        <n v="160"/>
        <n v="343"/>
        <n v="180"/>
        <n v="188"/>
        <n v="305"/>
        <n v="338"/>
        <n v="56"/>
        <n v="3"/>
        <n v="412"/>
        <n v="294"/>
        <n v="268"/>
        <n v="74"/>
        <n v="365"/>
        <n v="312"/>
        <n v="331"/>
        <n v="362"/>
        <n v="98"/>
        <n v="19"/>
        <n v="414"/>
        <n v="145"/>
        <n v="246"/>
        <n v="139"/>
        <n v="27"/>
        <n v="476"/>
        <n v="270"/>
        <n v="406"/>
        <n v="367"/>
        <n v="340"/>
        <n v="199"/>
        <n v="176"/>
        <n v="18"/>
        <n v="242"/>
        <n v="409"/>
        <n v="279"/>
        <n v="140"/>
        <n v="434"/>
        <n v="16"/>
        <n v="187"/>
        <n v="198"/>
        <n v="102"/>
        <n v="495"/>
        <n v="283"/>
        <n v="269"/>
        <n v="264"/>
        <n v="128"/>
        <n v="86"/>
        <n v="148"/>
        <n v="375"/>
        <n v="450"/>
        <n v="298"/>
        <n v="291"/>
        <n v="348"/>
        <n v="101"/>
        <n v="265"/>
        <n v="303"/>
        <n v="344"/>
        <n v="369"/>
        <n v="339"/>
        <n v="346"/>
        <n v="394"/>
        <n v="147"/>
        <n v="177"/>
        <n v="2"/>
        <n v="464"/>
        <n v="403"/>
        <n v="404"/>
        <n v="44"/>
        <n v="334"/>
        <n v="490"/>
        <n v="410"/>
        <n v="57"/>
        <n v="370"/>
        <n v="358"/>
        <n v="392"/>
        <n v="440"/>
        <n v="387"/>
        <n v="126"/>
        <n v="153"/>
        <n v="211"/>
        <n v="472"/>
        <n v="489"/>
        <n v="203"/>
        <n v="184"/>
        <n v="23"/>
        <n v="151"/>
        <n v="368"/>
        <n v="124"/>
        <n v="243"/>
        <n v="473"/>
        <n v="8"/>
        <n v="290"/>
        <n v="15"/>
        <n v="299"/>
        <n v="78"/>
        <n v="137"/>
        <n v="247"/>
        <n v="69"/>
        <n v="417"/>
        <n v="149"/>
        <n v="425"/>
        <n v="278"/>
        <n v="313"/>
        <n v="77"/>
        <n v="178"/>
        <n v="377"/>
        <n v="134"/>
        <n v="407"/>
        <n v="389"/>
        <n v="460"/>
        <n v="364"/>
        <n v="192"/>
        <n v="167"/>
        <n v="451"/>
        <n v="84"/>
        <n v="0"/>
        <n v="374"/>
        <n v="73"/>
        <n v="470"/>
        <n v="179"/>
        <n v="307"/>
        <n v="85"/>
        <n v="32"/>
        <n v="1"/>
        <n v="443"/>
        <n v="251"/>
        <n v="234"/>
        <n v="427"/>
        <n v="236"/>
        <n v="190"/>
        <n v="254"/>
        <n v="452"/>
        <n v="271"/>
        <n v="467"/>
        <n v="277"/>
        <n v="202"/>
        <n v="491"/>
        <n v="200"/>
        <n v="224"/>
        <n v="498"/>
        <n v="432"/>
        <n v="497"/>
        <n v="248"/>
        <n v="10"/>
        <n v="363"/>
        <n v="228"/>
        <n v="197"/>
        <n v="262"/>
        <n v="114"/>
        <n v="335"/>
        <n v="326"/>
        <n v="49"/>
        <n v="256"/>
        <n v="175"/>
        <n v="250"/>
        <n v="222"/>
        <n v="372"/>
        <n v="138"/>
        <n v="20"/>
        <n v="45"/>
        <n v="118"/>
        <n v="457"/>
        <n v="194"/>
        <n v="447"/>
        <n v="164"/>
        <n v="40"/>
        <n v="9"/>
        <n v="61"/>
        <n v="376"/>
        <n v="53"/>
        <n v="471"/>
        <n v="146"/>
        <n v="354"/>
        <n v="103"/>
        <n v="150"/>
        <n v="154"/>
        <n v="349"/>
        <n v="420"/>
        <n v="42"/>
        <n v="466"/>
        <n v="60"/>
        <n v="54"/>
        <n v="454"/>
        <n v="280"/>
        <n v="94"/>
        <n v="249"/>
        <n v="68"/>
        <n v="330"/>
        <n v="133"/>
        <n v="337"/>
        <n v="189"/>
        <n v="332"/>
        <n v="418"/>
        <n v="263"/>
        <n v="426"/>
        <n v="306"/>
        <n v="112"/>
        <n v="267"/>
        <n v="459"/>
        <n v="105"/>
        <n v="437"/>
        <n v="401"/>
        <n v="260"/>
        <n v="241"/>
        <n v="468"/>
        <n v="181"/>
        <n v="446"/>
        <n v="357"/>
        <n v="51"/>
        <n v="90"/>
        <n v="275"/>
        <n v="314"/>
        <n v="309"/>
        <n v="478"/>
        <n v="240"/>
        <n v="366"/>
        <n v="413"/>
        <n v="25"/>
        <n v="165"/>
        <n v="438"/>
        <n v="380"/>
        <n v="336"/>
        <n v="258"/>
        <n v="76"/>
        <n v="46"/>
        <n v="381"/>
        <n v="390"/>
        <n v="474"/>
        <n v="107"/>
        <n v="95"/>
        <n v="156"/>
        <n v="116"/>
        <n v="465"/>
        <n v="201"/>
        <n v="225"/>
        <n v="462"/>
        <n v="311"/>
        <n v="152"/>
        <n v="168"/>
        <n v="99"/>
        <n v="170"/>
        <n v="157"/>
        <n v="350"/>
        <n v="431"/>
        <n v="463"/>
        <n v="159"/>
        <n v="272"/>
        <n v="286"/>
        <n v="293"/>
        <n v="66"/>
        <n v="485"/>
        <n v="144"/>
        <n v="81"/>
        <n v="100"/>
        <n v="96"/>
        <n v="238"/>
        <n v="143"/>
        <n v="6"/>
        <n v="327"/>
        <n v="97"/>
        <n v="329"/>
        <n v="58"/>
        <n v="499"/>
        <n v="72"/>
        <n v="321"/>
        <n v="316"/>
        <n v="171"/>
        <n v="244"/>
        <n v="347"/>
        <n v="227"/>
        <n v="496"/>
        <n v="411"/>
        <n v="391"/>
        <n v="83"/>
        <n v="93"/>
        <n v="14"/>
        <n v="5"/>
        <n v="33"/>
        <n v="371"/>
        <n v="315"/>
        <n v="221"/>
        <n v="492"/>
        <n v="400"/>
        <n v="130"/>
        <n v="285"/>
        <n v="297"/>
        <n v="182"/>
        <n v="92"/>
        <n v="245"/>
        <n v="453"/>
        <n v="65"/>
        <n v="55"/>
        <n v="230"/>
        <n v="235"/>
        <n v="213"/>
        <n v="310"/>
        <n v="183"/>
        <n v="136"/>
        <n v="174"/>
        <n v="395"/>
        <n v="423"/>
        <n v="109"/>
        <n v="110"/>
        <n v="487"/>
        <n v="26"/>
        <n v="21"/>
        <n v="378"/>
        <n v="480"/>
        <n v="122"/>
        <n v="185"/>
        <n v="173"/>
        <n v="70"/>
        <n v="300"/>
        <n v="106"/>
        <n v="255"/>
        <n v="34"/>
        <n v="191"/>
        <n v="484"/>
        <n v="216"/>
        <n v="469"/>
        <n v="430"/>
        <n v="397"/>
        <n v="257"/>
      </sharedItems>
    </cacheField>
    <cacheField name="seller_id" numFmtId="0">
      <sharedItems count="954">
        <s v="S2679"/>
        <s v="S9279"/>
        <s v="S5557"/>
        <s v="S2519"/>
        <s v="S3045"/>
        <s v="S2139"/>
        <s v="S6977"/>
        <s v="S9751"/>
        <s v="S1916"/>
        <s v="S9179"/>
        <s v="S8019"/>
        <s v="S1771"/>
        <s v="S8668"/>
        <s v="S6573"/>
        <s v="S2743"/>
        <s v="S9689"/>
        <s v="S2290"/>
        <s v="S9645"/>
        <s v="S7118"/>
        <s v="S4770"/>
        <s v="S9423"/>
        <s v="S8744"/>
        <s v="S8651"/>
        <s v="S4139"/>
        <s v="S2604"/>
        <s v="S7570"/>
        <s v="S8973"/>
        <s v="S1821"/>
        <s v="S4044"/>
        <s v="S1651"/>
        <s v="S6147"/>
        <s v="S2188"/>
        <s v="S3170"/>
        <s v="S5956"/>
        <s v="S2753"/>
        <s v="S5325"/>
        <s v="S1058"/>
        <s v="S1158"/>
        <s v="S8041"/>
        <s v="S2684"/>
        <s v="S6442"/>
        <s v="S4269"/>
        <s v="S2137"/>
        <s v="S5279"/>
        <s v="S2894"/>
        <s v="S4228"/>
        <s v="S6067"/>
        <s v="S7211"/>
        <s v="S5700"/>
        <s v="S4501"/>
        <s v="S6491"/>
        <s v="S8784"/>
        <s v="S7547"/>
        <s v="S1822"/>
        <s v="S8251"/>
        <s v="S5050"/>
        <s v="S5681"/>
        <s v="S3503"/>
        <s v="S4388"/>
        <s v="S7389"/>
        <s v="S7624"/>
        <s v="S1444"/>
        <s v="S8449"/>
        <s v="S9837"/>
        <s v="S5051"/>
        <s v="S4571"/>
        <s v="S6096"/>
        <s v="S4978"/>
        <s v="S7071"/>
        <s v="S8532"/>
        <s v="S8921"/>
        <s v="S8385"/>
        <s v="S6325"/>
        <s v="S5526"/>
        <s v="S4937"/>
        <s v="S4986"/>
        <s v="S6764"/>
        <s v="S2958"/>
        <s v="S9595"/>
        <s v="S1200"/>
        <s v="S8827"/>
        <s v="S5978"/>
        <s v="S9561"/>
        <s v="S2625"/>
        <s v="S1043"/>
        <s v="S5632"/>
        <s v="S2880"/>
        <s v="S6039"/>
        <s v="S5460"/>
        <s v="S2496"/>
        <s v="S8245"/>
        <s v="S6460"/>
        <s v="S7561"/>
        <s v="S9431"/>
        <s v="S8242"/>
        <s v="S1472"/>
        <s v="S4681"/>
        <s v="S8905"/>
        <s v="S3236"/>
        <s v="S9022"/>
        <s v="S8460"/>
        <s v="S6213"/>
        <s v="S9229"/>
        <s v="S3529"/>
        <s v="S6383"/>
        <s v="S5708"/>
        <s v="S5906"/>
        <s v="S9702"/>
        <s v="S9153"/>
        <s v="S8622"/>
        <s v="S5097"/>
        <s v="S6881"/>
        <s v="S1803"/>
        <s v="S5106"/>
        <s v="S3153"/>
        <s v="S6994"/>
        <s v="S2233"/>
        <s v="S5332"/>
        <s v="S7086"/>
        <s v="S8606"/>
        <s v="S2902"/>
        <s v="S3531"/>
        <s v="S8264"/>
        <s v="S4109"/>
        <s v="S6464"/>
        <s v="S4817"/>
        <s v="S3858"/>
        <s v="S5347"/>
        <s v="S6931"/>
        <s v="S5941"/>
        <s v="S2323"/>
        <s v="S9692"/>
        <s v="S4522"/>
        <s v="S7992"/>
        <s v="S8075"/>
        <s v="S3002"/>
        <s v="S2697"/>
        <s v="S2882"/>
        <s v="S5381"/>
        <s v="S7566"/>
        <s v="S8432"/>
        <s v="S2391"/>
        <s v="S7947"/>
        <s v="S5640"/>
        <s v="S4349"/>
        <s v="S8055"/>
        <s v="S6802"/>
        <s v="S8033"/>
        <s v="S8538"/>
        <s v="S2288"/>
        <s v="S2868"/>
        <s v="S5193"/>
        <s v="S8601"/>
        <s v="S3473"/>
        <s v="S9312"/>
        <s v="S2479"/>
        <s v="S4084"/>
        <s v="S2381"/>
        <s v="S3600"/>
        <s v="S6482"/>
        <s v="S3463"/>
        <s v="S2388"/>
        <s v="S7937"/>
        <s v="S4711"/>
        <s v="S6517"/>
        <s v="S3712"/>
        <s v="S8355"/>
        <s v="S5616"/>
        <s v="S7081"/>
        <s v="S8361"/>
        <s v="S7495"/>
        <s v="S2623"/>
        <s v="S8685"/>
        <s v="S7934"/>
        <s v="S8489"/>
        <s v="S3352"/>
        <s v="S2402"/>
        <s v="S8702"/>
        <s v="S4950"/>
        <s v="S3868"/>
        <s v="S5807"/>
        <s v="S5150"/>
        <s v="S7029"/>
        <s v="S9507"/>
        <s v="S5813"/>
        <s v="S7981"/>
        <s v="S1939"/>
        <s v="S8179"/>
        <s v="S3513"/>
        <s v="S7521"/>
        <s v="S2929"/>
        <s v="S3009"/>
        <s v="S6236"/>
        <s v="S6922"/>
        <s v="S7044"/>
        <s v="S7730"/>
        <s v="S6644"/>
        <s v="S3697"/>
        <s v="S4216"/>
        <s v="S3526"/>
        <s v="S4453"/>
        <s v="S5949"/>
        <s v="S8202"/>
        <s v="S6658"/>
        <s v="S5382"/>
        <s v="S3616"/>
        <s v="S6055"/>
        <s v="S6781"/>
        <s v="S2761"/>
        <s v="S4189"/>
        <s v="S2946"/>
        <s v="S9341"/>
        <s v="S8487"/>
        <s v="S6511"/>
        <s v="S2795"/>
        <s v="S1841"/>
        <s v="S4968"/>
        <s v="S4340"/>
        <s v="S8837"/>
        <s v="S5331"/>
        <s v="S5735"/>
        <s v="S2996"/>
        <s v="S8247"/>
        <s v="S5450"/>
        <s v="S4814"/>
        <s v="S3587"/>
        <s v="S2465"/>
        <s v="S9116"/>
        <s v="S8444"/>
        <s v="S3662"/>
        <s v="S5833"/>
        <s v="S7567"/>
        <s v="S4858"/>
        <s v="S6890"/>
        <s v="S9233"/>
        <s v="S3188"/>
        <s v="S4578"/>
        <s v="S2011"/>
        <s v="S2904"/>
        <s v="S3161"/>
        <s v="S1356"/>
        <s v="S2044"/>
        <s v="S7887"/>
        <s v="S6697"/>
        <s v="S1372"/>
        <s v="S8546"/>
        <s v="S1256"/>
        <s v="S1724"/>
        <s v="S6224"/>
        <s v="S5508"/>
        <s v="S7244"/>
        <s v="S9813"/>
        <s v="S7824"/>
        <s v="S8369"/>
        <s v="S1647"/>
        <s v="S1251"/>
        <s v="S4921"/>
        <s v="S9401"/>
        <s v="S4625"/>
        <s v="S3497"/>
        <s v="S6530"/>
        <s v="S9954"/>
        <s v="S3252"/>
        <s v="S8916"/>
        <s v="S5697"/>
        <s v="S9625"/>
        <s v="S4700"/>
        <s v="S1919"/>
        <s v="S2562"/>
        <s v="S2218"/>
        <s v="S4394"/>
        <s v="S7375"/>
        <s v="S2600"/>
        <s v="S5478"/>
        <s v="S7227"/>
        <s v="S7383"/>
        <s v="S2468"/>
        <s v="S2387"/>
        <s v="S5933"/>
        <s v="S2260"/>
        <s v="S5991"/>
        <s v="S3230"/>
        <s v="S9044"/>
        <s v="S9939"/>
        <s v="S2133"/>
        <s v="S7176"/>
        <s v="S1602"/>
        <s v="S1725"/>
        <s v="S9499"/>
        <s v="S6651"/>
        <s v="S6110"/>
        <s v="S8412"/>
        <s v="S3692"/>
        <s v="S8570"/>
        <s v="S4232"/>
        <s v="S2025"/>
        <s v="S9019"/>
        <s v="S8501"/>
        <s v="S2931"/>
        <s v="S3258"/>
        <s v="S3838"/>
        <s v="S1878"/>
        <s v="S7703"/>
        <s v="S4613"/>
        <s v="S9115"/>
        <s v="S8231"/>
        <s v="S2425"/>
        <s v="S8015"/>
        <s v="S9827"/>
        <s v="S2560"/>
        <s v="S6277"/>
        <s v="S8405"/>
        <s v="S1040"/>
        <s v="S9756"/>
        <s v="S9967"/>
        <s v="S8529"/>
        <s v="S5945"/>
        <s v="S1848"/>
        <s v="S4496"/>
        <s v="S6629"/>
        <s v="S2678"/>
        <s v="S2120"/>
        <s v="S7745"/>
        <s v="S8035"/>
        <s v="S5668"/>
        <s v="S7418"/>
        <s v="S2163"/>
        <s v="S3830"/>
        <s v="S1990"/>
        <s v="S9808"/>
        <s v="S6353"/>
        <s v="S8118"/>
        <s v="S3248"/>
        <s v="S7092"/>
        <s v="S5308"/>
        <s v="S7024"/>
        <s v="S1721"/>
        <s v="S1579"/>
        <s v="S7108"/>
        <s v="S5625"/>
        <s v="S5979"/>
        <s v="S5016"/>
        <s v="S6488"/>
        <s v="S1981"/>
        <s v="S8126"/>
        <s v="S8417"/>
        <s v="S8365"/>
        <s v="S2964"/>
        <s v="S6370"/>
        <s v="S5262"/>
        <s v="S2669"/>
        <s v="S2376"/>
        <s v="S6432"/>
        <s v="S1483"/>
        <s v="S3435"/>
        <s v="S5583"/>
        <s v="S1319"/>
        <s v="S5430"/>
        <s v="S6856"/>
        <s v="S1462"/>
        <s v="S6063"/>
        <s v="S8831"/>
        <s v="S1359"/>
        <s v="S2655"/>
        <s v="S8982"/>
        <s v="S3872"/>
        <s v="S1530"/>
        <s v="S2274"/>
        <s v="S4435"/>
        <s v="S7875"/>
        <s v="S4695"/>
        <s v="S6600"/>
        <s v="S1507"/>
        <s v="S4112"/>
        <s v="S9043"/>
        <s v="S8869"/>
        <s v="S2892"/>
        <s v="S4029"/>
        <s v="S4706"/>
        <s v="S4727"/>
        <s v="S5896"/>
        <s v="S4471"/>
        <s v="S5225"/>
        <s v="S8506"/>
        <s v="S2641"/>
        <s v="S8750"/>
        <s v="S7581"/>
        <s v="S6535"/>
        <s v="S8259"/>
        <s v="S7671"/>
        <s v="S9303"/>
        <s v="S1944"/>
        <s v="S8605"/>
        <s v="S3909"/>
        <s v="S1813"/>
        <s v="S1328"/>
        <s v="S5135"/>
        <s v="S8646"/>
        <s v="S5631"/>
        <s v="S5895"/>
        <s v="S3292"/>
        <s v="S1578"/>
        <s v="S8794"/>
        <s v="S8713"/>
        <s v="S6820"/>
        <s v="S2963"/>
        <s v="S7704"/>
        <s v="S3897"/>
        <s v="S2442"/>
        <s v="S9745"/>
        <s v="S5076"/>
        <s v="S2069"/>
        <s v="S3192"/>
        <s v="S3149"/>
        <s v="S1612"/>
        <s v="S1323"/>
        <s v="S3508"/>
        <s v="S3247"/>
        <s v="S4254"/>
        <s v="S9980"/>
        <s v="S2809"/>
        <s v="S8483"/>
        <s v="S6123"/>
        <s v="S8171"/>
        <s v="S8479"/>
        <s v="S1960"/>
        <s v="S6875"/>
        <s v="S2037"/>
        <s v="S6542"/>
        <s v="S1894"/>
        <s v="S4946"/>
        <s v="S8521"/>
        <s v="S2681"/>
        <s v="S5990"/>
        <s v="S8445"/>
        <s v="S1035"/>
        <s v="S3689"/>
        <s v="S7437"/>
        <s v="S3018"/>
        <s v="S1795"/>
        <s v="S7347"/>
        <s v="S6617"/>
        <s v="S6143"/>
        <s v="S3173"/>
        <s v="S6771"/>
        <s v="S7920"/>
        <s v="S3636"/>
        <s v="S8415"/>
        <s v="S1769"/>
        <s v="S8353"/>
        <s v="S5572"/>
        <s v="S3536"/>
        <s v="S9037"/>
        <s v="S9276"/>
        <s v="S6437"/>
        <s v="S2879"/>
        <s v="S6258"/>
        <s v="S7143"/>
        <s v="S2572"/>
        <s v="S2702"/>
        <s v="S2433"/>
        <s v="S5237"/>
        <s v="S9762"/>
        <s v="S5748"/>
        <s v="S8765"/>
        <s v="S7113"/>
        <s v="S2394"/>
        <s v="S4617"/>
        <s v="S9992"/>
        <s v="S6420"/>
        <s v="S8960"/>
        <s v="S6182"/>
        <s v="S2343"/>
        <s v="S1305"/>
        <s v="S9904"/>
        <s v="S5767"/>
        <s v="S4913"/>
        <s v="S3395"/>
        <s v="S4834"/>
        <s v="S6309"/>
        <s v="S7201"/>
        <s v="S6653"/>
        <s v="S5600"/>
        <s v="S6410"/>
        <s v="S7732"/>
        <s v="S1642"/>
        <s v="S6614"/>
        <s v="S9263"/>
        <s v="S9706"/>
        <s v="S8069"/>
        <s v="S5223"/>
        <s v="S6175"/>
        <s v="S9783"/>
        <s v="S8904"/>
        <s v="S7522"/>
        <s v="S7562"/>
        <s v="S8133"/>
        <s v="S7564"/>
        <s v="S9489"/>
        <s v="S1590"/>
        <s v="S7474"/>
        <s v="S6703"/>
        <s v="S3867"/>
        <s v="S5222"/>
        <s v="S6565"/>
        <s v="S4610"/>
        <s v="S5706"/>
        <s v="S4580"/>
        <s v="S5348"/>
        <s v="S2285"/>
        <s v="S5501"/>
        <s v="S7933"/>
        <s v="S9490"/>
        <s v="S6331"/>
        <s v="S6621"/>
        <s v="S7563"/>
        <s v="S5422"/>
        <s v="S7906"/>
        <s v="S5111"/>
        <s v="S2577"/>
        <s v="S1324"/>
        <s v="S3859"/>
        <s v="S5694"/>
        <s v="S2168"/>
        <s v="S7479"/>
        <s v="S1378"/>
        <s v="S2687"/>
        <s v="S5300"/>
        <s v="S3071"/>
        <s v="S5463"/>
        <s v="S7753"/>
        <s v="S9767"/>
        <s v="S1118"/>
        <s v="S7385"/>
        <s v="S5454"/>
        <s v="S9764"/>
        <s v="S2477"/>
        <s v="S8597"/>
        <s v="S9899"/>
        <s v="S8257"/>
        <s v="S3001"/>
        <s v="S2850"/>
        <s v="S4982"/>
        <s v="S3583"/>
        <s v="S3521"/>
        <s v="S6690"/>
        <s v="S8168"/>
        <s v="S8674"/>
        <s v="S7014"/>
        <s v="S6965"/>
        <s v="S3525"/>
        <s v="S2092"/>
        <s v="S7366"/>
        <s v="S2161"/>
        <s v="S7814"/>
        <s v="S4537"/>
        <s v="S5075"/>
        <s v="S6864"/>
        <s v="S6529"/>
        <s v="S7090"/>
        <s v="S5162"/>
        <s v="S9480"/>
        <s v="S9376"/>
        <s v="S5093"/>
        <s v="S6319"/>
        <s v="S1187"/>
        <s v="S6354"/>
        <s v="S4638"/>
        <s v="S1807"/>
        <s v="S3209"/>
        <s v="S9589"/>
        <s v="S2843"/>
        <s v="S1396"/>
        <s v="S4825"/>
        <s v="S3419"/>
        <s v="S9814"/>
        <s v="S1301"/>
        <s v="S1869"/>
        <s v="S7332"/>
        <s v="S4258"/>
        <s v="S6465"/>
        <s v="S4869"/>
        <s v="S6599"/>
        <s v="S7837"/>
        <s v="S3270"/>
        <s v="S3378"/>
        <s v="S3155"/>
        <s v="S4804"/>
        <s v="S7126"/>
        <s v="S1245"/>
        <s v="S6323"/>
        <s v="S9784"/>
        <s v="S7481"/>
        <s v="S3330"/>
        <s v="S7440"/>
        <s v="S8362"/>
        <s v="S7235"/>
        <s v="S1840"/>
        <s v="S4323"/>
        <s v="S9084"/>
        <s v="S1107"/>
        <s v="S1902"/>
        <s v="S6424"/>
        <s v="S3906"/>
        <s v="S8001"/>
        <s v="S9635"/>
        <s v="S2436"/>
        <s v="S3125"/>
        <s v="S1025"/>
        <s v="S6728"/>
        <s v="S5919"/>
        <s v="S1477"/>
        <s v="S3224"/>
        <s v="S1917"/>
        <s v="S6434"/>
        <s v="S3719"/>
        <s v="S7780"/>
        <s v="S2838"/>
        <s v="S9192"/>
        <s v="S2609"/>
        <s v="S6119"/>
        <s v="S6228"/>
        <s v="S9422"/>
        <s v="S5011"/>
        <s v="S1475"/>
        <s v="S8304"/>
        <s v="S3159"/>
        <s v="S4666"/>
        <s v="S8987"/>
        <s v="S6711"/>
        <s v="S2162"/>
        <s v="S8903"/>
        <s v="S6606"/>
        <s v="S2599"/>
        <s v="S7208"/>
        <s v="S1003"/>
        <s v="S4369"/>
        <s v="S1133"/>
        <s v="S6885"/>
        <s v="S7271"/>
        <s v="S7301"/>
        <s v="S1257"/>
        <s v="S8471"/>
        <s v="S6821"/>
        <s v="S9220"/>
        <s v="S7038"/>
        <s v="S9469"/>
        <s v="S6431"/>
        <s v="S5267"/>
        <s v="S5699"/>
        <s v="S5509"/>
        <s v="S3873"/>
        <s v="S9724"/>
        <s v="S5731"/>
        <s v="S6797"/>
        <s v="S8554"/>
        <s v="S9972"/>
        <s v="S8306"/>
        <s v="S1931"/>
        <s v="S4027"/>
        <s v="S5528"/>
        <s v="S1984"/>
        <s v="S9061"/>
        <s v="S1571"/>
        <s v="S1014"/>
        <s v="S9039"/>
        <s v="S9770"/>
        <s v="S6571"/>
        <s v="S1584"/>
        <s v="S6041"/>
        <s v="S2936"/>
        <s v="S3319"/>
        <s v="S1818"/>
        <s v="S9145"/>
        <s v="S9943"/>
        <s v="S7801"/>
        <s v="S7162"/>
        <s v="S5648"/>
        <s v="S4919"/>
        <s v="S5934"/>
        <s v="S6929"/>
        <s v="S8772"/>
        <s v="S5118"/>
        <s v="S9436"/>
        <s v="S6336"/>
        <s v="S4615"/>
        <s v="S3917"/>
        <s v="S3084"/>
        <s v="S4763"/>
        <s v="S1237"/>
        <s v="S3440"/>
        <s v="S7460"/>
        <s v="S7662"/>
        <s v="S5994"/>
        <s v="S7641"/>
        <s v="S6454"/>
        <s v="S4393"/>
        <s v="S1844"/>
        <s v="S2097"/>
        <s v="S4437"/>
        <s v="S9730"/>
        <s v="S2313"/>
        <s v="S3465"/>
        <s v="S8272"/>
        <s v="S6503"/>
        <s v="S8503"/>
        <s v="S1775"/>
        <s v="S3986"/>
        <s v="S5266"/>
        <s v="S8347"/>
        <s v="S8504"/>
        <s v="S3409"/>
        <s v="S6047"/>
        <s v="S4197"/>
        <s v="S2431"/>
        <s v="S6915"/>
        <s v="S6756"/>
        <s v="S8249"/>
        <s v="S2410"/>
        <s v="S1108"/>
        <s v="S4047"/>
        <s v="S8593"/>
        <s v="S5713"/>
        <s v="S5541"/>
        <s v="S8799"/>
        <s v="S1958"/>
        <s v="S6832"/>
        <s v="S2548"/>
        <s v="S6939"/>
        <s v="S8944"/>
        <s v="S9612"/>
        <s v="S6104"/>
        <s v="S2943"/>
        <s v="S2287"/>
        <s v="S9412"/>
        <s v="S2581"/>
        <s v="S5544"/>
        <s v="S2119"/>
        <s v="S2616"/>
        <s v="S7948"/>
        <s v="S9123"/>
        <s v="S8486"/>
        <s v="S2140"/>
        <s v="S2392"/>
        <s v="S6959"/>
        <s v="S9177"/>
        <s v="S5569"/>
        <s v="S3205"/>
        <s v="S6356"/>
        <s v="S8635"/>
        <s v="S9856"/>
        <s v="S8531"/>
        <s v="S8697"/>
        <s v="S6779"/>
        <s v="S6591"/>
        <s v="S5056"/>
        <s v="S9821"/>
        <s v="S8695"/>
        <s v="S9001"/>
        <s v="S6952"/>
        <s v="S1778"/>
        <s v="S9846"/>
        <s v="S9971"/>
        <s v="S8656"/>
        <s v="S3631"/>
        <s v="S6087"/>
        <s v="S3235"/>
        <s v="S1326"/>
        <s v="S9133"/>
        <s v="S4865"/>
        <s v="S5550"/>
        <s v="S1895"/>
        <s v="S9763"/>
        <s v="S4446"/>
        <s v="S9055"/>
        <s v="S7895"/>
        <s v="S3229"/>
        <s v="S9460"/>
        <s v="S3842"/>
        <s v="S7182"/>
        <s v="S3764"/>
        <s v="S2922"/>
        <s v="S9096"/>
        <s v="S7853"/>
        <s v="S5068"/>
        <s v="S4476"/>
        <s v="S1962"/>
        <s v="S5155"/>
        <s v="S3938"/>
        <s v="S9690"/>
        <s v="S6907"/>
        <s v="S9049"/>
        <s v="S8704"/>
        <s v="S8949"/>
        <s v="S3757"/>
        <s v="S7822"/>
        <s v="S7458"/>
        <s v="S8439"/>
        <s v="S3118"/>
        <s v="S2516"/>
        <s v="S7365"/>
        <s v="S6080"/>
        <s v="S7358"/>
        <s v="S4053"/>
        <s v="S3540"/>
        <s v="S5921"/>
        <s v="S9366"/>
        <s v="S5175"/>
        <s v="S7438"/>
        <s v="S5342"/>
        <s v="S8107"/>
        <s v="S7637"/>
        <s v="S3049"/>
        <s v="S8364"/>
        <s v="S2682"/>
        <s v="S1606"/>
        <s v="S1994"/>
        <s v="S8755"/>
        <s v="S4149"/>
        <s v="S8675"/>
        <s v="S3654"/>
        <s v="S9063"/>
        <s v="S5273"/>
        <s v="S4714"/>
        <s v="S3476"/>
        <s v="S5786"/>
        <s v="S5698"/>
        <s v="S5021"/>
        <s v="S6927"/>
        <s v="S9516"/>
        <s v="S8244"/>
        <s v="S9541"/>
        <s v="S3043"/>
        <s v="S9737"/>
        <s v="S7187"/>
        <s v="S2605"/>
        <s v="S8309"/>
        <s v="S5320"/>
        <s v="S3668"/>
        <s v="S4483"/>
        <s v="S2980"/>
        <s v="S5816"/>
        <s v="S3999"/>
        <s v="S6074"/>
        <s v="S8551"/>
        <s v="S7478"/>
        <s v="S6060"/>
        <s v="S1866"/>
        <s v="S4371"/>
        <s v="S1381"/>
        <s v="S2878"/>
        <s v="S7672"/>
        <s v="S7388"/>
        <s v="S4318"/>
        <s v="S8615"/>
        <s v="S2663"/>
        <s v="S4333"/>
        <s v="S1016"/>
        <s v="S7228"/>
        <s v="S2145"/>
        <s v="S9270"/>
        <s v="S6597"/>
        <s v="S8807"/>
        <s v="S2329"/>
        <s v="S4629"/>
        <s v="S4623"/>
        <s v="S7489"/>
        <s v="S3875"/>
        <s v="S9570"/>
        <s v="S7997"/>
        <s v="S8644"/>
        <s v="S6181"/>
        <s v="S7943"/>
        <s v="S1456"/>
        <s v="S6583"/>
        <s v="S8314"/>
        <s v="S3089"/>
        <s v="S1914"/>
        <s v="S1173"/>
        <s v="S1425"/>
        <s v="S4172"/>
        <s v="S4046"/>
        <s v="S6861"/>
        <s v="S1132"/>
        <s v="S4282"/>
        <s v="S6425"/>
        <s v="S1691"/>
        <s v="S8876"/>
        <s v="S1162"/>
        <s v="S6896"/>
        <s v="S5029"/>
        <s v="S3807"/>
        <s v="S9725"/>
        <s v="S4098"/>
        <s v="S9011"/>
        <s v="S9342"/>
        <s v="S9106"/>
        <s v="S4596"/>
        <s v="S3575"/>
        <s v="S4771"/>
        <s v="S7700"/>
        <s v="S5351"/>
        <s v="S6394"/>
        <s v="S5278"/>
        <s v="S8733"/>
        <s v="S8679"/>
        <s v="S8187"/>
        <s v="S6810"/>
        <s v="S1380"/>
        <s v="S7404"/>
        <s v="S8397"/>
        <s v="S9005"/>
        <s v="S9591"/>
        <s v="S3572"/>
        <s v="S9232"/>
        <s v="S5044"/>
        <s v="S8476"/>
        <s v="S8079"/>
        <s v="S7041"/>
        <s v="S1731"/>
        <s v="S1618"/>
        <s v="S2352"/>
        <s v="S1295"/>
        <s v="S1183"/>
        <s v="S9721"/>
        <s v="S1076"/>
        <s v="S1457"/>
        <s v="S7810"/>
        <s v="S9875"/>
        <s v="S7588"/>
        <s v="S5562"/>
        <s v="S2668"/>
        <s v="S7264"/>
        <s v="S3032"/>
        <s v="S9171"/>
        <s v="S8270"/>
        <s v="S5726"/>
        <s v="S2058"/>
        <s v="S4236"/>
        <s v="S4299"/>
        <s v="S9278"/>
        <s v="S5918"/>
        <s v="S7146"/>
        <s v="S4106"/>
        <s v="S9020"/>
        <s v="S8148"/>
        <s v="S7313"/>
        <s v="S3422"/>
        <s v="S3644"/>
        <s v="S4093"/>
        <s v="S6642"/>
        <s v="S9056"/>
        <s v="S8060"/>
        <s v="S2806"/>
      </sharedItems>
    </cacheField>
    <cacheField name="seller_rating" numFmtId="0">
      <sharedItems containsSemiMixedTypes="0" containsString="0" containsNumber="1" minValue="2.5" maxValue="5" count="26">
        <n v="4.3"/>
        <n v="4.9000000000000004"/>
        <n v="3.1"/>
        <n v="2.6"/>
        <n v="5"/>
        <n v="3.3"/>
        <n v="3.8"/>
        <n v="3.2"/>
        <n v="2.9"/>
        <n v="4.2"/>
        <n v="3.5"/>
        <n v="3.9"/>
        <n v="4.0999999999999996"/>
        <n v="2.5"/>
        <n v="4.5999999999999996"/>
        <n v="3"/>
        <n v="2.7"/>
        <n v="4.4000000000000004"/>
        <n v="3.4"/>
        <n v="4.7"/>
        <n v="4.5"/>
        <n v="2.8"/>
        <n v="3.7"/>
        <n v="3.6"/>
        <n v="4.8"/>
        <n v="4"/>
      </sharedItems>
    </cacheField>
    <cacheField name="purchase_date" numFmtId="14">
      <sharedItems containsSemiMixedTypes="0" containsNonDate="0" containsDate="1" containsString="0" minDate="2024-03-31T00:00:00" maxDate="2026-03-31T00:00:00" count="532">
        <d v="2025-03-04T00:00:00"/>
        <d v="2025-12-12T00:00:00"/>
        <d v="2024-04-25T00:00:00"/>
        <d v="2025-12-18T00:00:00"/>
        <d v="2024-05-16T00:00:00"/>
        <d v="2025-07-13T00:00:00"/>
        <d v="2026-02-10T00:00:00"/>
        <d v="2024-05-27T00:00:00"/>
        <d v="2024-11-03T00:00:00"/>
        <d v="2024-12-27T00:00:00"/>
        <d v="2025-11-02T00:00:00"/>
        <d v="2025-11-29T00:00:00"/>
        <d v="2025-08-17T00:00:00"/>
        <d v="2024-09-01T00:00:00"/>
        <d v="2026-03-05T00:00:00"/>
        <d v="2024-06-29T00:00:00"/>
        <d v="2024-09-16T00:00:00"/>
        <d v="2026-03-09T00:00:00"/>
        <d v="2025-02-26T00:00:00"/>
        <d v="2024-09-15T00:00:00"/>
        <d v="2024-05-23T00:00:00"/>
        <d v="2025-11-09T00:00:00"/>
        <d v="2025-07-22T00:00:00"/>
        <d v="2025-01-23T00:00:00"/>
        <d v="2025-05-26T00:00:00"/>
        <d v="2024-12-15T00:00:00"/>
        <d v="2025-07-29T00:00:00"/>
        <d v="2024-12-21T00:00:00"/>
        <d v="2026-01-13T00:00:00"/>
        <d v="2025-03-06T00:00:00"/>
        <d v="2025-04-27T00:00:00"/>
        <d v="2025-11-10T00:00:00"/>
        <d v="2024-05-24T00:00:00"/>
        <d v="2024-06-11T00:00:00"/>
        <d v="2026-01-20T00:00:00"/>
        <d v="2024-08-25T00:00:00"/>
        <d v="2024-08-23T00:00:00"/>
        <d v="2025-11-11T00:00:00"/>
        <d v="2025-04-29T00:00:00"/>
        <d v="2024-10-04T00:00:00"/>
        <d v="2024-10-17T00:00:00"/>
        <d v="2024-12-31T00:00:00"/>
        <d v="2024-06-15T00:00:00"/>
        <d v="2025-02-05T00:00:00"/>
        <d v="2025-12-10T00:00:00"/>
        <d v="2024-07-15T00:00:00"/>
        <d v="2024-08-11T00:00:00"/>
        <d v="2025-01-14T00:00:00"/>
        <d v="2025-02-17T00:00:00"/>
        <d v="2024-06-25T00:00:00"/>
        <d v="2025-09-22T00:00:00"/>
        <d v="2024-07-08T00:00:00"/>
        <d v="2025-12-04T00:00:00"/>
        <d v="2025-06-27T00:00:00"/>
        <d v="2025-10-13T00:00:00"/>
        <d v="2025-09-16T00:00:00"/>
        <d v="2025-09-04T00:00:00"/>
        <d v="2024-04-04T00:00:00"/>
        <d v="2025-12-01T00:00:00"/>
        <d v="2024-04-13T00:00:00"/>
        <d v="2024-04-18T00:00:00"/>
        <d v="2024-10-11T00:00:00"/>
        <d v="2024-08-18T00:00:00"/>
        <d v="2024-12-24T00:00:00"/>
        <d v="2025-05-24T00:00:00"/>
        <d v="2024-05-05T00:00:00"/>
        <d v="2025-12-31T00:00:00"/>
        <d v="2026-02-26T00:00:00"/>
        <d v="2025-11-01T00:00:00"/>
        <d v="2026-01-11T00:00:00"/>
        <d v="2024-10-09T00:00:00"/>
        <d v="2025-06-30T00:00:00"/>
        <d v="2024-04-21T00:00:00"/>
        <d v="2024-05-26T00:00:00"/>
        <d v="2025-01-17T00:00:00"/>
        <d v="2025-04-13T00:00:00"/>
        <d v="2025-10-03T00:00:00"/>
        <d v="2026-03-03T00:00:00"/>
        <d v="2024-09-18T00:00:00"/>
        <d v="2024-05-04T00:00:00"/>
        <d v="2026-01-22T00:00:00"/>
        <d v="2024-06-05T00:00:00"/>
        <d v="2025-01-24T00:00:00"/>
        <d v="2024-08-02T00:00:00"/>
        <d v="2025-07-15T00:00:00"/>
        <d v="2025-06-01T00:00:00"/>
        <d v="2025-01-20T00:00:00"/>
        <d v="2025-03-22T00:00:00"/>
        <d v="2026-01-27T00:00:00"/>
        <d v="2025-01-19T00:00:00"/>
        <d v="2024-07-28T00:00:00"/>
        <d v="2025-08-26T00:00:00"/>
        <d v="2024-08-20T00:00:00"/>
        <d v="2024-10-02T00:00:00"/>
        <d v="2025-11-26T00:00:00"/>
        <d v="2025-03-20T00:00:00"/>
        <d v="2025-08-11T00:00:00"/>
        <d v="2024-04-08T00:00:00"/>
        <d v="2026-03-07T00:00:00"/>
        <d v="2025-02-10T00:00:00"/>
        <d v="2024-11-18T00:00:00"/>
        <d v="2025-11-05T00:00:00"/>
        <d v="2025-09-08T00:00:00"/>
        <d v="2026-01-08T00:00:00"/>
        <d v="2025-07-06T00:00:00"/>
        <d v="2025-03-27T00:00:00"/>
        <d v="2025-07-10T00:00:00"/>
        <d v="2025-10-26T00:00:00"/>
        <d v="2024-06-21T00:00:00"/>
        <d v="2025-12-14T00:00:00"/>
        <d v="2025-03-17T00:00:00"/>
        <d v="2024-08-04T00:00:00"/>
        <d v="2025-10-23T00:00:00"/>
        <d v="2024-11-17T00:00:00"/>
        <d v="2025-11-22T00:00:00"/>
        <d v="2025-04-06T00:00:00"/>
        <d v="2025-12-06T00:00:00"/>
        <d v="2024-08-21T00:00:00"/>
        <d v="2024-06-07T00:00:00"/>
        <d v="2025-10-11T00:00:00"/>
        <d v="2025-08-05T00:00:00"/>
        <d v="2025-02-14T00:00:00"/>
        <d v="2024-07-03T00:00:00"/>
        <d v="2025-12-29T00:00:00"/>
        <d v="2025-08-19T00:00:00"/>
        <d v="2025-05-08T00:00:00"/>
        <d v="2026-02-09T00:00:00"/>
        <d v="2025-02-21T00:00:00"/>
        <d v="2025-12-16T00:00:00"/>
        <d v="2024-08-01T00:00:00"/>
        <d v="2025-11-18T00:00:00"/>
        <d v="2024-09-08T00:00:00"/>
        <d v="2024-10-14T00:00:00"/>
        <d v="2025-03-21T00:00:00"/>
        <d v="2024-06-17T00:00:00"/>
        <d v="2025-07-17T00:00:00"/>
        <d v="2024-12-14T00:00:00"/>
        <d v="2024-05-01T00:00:00"/>
        <d v="2025-08-20T00:00:00"/>
        <d v="2026-01-18T00:00:00"/>
        <d v="2024-09-27T00:00:00"/>
        <d v="2025-07-11T00:00:00"/>
        <d v="2024-11-26T00:00:00"/>
        <d v="2025-10-12T00:00:00"/>
        <d v="2025-08-07T00:00:00"/>
        <d v="2025-03-16T00:00:00"/>
        <d v="2024-10-12T00:00:00"/>
        <d v="2025-08-30T00:00:00"/>
        <d v="2025-09-24T00:00:00"/>
        <d v="2025-09-11T00:00:00"/>
        <d v="2024-08-05T00:00:00"/>
        <d v="2025-01-26T00:00:00"/>
        <d v="2025-10-04T00:00:00"/>
        <d v="2025-07-23T00:00:00"/>
        <d v="2025-07-20T00:00:00"/>
        <d v="2025-05-30T00:00:00"/>
        <d v="2024-06-12T00:00:00"/>
        <d v="2024-04-24T00:00:00"/>
        <d v="2024-07-22T00:00:00"/>
        <d v="2025-02-04T00:00:00"/>
        <d v="2025-03-30T00:00:00"/>
        <d v="2025-11-25T00:00:00"/>
        <d v="2026-01-30T00:00:00"/>
        <d v="2025-07-08T00:00:00"/>
        <d v="2024-07-31T00:00:00"/>
        <d v="2024-08-24T00:00:00"/>
        <d v="2025-10-02T00:00:00"/>
        <d v="2024-04-06T00:00:00"/>
        <d v="2025-05-27T00:00:00"/>
        <d v="2024-04-29T00:00:00"/>
        <d v="2025-09-02T00:00:00"/>
        <d v="2024-09-10T00:00:00"/>
        <d v="2025-09-21T00:00:00"/>
        <d v="2026-01-16T00:00:00"/>
        <d v="2024-12-13T00:00:00"/>
        <d v="2026-02-23T00:00:00"/>
        <d v="2024-06-04T00:00:00"/>
        <d v="2025-06-05T00:00:00"/>
        <d v="2025-02-19T00:00:00"/>
        <d v="2024-04-17T00:00:00"/>
        <d v="2024-09-04T00:00:00"/>
        <d v="2024-06-30T00:00:00"/>
        <d v="2025-01-06T00:00:00"/>
        <d v="2024-04-23T00:00:00"/>
        <d v="2024-08-12T00:00:00"/>
        <d v="2024-07-06T00:00:00"/>
        <d v="2025-01-25T00:00:00"/>
        <d v="2024-09-24T00:00:00"/>
        <d v="2024-12-03T00:00:00"/>
        <d v="2024-12-28T00:00:00"/>
        <d v="2025-12-21T00:00:00"/>
        <d v="2025-10-31T00:00:00"/>
        <d v="2024-12-05T00:00:00"/>
        <d v="2026-03-08T00:00:00"/>
        <d v="2025-12-03T00:00:00"/>
        <d v="2025-10-01T00:00:00"/>
        <d v="2025-10-25T00:00:00"/>
        <d v="2025-02-28T00:00:00"/>
        <d v="2024-08-03T00:00:00"/>
        <d v="2025-07-26T00:00:00"/>
        <d v="2024-06-01T00:00:00"/>
        <d v="2024-07-13T00:00:00"/>
        <d v="2024-10-05T00:00:00"/>
        <d v="2026-01-25T00:00:00"/>
        <d v="2026-03-20T00:00:00"/>
        <d v="2024-09-12T00:00:00"/>
        <d v="2024-11-14T00:00:00"/>
        <d v="2025-02-25T00:00:00"/>
        <d v="2026-01-28T00:00:00"/>
        <d v="2024-11-30T00:00:00"/>
        <d v="2024-03-31T00:00:00"/>
        <d v="2026-02-13T00:00:00"/>
        <d v="2024-11-08T00:00:00"/>
        <d v="2024-04-28T00:00:00"/>
        <d v="2025-02-11T00:00:00"/>
        <d v="2025-01-07T00:00:00"/>
        <d v="2026-01-09T00:00:00"/>
        <d v="2026-02-24T00:00:00"/>
        <d v="2024-05-08T00:00:00"/>
        <d v="2024-11-16T00:00:00"/>
        <d v="2024-09-19T00:00:00"/>
        <d v="2026-03-21T00:00:00"/>
        <d v="2025-09-20T00:00:00"/>
        <d v="2026-03-01T00:00:00"/>
        <d v="2024-04-05T00:00:00"/>
        <d v="2025-07-25T00:00:00"/>
        <d v="2025-04-19T00:00:00"/>
        <d v="2024-10-31T00:00:00"/>
        <d v="2025-02-16T00:00:00"/>
        <d v="2025-03-01T00:00:00"/>
        <d v="2024-06-19T00:00:00"/>
        <d v="2025-06-19T00:00:00"/>
        <d v="2024-04-20T00:00:00"/>
        <d v="2026-03-10T00:00:00"/>
        <d v="2024-07-20T00:00:00"/>
        <d v="2024-09-07T00:00:00"/>
        <d v="2024-08-31T00:00:00"/>
        <d v="2025-06-09T00:00:00"/>
        <d v="2024-04-30T00:00:00"/>
        <d v="2025-12-27T00:00:00"/>
        <d v="2024-12-23T00:00:00"/>
        <d v="2026-01-12T00:00:00"/>
        <d v="2024-10-15T00:00:00"/>
        <d v="2025-03-25T00:00:00"/>
        <d v="2025-06-18T00:00:00"/>
        <d v="2025-12-22T00:00:00"/>
        <d v="2024-05-14T00:00:00"/>
        <d v="2025-01-28T00:00:00"/>
        <d v="2024-07-07T00:00:00"/>
        <d v="2025-04-02T00:00:00"/>
        <d v="2025-03-19T00:00:00"/>
        <d v="2024-07-27T00:00:00"/>
        <d v="2025-12-13T00:00:00"/>
        <d v="2025-09-09T00:00:00"/>
        <d v="2025-12-25T00:00:00"/>
        <d v="2025-11-12T00:00:00"/>
        <d v="2025-12-09T00:00:00"/>
        <d v="2024-04-02T00:00:00"/>
        <d v="2024-10-28T00:00:00"/>
        <d v="2024-11-22T00:00:00"/>
        <d v="2025-06-14T00:00:00"/>
        <d v="2024-09-17T00:00:00"/>
        <d v="2025-12-23T00:00:00"/>
        <d v="2025-09-17T00:00:00"/>
        <d v="2026-01-04T00:00:00"/>
        <d v="2025-03-31T00:00:00"/>
        <d v="2024-10-20T00:00:00"/>
        <d v="2026-01-03T00:00:00"/>
        <d v="2025-10-16T00:00:00"/>
        <d v="2025-05-20T00:00:00"/>
        <d v="2025-12-24T00:00:00"/>
        <d v="2026-03-17T00:00:00"/>
        <d v="2025-08-21T00:00:00"/>
        <d v="2024-06-13T00:00:00"/>
        <d v="2026-01-31T00:00:00"/>
        <d v="2024-07-09T00:00:00"/>
        <d v="2024-11-24T00:00:00"/>
        <d v="2025-06-02T00:00:00"/>
        <d v="2025-08-16T00:00:00"/>
        <d v="2025-07-24T00:00:00"/>
        <d v="2024-12-17T00:00:00"/>
        <d v="2024-11-29T00:00:00"/>
        <d v="2024-10-21T00:00:00"/>
        <d v="2025-10-10T00:00:00"/>
        <d v="2025-06-28T00:00:00"/>
        <d v="2024-09-02T00:00:00"/>
        <d v="2024-05-17T00:00:00"/>
        <d v="2024-04-22T00:00:00"/>
        <d v="2025-05-21T00:00:00"/>
        <d v="2024-05-30T00:00:00"/>
        <d v="2025-11-16T00:00:00"/>
        <d v="2026-02-27T00:00:00"/>
        <d v="2026-03-31T00:00:00"/>
        <d v="2025-07-09T00:00:00"/>
        <d v="2024-07-17T00:00:00"/>
        <d v="2024-08-19T00:00:00"/>
        <d v="2025-12-05T00:00:00"/>
        <d v="2024-06-23T00:00:00"/>
        <d v="2025-05-03T00:00:00"/>
        <d v="2026-02-18T00:00:00"/>
        <d v="2026-02-05T00:00:00"/>
        <d v="2025-08-10T00:00:00"/>
        <d v="2024-12-26T00:00:00"/>
        <d v="2026-03-22T00:00:00"/>
        <d v="2026-03-12T00:00:00"/>
        <d v="2024-10-13T00:00:00"/>
        <d v="2025-05-10T00:00:00"/>
        <d v="2025-05-15T00:00:00"/>
        <d v="2025-07-28T00:00:00"/>
        <d v="2026-01-29T00:00:00"/>
        <d v="2024-05-22T00:00:00"/>
        <d v="2025-05-05T00:00:00"/>
        <d v="2026-03-02T00:00:00"/>
        <d v="2024-07-12T00:00:00"/>
        <d v="2025-02-02T00:00:00"/>
        <d v="2026-03-04T00:00:00"/>
        <d v="2025-05-17T00:00:00"/>
        <d v="2025-11-04T00:00:00"/>
        <d v="2025-04-18T00:00:00"/>
        <d v="2024-09-25T00:00:00"/>
        <d v="2025-04-01T00:00:00"/>
        <d v="2026-02-02T00:00:00"/>
        <d v="2025-03-12T00:00:00"/>
        <d v="2024-05-31T00:00:00"/>
        <d v="2025-04-21T00:00:00"/>
        <d v="2025-06-16T00:00:00"/>
        <d v="2025-08-12T00:00:00"/>
        <d v="2025-01-03T00:00:00"/>
        <d v="2025-04-16T00:00:00"/>
        <d v="2025-01-10T00:00:00"/>
        <d v="2024-06-24T00:00:00"/>
        <d v="2025-06-17T00:00:00"/>
        <d v="2025-04-12T00:00:00"/>
        <d v="2024-07-19T00:00:00"/>
        <d v="2024-05-11T00:00:00"/>
        <d v="2025-09-26T00:00:00"/>
        <d v="2025-09-25T00:00:00"/>
        <d v="2024-04-01T00:00:00"/>
        <d v="2025-10-21T00:00:00"/>
        <d v="2025-02-06T00:00:00"/>
        <d v="2024-04-11T00:00:00"/>
        <d v="2024-07-23T00:00:00"/>
        <d v="2024-07-10T00:00:00"/>
        <d v="2026-03-15T00:00:00"/>
        <d v="2025-04-23T00:00:00"/>
        <d v="2025-03-09T00:00:00"/>
        <d v="2025-06-13T00:00:00"/>
        <d v="2024-08-29T00:00:00"/>
        <d v="2025-10-19T00:00:00"/>
        <d v="2025-09-28T00:00:00"/>
        <d v="2025-06-06T00:00:00"/>
        <d v="2025-04-14T00:00:00"/>
        <d v="2024-12-18T00:00:00"/>
        <d v="2025-06-12T00:00:00"/>
        <d v="2024-08-22T00:00:00"/>
        <d v="2024-05-09T00:00:00"/>
        <d v="2025-10-17T00:00:00"/>
        <d v="2024-09-22T00:00:00"/>
        <d v="2025-03-18T00:00:00"/>
        <d v="2024-10-27T00:00:00"/>
        <d v="2024-12-08T00:00:00"/>
        <d v="2024-12-10T00:00:00"/>
        <d v="2025-10-20T00:00:00"/>
        <d v="2025-05-28T00:00:00"/>
        <d v="2025-06-07T00:00:00"/>
        <d v="2025-03-24T00:00:00"/>
        <d v="2024-07-11T00:00:00"/>
        <d v="2024-08-10T00:00:00"/>
        <d v="2024-12-25T00:00:00"/>
        <d v="2025-09-13T00:00:00"/>
        <d v="2024-12-16T00:00:00"/>
        <d v="2024-07-05T00:00:00"/>
        <d v="2026-03-30T00:00:00"/>
        <d v="2025-07-27T00:00:00"/>
        <d v="2025-08-14T00:00:00"/>
        <d v="2024-11-06T00:00:00"/>
        <d v="2024-12-04T00:00:00"/>
        <d v="2025-02-03T00:00:00"/>
        <d v="2024-11-01T00:00:00"/>
        <d v="2024-06-16T00:00:00"/>
        <d v="2026-01-06T00:00:00"/>
        <d v="2025-06-26T00:00:00"/>
        <d v="2024-08-28T00:00:00"/>
        <d v="2025-02-24T00:00:00"/>
        <d v="2024-10-30T00:00:00"/>
        <d v="2024-06-08T00:00:00"/>
        <d v="2025-07-14T00:00:00"/>
        <d v="2024-10-19T00:00:00"/>
        <d v="2025-11-13T00:00:00"/>
        <d v="2024-04-14T00:00:00"/>
        <d v="2024-09-05T00:00:00"/>
        <d v="2026-01-02T00:00:00"/>
        <d v="2024-12-22T00:00:00"/>
        <d v="2025-05-22T00:00:00"/>
        <d v="2025-11-07T00:00:00"/>
        <d v="2025-10-18T00:00:00"/>
        <d v="2026-01-19T00:00:00"/>
        <d v="2024-11-13T00:00:00"/>
        <d v="2026-02-20T00:00:00"/>
        <d v="2024-12-19T00:00:00"/>
        <d v="2025-01-11T00:00:00"/>
        <d v="2025-09-05T00:00:00"/>
        <d v="2025-01-12T00:00:00"/>
        <d v="2026-03-25T00:00:00"/>
        <d v="2025-01-29T00:00:00"/>
        <d v="2024-09-20T00:00:00"/>
        <d v="2024-09-09T00:00:00"/>
        <d v="2025-08-23T00:00:00"/>
        <d v="2024-06-18T00:00:00"/>
        <d v="2025-11-30T00:00:00"/>
        <d v="2025-12-28T00:00:00"/>
        <d v="2026-02-03T00:00:00"/>
        <d v="2026-03-16T00:00:00"/>
        <d v="2025-07-01T00:00:00"/>
        <d v="2025-03-15T00:00:00"/>
        <d v="2025-10-07T00:00:00"/>
        <d v="2025-07-03T00:00:00"/>
        <d v="2024-08-08T00:00:00"/>
        <d v="2024-11-19T00:00:00"/>
        <d v="2024-07-29T00:00:00"/>
        <d v="2025-08-04T00:00:00"/>
        <d v="2026-02-22T00:00:00"/>
        <d v="2025-11-27T00:00:00"/>
        <d v="2025-09-15T00:00:00"/>
        <d v="2025-03-03T00:00:00"/>
        <d v="2026-01-26T00:00:00"/>
        <d v="2024-11-21T00:00:00"/>
        <d v="2025-10-14T00:00:00"/>
        <d v="2025-09-07T00:00:00"/>
        <d v="2025-08-09T00:00:00"/>
        <d v="2026-03-18T00:00:00"/>
        <d v="2025-07-05T00:00:00"/>
        <d v="2025-05-01T00:00:00"/>
        <d v="2025-01-04T00:00:00"/>
        <d v="2025-01-13T00:00:00"/>
        <d v="2024-08-14T00:00:00"/>
        <d v="2025-02-20T00:00:00"/>
        <d v="2024-10-06T00:00:00"/>
        <d v="2025-04-28T00:00:00"/>
        <d v="2024-06-09T00:00:00"/>
        <d v="2024-12-12T00:00:00"/>
        <d v="2025-04-07T00:00:00"/>
        <d v="2025-07-30T00:00:00"/>
        <d v="2024-04-26T00:00:00"/>
        <d v="2024-11-12T00:00:00"/>
        <d v="2025-02-22T00:00:00"/>
        <d v="2025-02-18T00:00:00"/>
        <d v="2025-08-03T00:00:00"/>
        <d v="2025-08-22T00:00:00"/>
        <d v="2026-02-01T00:00:00"/>
        <d v="2025-04-15T00:00:00"/>
        <d v="2026-02-11T00:00:00"/>
        <d v="2025-06-25T00:00:00"/>
        <d v="2025-09-01T00:00:00"/>
        <d v="2025-03-02T00:00:00"/>
        <d v="2024-05-19T00:00:00"/>
        <d v="2025-06-23T00:00:00"/>
        <d v="2025-03-28T00:00:00"/>
        <d v="2025-04-09T00:00:00"/>
        <d v="2024-09-23T00:00:00"/>
        <d v="2024-08-13T00:00:00"/>
        <d v="2024-07-14T00:00:00"/>
        <d v="2025-01-21T00:00:00"/>
        <d v="2024-11-07T00:00:00"/>
        <d v="2025-12-20T00:00:00"/>
        <d v="2026-03-29T00:00:00"/>
        <d v="2025-01-15T00:00:00"/>
        <d v="2025-08-06T00:00:00"/>
        <d v="2025-04-25T00:00:00"/>
        <d v="2025-04-22T00:00:00"/>
        <d v="2024-05-21T00:00:00"/>
        <d v="2024-06-20T00:00:00"/>
        <d v="2025-07-04T00:00:00"/>
        <d v="2024-08-09T00:00:00"/>
        <d v="2024-04-10T00:00:00"/>
        <d v="2025-05-14T00:00:00"/>
        <d v="2026-01-15T00:00:00"/>
        <d v="2024-12-06T00:00:00"/>
        <d v="2025-04-24T00:00:00"/>
        <d v="2025-04-11T00:00:00"/>
        <d v="2025-04-10T00:00:00"/>
        <d v="2025-08-29T00:00:00"/>
        <d v="2024-08-17T00:00:00"/>
        <d v="2025-09-12T00:00:00"/>
        <d v="2024-12-09T00:00:00"/>
        <d v="2025-11-20T00:00:00"/>
        <d v="2026-02-04T00:00:00"/>
        <d v="2024-04-19T00:00:00"/>
        <d v="2025-01-02T00:00:00"/>
        <d v="2026-02-07T00:00:00"/>
        <d v="2025-07-19T00:00:00"/>
        <d v="2026-03-14T00:00:00"/>
        <d v="2026-01-17T00:00:00"/>
        <d v="2024-06-28T00:00:00"/>
        <d v="2024-07-24T00:00:00"/>
        <d v="2026-01-14T00:00:00"/>
        <d v="2025-05-18T00:00:00"/>
        <d v="2025-02-13T00:00:00"/>
        <d v="2024-07-01T00:00:00"/>
        <d v="2024-11-25T00:00:00"/>
        <d v="2025-02-07T00:00:00"/>
        <d v="2024-05-18T00:00:00"/>
        <d v="2025-11-03T00:00:00"/>
        <d v="2025-06-08T00:00:00"/>
        <d v="2026-03-28T00:00:00"/>
        <d v="2025-10-15T00:00:00"/>
        <d v="2024-04-12T00:00:00"/>
        <d v="2025-05-31T00:00:00"/>
        <d v="2024-11-20T00:00:00"/>
        <d v="2025-02-27T00:00:00"/>
        <d v="2025-04-30T00:00:00"/>
        <d v="2024-08-16T00:00:00"/>
        <d v="2025-03-05T00:00:00"/>
        <d v="2025-04-03T00:00:00"/>
        <d v="2026-03-27T00:00:00"/>
        <d v="2024-05-20T00:00:00"/>
        <d v="2024-09-29T00:00:00"/>
        <d v="2025-12-15T00:00:00"/>
        <d v="2025-06-20T00:00:00"/>
        <d v="2024-09-28T00:00:00"/>
        <d v="2025-01-16T00:00:00"/>
        <d v="2024-04-16T00:00:00"/>
        <d v="2024-11-04T00:00:00"/>
        <d v="2026-02-08T00:00:00"/>
        <d v="2025-08-25T00:00:00"/>
        <d v="2025-06-21T00:00:00"/>
        <d v="2024-10-23T00:00:00"/>
        <d v="2025-12-17T00:00:00"/>
        <d v="2025-06-03T00:00:00"/>
        <d v="2025-07-21T00:00:00"/>
        <d v="2025-10-28T00:00:00"/>
        <d v="2024-09-06T00:00:00"/>
      </sharedItems>
    </cacheField>
    <cacheField name="shipping_time_days" numFmtId="0">
      <sharedItems containsSemiMixedTypes="0" containsString="0" containsNumber="1" containsInteger="1" minValue="1" maxValue="6" count="6">
        <n v="6"/>
        <n v="1"/>
        <n v="2"/>
        <n v="5"/>
        <n v="4"/>
        <n v="3"/>
      </sharedItems>
    </cacheField>
    <cacheField name="location" numFmtId="0">
      <sharedItems count="5">
        <s v="Bangalore"/>
        <s v="Delhi"/>
        <s v="Chennai"/>
        <s v="Mumbai"/>
        <s v="Hyderabad"/>
      </sharedItems>
    </cacheField>
    <cacheField name="device" numFmtId="0">
      <sharedItems count="3">
        <s v="Tablet"/>
        <s v="Mobile App"/>
        <s v="Web"/>
      </sharedItems>
    </cacheField>
    <cacheField name="payment_method" numFmtId="0">
      <sharedItems count="4">
        <s v="UPI"/>
        <s v="Credit Card"/>
        <s v="Debit Card"/>
        <s v="Cash on Delivery"/>
      </sharedItems>
    </cacheField>
    <cacheField name="is_returned" numFmtId="0">
      <sharedItems count="2">
        <b v="1"/>
        <b v="0"/>
      </sharedItems>
    </cacheField>
    <cacheField name="delivery_status" numFmtId="0">
      <sharedItems count="4">
        <s v="Returned"/>
        <s v="In Transit"/>
        <s v="Delayed"/>
        <s v="Delivered"/>
      </sharedItems>
    </cacheField>
    <cacheField name="discount_value" numFmtId="8">
      <sharedItems containsSemiMixedTypes="0" containsString="0" containsNumber="1" minValue="27.165696000000001" maxValue="29821.403364999998" count="1000">
        <n v="3461.2673460000001"/>
        <n v="498.42920400000003"/>
        <n v="3836.7809999999999"/>
        <n v="165.936723"/>
        <n v="5291.5713269999997"/>
        <n v="1085.853132"/>
        <n v="417.77025200000003"/>
        <n v="1201.0032659999999"/>
        <n v="894.48928599999999"/>
        <n v="323.73459000000003"/>
        <n v="1009.47252"/>
        <n v="4126.7526639999996"/>
        <n v="747.14322600000003"/>
        <n v="6785.9787539999998"/>
        <n v="753.45453699999996"/>
        <n v="4479.2748810000003"/>
        <n v="26873.471225000001"/>
        <n v="1793.931227"/>
        <n v="3175.3627289999999"/>
        <n v="6138.6189899999999"/>
        <n v="2256.0044360000002"/>
        <n v="1027.548254"/>
        <n v="671.50386100000003"/>
        <n v="29821.403364999998"/>
        <n v="268.32322499999998"/>
        <n v="1022.317569"/>
        <n v="4664.9928989999999"/>
        <n v="784.90530000000001"/>
        <n v="362.73750799999999"/>
        <n v="949.78624400000001"/>
        <n v="294.66854000000001"/>
        <n v="1349.5480480000001"/>
        <n v="3178.2335200000002"/>
        <n v="274.70574599999998"/>
        <n v="2181.1009880000001"/>
        <n v="1798.0031160000001"/>
        <n v="3096.6222720000001"/>
        <n v="2942.7687059999998"/>
        <n v="165.00676000000001"/>
        <n v="2423.4594459999998"/>
        <n v="666.32657200000006"/>
        <n v="1429.2906559999999"/>
        <n v="3384.6843100000001"/>
        <n v="2317.2739809999998"/>
        <n v="7545.4218300000002"/>
        <n v="17131.871360000001"/>
        <n v="5205.521874"/>
        <n v="163.17966000000001"/>
        <n v="642.50131299999998"/>
        <n v="3836.418392"/>
        <n v="1896.1871040000001"/>
        <n v="3551.63742"/>
        <n v="60.701464000000001"/>
        <n v="8122.3574250000001"/>
        <n v="703.16189999999995"/>
        <n v="649.26821399999994"/>
        <n v="414.60237000000001"/>
        <n v="550.563984"/>
        <n v="403.72906899999998"/>
        <n v="6571.5940979999996"/>
        <n v="2529.3290280000001"/>
        <n v="754.79326400000002"/>
        <n v="88.801900000000003"/>
        <n v="442.39314000000002"/>
        <n v="935.97056399999997"/>
        <n v="1358.3939459999999"/>
        <n v="823.92736300000001"/>
        <n v="1348.694776"/>
        <n v="2559.3618959999999"/>
        <n v="1481.083744"/>
        <n v="1830.54645"/>
        <n v="6553.5412800000004"/>
        <n v="2055.7035289999999"/>
        <n v="1583.1668999999999"/>
        <n v="331.86634600000002"/>
        <n v="1584.7315000000001"/>
        <n v="1643.9959839999999"/>
        <n v="971.54534000000001"/>
        <n v="958.200019"/>
        <n v="964.15438800000004"/>
        <n v="2724.83025"/>
        <n v="1003.758678"/>
        <n v="763.92125999999996"/>
        <n v="4234.1796780000004"/>
        <n v="851.57505300000003"/>
        <n v="12709.686900000001"/>
        <n v="4462.2351639999997"/>
        <n v="769.69503899999995"/>
        <n v="538.705872"/>
        <n v="12777.077889"/>
        <n v="13690.616733000001"/>
        <n v="4105.2076520000001"/>
        <n v="145.41316"/>
        <n v="8752.3964479999995"/>
        <n v="24665.428928000001"/>
        <n v="859.57573200000002"/>
        <n v="3695.8981829999998"/>
        <n v="508.16358000000002"/>
        <n v="2576.1417839999999"/>
        <n v="1066.514688"/>
        <n v="442.74397499999998"/>
        <n v="2032.137305"/>
        <n v="1323.7786880000001"/>
        <n v="314.82586800000001"/>
        <n v="633.75137500000005"/>
        <n v="6080.6191319999998"/>
        <n v="526.29118500000004"/>
        <n v="1813.398557"/>
        <n v="24543.434906999999"/>
        <n v="245.73438999999999"/>
        <n v="1886.8365879999999"/>
        <n v="1050.0927240000001"/>
        <n v="1638.6534919999999"/>
        <n v="2366.4087039999999"/>
        <n v="1326.8814600000001"/>
        <n v="27247.323179999999"/>
        <n v="1400.1809880000001"/>
        <n v="4887.8835900000004"/>
        <n v="594.42949499999997"/>
        <n v="6754.6100299999998"/>
        <n v="8725.0256079999999"/>
        <n v="717.88095399999997"/>
        <n v="2013.8930459999999"/>
        <n v="612.58163999999999"/>
        <n v="2799.2067179999999"/>
        <n v="302.29352999999998"/>
        <n v="70.769239999999996"/>
        <n v="4421.8009499999998"/>
        <n v="6559.5738250000004"/>
        <n v="516.28128300000003"/>
        <n v="5791.4573540000001"/>
        <n v="949.30661999999995"/>
        <n v="1485.5374959999999"/>
        <n v="3692.0012240000001"/>
        <n v="808.08799499999998"/>
        <n v="3000.3311979999999"/>
        <n v="671.06338200000005"/>
        <n v="1100.1241259999999"/>
        <n v="1088.3804479999999"/>
        <n v="2991.3979370000002"/>
        <n v="2282.325679"/>
        <n v="9495.6672949999993"/>
        <n v="1253.318544"/>
        <n v="1878.7223839999999"/>
        <n v="993.23112000000003"/>
        <n v="1217.442898"/>
        <n v="7723.6645669999998"/>
        <n v="714.50184000000002"/>
        <n v="8155.898655"/>
        <n v="930.82073600000001"/>
        <n v="2252.2819549999999"/>
        <n v="500.91168699999997"/>
        <n v="1474.1532139999999"/>
        <n v="957.23764500000004"/>
        <n v="3454.3877259999999"/>
        <n v="208.83828399999999"/>
        <n v="341.704882"/>
        <n v="752.84367199999997"/>
        <n v="3998.7901849999998"/>
        <n v="1160.2349850000001"/>
        <n v="2194.395207"/>
        <n v="1578.381527"/>
        <n v="333.67137500000001"/>
        <n v="3751.1565000000001"/>
        <n v="6300.0168839999997"/>
        <n v="1038.138271"/>
        <n v="1276.4912280000001"/>
        <n v="172.93640400000001"/>
        <n v="1179.2863950000001"/>
        <n v="2208.6990850000002"/>
        <n v="760.11498300000005"/>
        <n v="11412.000265000001"/>
        <n v="1293.0998219999999"/>
        <n v="696.05041200000005"/>
        <n v="2169.3949200000002"/>
        <n v="5080.4019200000002"/>
        <n v="4270.1906760000002"/>
        <n v="2979.3798539999998"/>
        <n v="5489.5187759999999"/>
        <n v="335.73884399999997"/>
        <n v="5212.51523"/>
        <n v="212.32753500000001"/>
        <n v="6055.31297"/>
        <n v="4340.480262"/>
        <n v="1679.495488"/>
        <n v="286.25806799999998"/>
        <n v="3476.7371560000001"/>
        <n v="980.59367999999995"/>
        <n v="996.52221199999997"/>
        <n v="1501.021508"/>
        <n v="5223.1527040000001"/>
        <n v="18322.996899999998"/>
        <n v="717.21693600000003"/>
        <n v="563.19451300000003"/>
        <n v="14021.785115999999"/>
        <n v="183.05555799999999"/>
        <n v="20699.909790000002"/>
        <n v="8532.1172160000006"/>
        <n v="1775.8446510000001"/>
        <n v="246.720111"/>
        <n v="5505.4497279999996"/>
        <n v="5143.1958269999996"/>
        <n v="1950.323789"/>
        <n v="1412.7270000000001"/>
        <n v="456.737818"/>
        <n v="2490.237556"/>
        <n v="1844.7013199999999"/>
        <n v="792.15779699999996"/>
        <n v="9193.9121279999999"/>
        <n v="3585.7421129999998"/>
        <n v="5197.7568439999995"/>
        <n v="62.216532000000001"/>
        <n v="1264.155072"/>
        <n v="7679.8839459999999"/>
        <n v="203.57341199999999"/>
        <n v="3320.3637720000002"/>
        <n v="5948.8779279999999"/>
        <n v="333.700085"/>
        <n v="13325.247409"/>
        <n v="2634.0227199999999"/>
        <n v="1223.98893"/>
        <n v="209.16784200000001"/>
        <n v="1784.229787"/>
        <n v="3524.8695440000001"/>
        <n v="414.00218799999999"/>
        <n v="5411.2917299999999"/>
        <n v="6805.3094460000002"/>
        <n v="639.64195099999995"/>
        <n v="14251.980960000001"/>
        <n v="1301.0153800000001"/>
        <n v="2559.9271680000002"/>
        <n v="2050.267656"/>
        <n v="716.36709599999995"/>
        <n v="913.35285899999997"/>
        <n v="2848.635237"/>
        <n v="4556.7078199999996"/>
        <n v="22272.106376"/>
        <n v="1732.0661190000001"/>
        <n v="1703.239789"/>
        <n v="120.57903"/>
        <n v="82.706500000000005"/>
        <n v="1964.7257079999999"/>
        <n v="438.21095500000001"/>
        <n v="1002.60942"/>
        <n v="1235.9474600000001"/>
        <n v="1034.6488340000001"/>
        <n v="1687.65147"/>
        <n v="307.89547199999998"/>
        <n v="13505.927776"/>
        <n v="1843.1840810000001"/>
        <n v="3748.5215459999999"/>
        <n v="1017.459548"/>
        <n v="799.45654500000001"/>
        <n v="1731.1057940000001"/>
        <n v="1498.03847"/>
        <n v="2090.5059000000001"/>
        <n v="2517.439425"/>
        <n v="16466.356032"/>
        <n v="410.32262400000002"/>
        <n v="1381.9795999999999"/>
        <n v="343.734846"/>
        <n v="893.74512600000003"/>
        <n v="893.38828799999999"/>
        <n v="9735.1248479999995"/>
        <n v="801.815336"/>
        <n v="6375.5837460000002"/>
        <n v="1780.3331840000001"/>
        <n v="316.75044100000002"/>
        <n v="8274.4118049999997"/>
        <n v="539.02274"/>
        <n v="657.99076200000002"/>
        <n v="168.35032200000001"/>
        <n v="392.68492199999997"/>
        <n v="659.55375000000004"/>
        <n v="2641.5306"/>
        <n v="2006.82645"/>
        <n v="16754.618855000001"/>
        <n v="5271.3787549999997"/>
        <n v="493.30955599999999"/>
        <n v="887.19935999999996"/>
        <n v="1875.5505920000001"/>
        <n v="8830.6711020000002"/>
        <n v="830.82141000000001"/>
        <n v="2993.8223659999999"/>
        <n v="1190.3646630000001"/>
        <n v="903.47745999999995"/>
        <n v="1211.24864"/>
        <n v="453.35784899999999"/>
        <n v="1487.372488"/>
        <n v="1061.58357"/>
        <n v="547.44802500000003"/>
        <n v="2352.0244050000001"/>
        <n v="1977.4273009999999"/>
        <n v="1373.612877"/>
        <n v="700.13043200000004"/>
        <n v="1205.0956590000001"/>
        <n v="421.519272"/>
        <n v="587.62425599999995"/>
        <n v="815.45025399999997"/>
        <n v="513.05811000000006"/>
        <n v="2896.674814"/>
        <n v="1014.158826"/>
        <n v="2368.1843640000002"/>
        <n v="6709.871967"/>
        <n v="2304.1479199999999"/>
        <n v="123.886628"/>
        <n v="5091.0569999999998"/>
        <n v="2576.4240119999999"/>
        <n v="14776.881015000001"/>
        <n v="581.63531399999999"/>
        <n v="1600.6678019999999"/>
        <n v="3255.335008"/>
        <n v="175.12518"/>
        <n v="2609.883472"/>
        <n v="5353.2776320000003"/>
        <n v="1137.0847060000001"/>
        <n v="1228.719476"/>
        <n v="342.94892800000002"/>
        <n v="210.925918"/>
        <n v="3684.15726"/>
        <n v="791.84156800000005"/>
        <n v="3085.1656499999999"/>
        <n v="476.00574599999999"/>
        <n v="7352.6339879999996"/>
        <n v="320.47873199999998"/>
        <n v="16258.896648"/>
        <n v="545.23696500000005"/>
        <n v="483.18206400000003"/>
        <n v="2135.6647840000001"/>
        <n v="2575.359813"/>
        <n v="968.75375599999995"/>
        <n v="1961.7606029999999"/>
        <n v="3751.1921160000002"/>
        <n v="3122.3454499999998"/>
        <n v="3063.9025190000002"/>
        <n v="270.12840799999998"/>
        <n v="15546.887183999999"/>
        <n v="1324.6253200000001"/>
        <n v="339.70104300000003"/>
        <n v="6669.8159999999998"/>
        <n v="1619.1998160000001"/>
        <n v="1197.5849760000001"/>
        <n v="820.94234400000005"/>
        <n v="4460.6534240000001"/>
        <n v="7059.7542240000002"/>
        <n v="4663.0522559999999"/>
        <n v="663.69971699999996"/>
        <n v="632.16110400000002"/>
        <n v="5839.8257199999998"/>
        <n v="1695.39453"/>
        <n v="7744.4295099999999"/>
        <n v="1310.17776"/>
        <n v="294.55004400000001"/>
        <n v="90.747479999999996"/>
        <n v="1026.2961190000001"/>
        <n v="13483.58858"/>
        <n v="5049.55429"/>
        <n v="837.64298199999996"/>
        <n v="2040.8344090000001"/>
        <n v="783.48055499999998"/>
        <n v="4392.5193760000002"/>
        <n v="943.06834500000002"/>
        <n v="14529.052895999999"/>
        <n v="96.762230000000002"/>
        <n v="1832.2227600000001"/>
        <n v="3521.456952"/>
        <n v="97.756979999999999"/>
        <n v="3395.9062560000002"/>
        <n v="2123.5482240000001"/>
        <n v="5609.7697680000001"/>
        <n v="2067.225328"/>
        <n v="403.93742400000002"/>
        <n v="260.78134599999998"/>
        <n v="2570.2876419999998"/>
        <n v="280.00679200000002"/>
        <n v="5261.0699960000002"/>
        <n v="11770.782138"/>
        <n v="733.04873599999996"/>
        <n v="2119.1625720000002"/>
        <n v="17622.167993999999"/>
        <n v="438.30190900000002"/>
        <n v="263.30031000000002"/>
        <n v="1671.962565"/>
        <n v="8037.7411840000004"/>
        <n v="1334.0843500000001"/>
        <n v="9461.5030200000001"/>
        <n v="71.528154000000001"/>
        <n v="27.165696000000001"/>
        <n v="430.67556000000002"/>
        <n v="3792.517272"/>
        <n v="566.05730000000005"/>
        <n v="161.43410499999999"/>
        <n v="92.049537999999998"/>
        <n v="766.74783600000001"/>
        <n v="5701.5767480000004"/>
        <n v="534.39470500000004"/>
        <n v="1466.402544"/>
        <n v="7953.1820680000001"/>
        <n v="1062.0488479999999"/>
        <n v="216.37529599999999"/>
        <n v="599.48425999999995"/>
        <n v="960.43624199999999"/>
        <n v="13367.476439"/>
        <n v="4313.4492700000001"/>
        <n v="646.57910800000002"/>
        <n v="75.305588"/>
        <n v="2953.8185640000002"/>
        <n v="3351.5901439999998"/>
        <n v="934.33404299999995"/>
        <n v="2443.2759959999999"/>
        <n v="376.77497"/>
        <n v="8289.9028799999996"/>
        <n v="1945.8848"/>
        <n v="943.43510400000002"/>
        <n v="835.122884"/>
        <n v="1748.4692399999999"/>
        <n v="1872.780816"/>
        <n v="408.56499500000001"/>
        <n v="1203.214041"/>
        <n v="1560.0675859999999"/>
        <n v="2133.2481459999999"/>
        <n v="740.69316000000003"/>
        <n v="385.65503999999999"/>
        <n v="1680.8788050000001"/>
        <n v="1361.4651960000001"/>
        <n v="981.60109599999998"/>
        <n v="2320.3394010000002"/>
        <n v="6012.0434160000004"/>
        <n v="3914.942853"/>
        <n v="25422.634104000001"/>
        <n v="277.69448"/>
        <n v="2064.4527149999999"/>
        <n v="302.259792"/>
        <n v="3753.1151599999998"/>
        <n v="621.25484400000005"/>
        <n v="697.97019599999999"/>
        <n v="2244.9343199999998"/>
        <n v="566.05472099999997"/>
        <n v="2723.3452750000001"/>
        <n v="218.09619000000001"/>
        <n v="852.64908000000003"/>
        <n v="7783.749855"/>
        <n v="1103.284204"/>
        <n v="4693.3879299999999"/>
        <n v="76.662415999999993"/>
        <n v="1813.819"/>
        <n v="429.05059199999999"/>
        <n v="2260.5150400000002"/>
        <n v="1210.233882"/>
        <n v="2499.1323200000002"/>
        <n v="626.01326400000005"/>
        <n v="358.518888"/>
        <n v="4633.9652040000001"/>
        <n v="847.61458400000004"/>
        <n v="1596.156146"/>
        <n v="285.32389899999998"/>
        <n v="1298.322801"/>
        <n v="1196.209304"/>
        <n v="227.182503"/>
        <n v="608.46693700000003"/>
        <n v="4476.0297659999997"/>
        <n v="414.96816200000001"/>
        <n v="2982.238965"/>
        <n v="625.31784400000004"/>
        <n v="331.39953200000002"/>
        <n v="23794.034299999999"/>
        <n v="14543.733036"/>
        <n v="265.10392000000002"/>
        <n v="711.39309000000003"/>
        <n v="3574.0874950000002"/>
        <n v="14302.86176"/>
        <n v="129.71989099999999"/>
        <n v="968.74935300000004"/>
        <n v="8834.9288820000002"/>
        <n v="1791.1697999999999"/>
        <n v="13595.319071"/>
        <n v="1287.5096080000001"/>
        <n v="633.24450000000002"/>
        <n v="9172.8733460000003"/>
        <n v="1502.5800750000001"/>
        <n v="1587.520225"/>
        <n v="1442.0595840000001"/>
        <n v="460.137271"/>
        <n v="1156.82464"/>
        <n v="659.05626800000005"/>
        <n v="24577.675655999999"/>
        <n v="853.99571700000001"/>
        <n v="1524.3138899999999"/>
        <n v="747.97614899999996"/>
        <n v="7715.7625710000002"/>
        <n v="230.36323200000001"/>
        <n v="1718.90076"/>
        <n v="104.16003000000001"/>
        <n v="5878.5882389999997"/>
        <n v="1196.7367360000001"/>
        <n v="180.43531999999999"/>
        <n v="268.06038000000001"/>
        <n v="1490.916948"/>
        <n v="1630.5922800000001"/>
        <n v="872.06619999999998"/>
        <n v="96.320330999999996"/>
        <n v="29140.104063999999"/>
        <n v="303.812185"/>
        <n v="5044.1215099999999"/>
        <n v="748.41736500000002"/>
        <n v="7001.8344200000001"/>
        <n v="1664.9815679999999"/>
        <n v="2012.7952740000001"/>
        <n v="1398.872948"/>
        <n v="1874.3461600000001"/>
        <n v="4321.7245080000002"/>
        <n v="9083.0573189999996"/>
        <n v="2237.9879700000001"/>
        <n v="8170.1006269999998"/>
        <n v="1455.6473579999999"/>
        <n v="7689.78"/>
        <n v="2091.8401600000002"/>
        <n v="2722.4633589999999"/>
        <n v="1500.212923"/>
        <n v="1699.640719"/>
        <n v="17899.582272"/>
        <n v="2156.1160880000002"/>
        <n v="3810.7107179999998"/>
        <n v="12632.721862"/>
        <n v="286.72654999999997"/>
        <n v="87.984442000000001"/>
        <n v="707.634319"/>
        <n v="3237.7580400000002"/>
        <n v="2566.3869"/>
        <n v="1098.8834159999999"/>
        <n v="6180.0963840000004"/>
        <n v="481.63846899999999"/>
        <n v="229.185348"/>
        <n v="5285.4225580000002"/>
        <n v="1501.5578760000001"/>
        <n v="2563.9628630000002"/>
        <n v="2896.7797959999998"/>
        <n v="3861.9637779999998"/>
        <n v="1130.118948"/>
        <n v="6618.787542"/>
        <n v="1410.328143"/>
        <n v="407.58334200000002"/>
        <n v="23411.516476000001"/>
        <n v="4387.8342919999996"/>
        <n v="715.75768600000004"/>
        <n v="5683.9905920000001"/>
        <n v="2313.9243839999999"/>
        <n v="2171.685747"/>
        <n v="1298.4599700000001"/>
        <n v="630.00876000000005"/>
        <n v="7366.2533279999998"/>
        <n v="4086.96306"/>
        <n v="543.57179799999994"/>
        <n v="1380.6967979999999"/>
        <n v="258.21154799999999"/>
        <n v="911.83122500000002"/>
        <n v="919.19807500000002"/>
        <n v="153.56921"/>
        <n v="251.103296"/>
        <n v="418.75668899999999"/>
        <n v="508.78102799999999"/>
        <n v="900.75295600000004"/>
        <n v="3281.3596499999999"/>
        <n v="14308.390292"/>
        <n v="1167.1124159999999"/>
        <n v="8297.7153600000001"/>
        <n v="1039.2285019999999"/>
        <n v="791.26908000000003"/>
        <n v="299.35388699999999"/>
        <n v="1166.2794610000001"/>
        <n v="411.04658000000001"/>
        <n v="2107.8396710000002"/>
        <n v="3000.7395000000001"/>
        <n v="559.89345000000003"/>
        <n v="1809.429946"/>
        <n v="1694.682405"/>
        <n v="4122.5119500000001"/>
        <n v="2295.4315350000002"/>
        <n v="2432.3226759999998"/>
        <n v="1099.8402799999999"/>
        <n v="568.88815299999999"/>
        <n v="11242.08466"/>
        <n v="353.66862600000002"/>
        <n v="4507.7046849999997"/>
        <n v="254.83846700000001"/>
        <n v="2758.1203999999998"/>
        <n v="2785.592216"/>
        <n v="577.31556"/>
        <n v="15672.76326"/>
        <n v="4063.3985280000002"/>
        <n v="1928.688271"/>
        <n v="1500.5535"/>
        <n v="857.59602500000005"/>
        <n v="2503.7585899999999"/>
        <n v="1028.7034120000001"/>
        <n v="1685.392128"/>
        <n v="793.64988600000004"/>
        <n v="6765.9871720000001"/>
        <n v="3116.0179440000002"/>
        <n v="770.55818399999998"/>
        <n v="18474.552851"/>
        <n v="1174.5286840000001"/>
        <n v="958.92286999999999"/>
        <n v="7098.700245"/>
        <n v="88.246476000000001"/>
        <n v="762.38641800000005"/>
        <n v="177.27943999999999"/>
        <n v="6776.4297919999999"/>
        <n v="50.765177000000001"/>
        <n v="769.21493999999996"/>
        <n v="5681.9875949999996"/>
        <n v="4812.5059899999997"/>
        <n v="943.89848800000004"/>
        <n v="154.07630399999999"/>
        <n v="1111.043304"/>
        <n v="205.82325399999999"/>
        <n v="986.79187200000001"/>
        <n v="302.213595"/>
        <n v="5253.7412999999997"/>
        <n v="4537.4465520000003"/>
        <n v="1118.1349680000001"/>
        <n v="6033.02016"/>
        <n v="2310.9635069999999"/>
        <n v="2330.366923"/>
        <n v="4245.3507639999998"/>
        <n v="2011.256065"/>
        <n v="25130.371590999999"/>
        <n v="437.13052800000003"/>
        <n v="3822.8204770000002"/>
        <n v="2309.1388740000002"/>
        <n v="2184.7852440000001"/>
        <n v="4000.5569719999999"/>
        <n v="2480.336256"/>
        <n v="2186.808618"/>
        <n v="1189.533854"/>
        <n v="27109.862118000001"/>
        <n v="610.23339299999998"/>
        <n v="3116.6226959999999"/>
        <n v="1242.5876820000001"/>
        <n v="285.93395400000003"/>
        <n v="495.573759"/>
        <n v="2240.15103"/>
        <n v="1171.509372"/>
        <n v="1793.6664840000001"/>
        <n v="5382.3685390000001"/>
        <n v="859.74424799999997"/>
        <n v="4919.0163570000004"/>
        <n v="18305.452072"/>
        <n v="4921.6639999999998"/>
        <n v="7258.4487040000004"/>
        <n v="1620.1686070000001"/>
        <n v="1899.5136480000001"/>
        <n v="358.67074200000002"/>
        <n v="5634.0326510000004"/>
        <n v="1044.161924"/>
        <n v="4724.7379199999996"/>
        <n v="785.63918799999999"/>
        <n v="1033.4958750000001"/>
        <n v="1137.317"/>
        <n v="1093.085994"/>
        <n v="694.00760000000002"/>
        <n v="695.97983399999998"/>
        <n v="1948.7554560000001"/>
        <n v="2206.2079709999998"/>
        <n v="14329.244033000001"/>
        <n v="872.71289000000002"/>
        <n v="2968.4559680000002"/>
        <n v="4114.0986009999997"/>
        <n v="408.81239199999999"/>
        <n v="566.88842099999999"/>
        <n v="4267.8118439999998"/>
        <n v="1117.027902"/>
        <n v="786.01325399999996"/>
        <n v="23980.405176"/>
        <n v="547.2396"/>
        <n v="7559.3884879999996"/>
        <n v="3425.5855889999998"/>
        <n v="1262.654828"/>
        <n v="11568.84425"/>
        <n v="2159.6887470000001"/>
        <n v="3211.8336859999999"/>
        <n v="5028.3682019999997"/>
        <n v="368.06560200000001"/>
        <n v="1222.351694"/>
        <n v="61.536347999999997"/>
        <n v="1477.305646"/>
        <n v="1894.098195"/>
        <n v="27602.058024000002"/>
        <n v="1292.1357390000001"/>
        <n v="1650.7211400000001"/>
        <n v="1991.84139"/>
        <n v="4001.5222650000001"/>
        <n v="5767.8086460000004"/>
        <n v="492.681264"/>
        <n v="1858.904376"/>
        <n v="3023.1771610000001"/>
        <n v="487.61209500000001"/>
        <n v="21075.328364000001"/>
        <n v="113.396148"/>
        <n v="4058.393806"/>
        <n v="1929.981188"/>
        <n v="2292.7440080000001"/>
        <n v="1677.2683159999999"/>
        <n v="312.66701999999998"/>
        <n v="11531.756197999999"/>
        <n v="8451.4864500000003"/>
        <n v="150.003378"/>
        <n v="2376.3041600000001"/>
        <n v="1022.58108"/>
        <n v="65.687551999999997"/>
        <n v="130.17518999999999"/>
        <n v="2219.5387249999999"/>
        <n v="73.850508000000005"/>
        <n v="822.34974499999998"/>
        <n v="11841.369925000001"/>
        <n v="1505.979"/>
        <n v="1548.7284669999999"/>
        <n v="2414.3823120000002"/>
        <n v="105.441231"/>
        <n v="2100.1801869999999"/>
        <n v="5738.7668139999996"/>
        <n v="57.541428000000003"/>
        <n v="1610.898126"/>
        <n v="1435.6743280000001"/>
        <n v="307.75144599999999"/>
        <n v="2828.9585969999998"/>
        <n v="6674.8409680000004"/>
        <n v="731.75813100000005"/>
        <n v="150.817374"/>
        <n v="4018.262526"/>
        <n v="2023.6411350000001"/>
        <n v="221.88576399999999"/>
        <n v="855.05672000000004"/>
        <n v="2082.38832"/>
        <n v="361.525668"/>
        <n v="916.32942600000001"/>
        <n v="13765.940746"/>
        <n v="502.49177500000002"/>
        <n v="3540.3817239999998"/>
        <n v="111.79977"/>
        <n v="2058.8223149999999"/>
        <n v="385.12429200000003"/>
        <n v="584.16412000000003"/>
        <n v="880.506396"/>
        <n v="918.15699600000005"/>
        <n v="349.097826"/>
        <n v="376.08451500000001"/>
        <n v="339.99895800000002"/>
        <n v="1495.79883"/>
        <n v="5674.4001500000004"/>
        <n v="1058.4948959999999"/>
        <n v="637.68088399999999"/>
        <n v="1298.893401"/>
        <n v="1198.683552"/>
        <n v="6004.19625"/>
        <n v="2314.8789299999999"/>
        <n v="48.341462999999997"/>
        <n v="2260.000215"/>
        <n v="2410.2674959999999"/>
        <n v="6932.0051130000002"/>
        <n v="600.26151000000004"/>
        <n v="1071.2318499999999"/>
        <n v="177.352317"/>
        <n v="1763.00298"/>
        <n v="19019.771315999998"/>
        <n v="17083.460060000001"/>
        <n v="68.416452000000007"/>
        <n v="4259.7650880000001"/>
        <n v="779.35881800000004"/>
        <n v="4352.7414360000002"/>
        <n v="254.89055999999999"/>
        <n v="14396.287619999999"/>
        <n v="10343.471693"/>
        <n v="777.44338400000004"/>
        <n v="111.05943600000001"/>
        <n v="56.013745"/>
        <n v="2235.5736619999998"/>
        <n v="6352.5133980000001"/>
        <n v="18249.171398999999"/>
        <n v="13288.384888000001"/>
        <n v="4441.6004359999997"/>
        <n v="8715.6533280000003"/>
        <n v="924.00269500000002"/>
        <n v="71.000411999999997"/>
        <n v="1199.0740479999999"/>
        <n v="167.60330999999999"/>
        <n v="2019.7474239999999"/>
        <n v="929.30910600000004"/>
        <n v="267.38040599999999"/>
        <n v="480.297393"/>
        <n v="492.54666300000002"/>
        <n v="1960.750863"/>
        <n v="1436.647183"/>
        <n v="433.24081200000001"/>
        <n v="2017.25073"/>
        <n v="4068.8546470000001"/>
        <n v="19959.168944000001"/>
        <n v="5969.6625640000002"/>
        <n v="9310.1624640000009"/>
        <n v="2163.483925"/>
        <n v="3412.8117750000001"/>
        <n v="3193.1404400000001"/>
        <n v="13954.519861999999"/>
        <n v="576.81687999999997"/>
        <n v="1040.957001"/>
        <n v="8456.9219659999999"/>
        <n v="2840.0696400000002"/>
        <n v="181.06703999999999"/>
        <n v="1563.2596759999999"/>
        <n v="2441.5867840000001"/>
        <n v="768.89159400000005"/>
        <n v="1076.538562"/>
        <n v="601.40793599999995"/>
        <n v="3070.9791070000001"/>
        <n v="6478.6631379999999"/>
        <n v="737.96876999999995"/>
        <n v="1315.4684099999999"/>
        <n v="582.84754199999998"/>
        <n v="455.71253999999999"/>
        <n v="9748.6532499999994"/>
        <n v="2726.268247"/>
        <n v="10855.367850000001"/>
        <n v="1956.643192"/>
        <n v="1066.390212"/>
        <n v="3224.5024720000001"/>
        <n v="16614.444672000001"/>
        <n v="1357.7862419999999"/>
        <n v="8933.0987679999998"/>
        <n v="1194.4898370000001"/>
        <n v="1954.0624949999999"/>
        <n v="990.22304399999996"/>
        <n v="22546.297837999999"/>
        <n v="3905.389302"/>
        <n v="1804.2947200000001"/>
        <n v="1257.365538"/>
        <n v="1455.1828599999999"/>
        <n v="376.91192100000001"/>
        <n v="4240.1536470000001"/>
        <n v="1951.312122"/>
        <n v="1419.181583"/>
        <n v="49.165751999999998"/>
        <n v="1245.5513639999999"/>
        <n v="25901.5298"/>
        <n v="678.01297499999998"/>
        <n v="1770.688596"/>
        <n v="690.56604400000003"/>
        <n v="1089.125726"/>
        <n v="86.735872000000001"/>
        <n v="1862.9116750000001"/>
        <n v="3708.4391000000001"/>
        <n v="1744.2639899999999"/>
        <n v="444.52012500000001"/>
        <n v="10838.142158000001"/>
        <n v="1077.348927"/>
        <n v="1427.885184"/>
        <n v="737.00308500000006"/>
        <n v="5257.2629200000001"/>
        <n v="4684.3111399999998"/>
        <n v="3420.3294999999998"/>
        <n v="463.55360400000001"/>
        <n v="2449.7633999999998"/>
        <n v="458.14450499999998"/>
        <n v="6004.5436460000001"/>
        <n v="9373.5568519999997"/>
        <n v="1555.72758"/>
        <n v="248.55254099999999"/>
        <n v="297.15599400000002"/>
        <n v="1409.37888"/>
        <n v="13899.757724999999"/>
        <n v="885.16942800000004"/>
        <n v="11940.832640000001"/>
        <n v="4107.5001119999997"/>
        <n v="2506.3026089999998"/>
        <n v="10860.667664000001"/>
        <n v="1178.25792"/>
        <n v="911.34868800000004"/>
        <n v="266.71965"/>
        <n v="1532.1983379999999"/>
        <n v="4598.4656000000004"/>
        <n v="1375.8577700000001"/>
        <n v="8542.9491330000001"/>
        <n v="280.10790300000002"/>
        <n v="899.83412999999996"/>
        <n v="723.25875299999996"/>
        <n v="63.339041999999999"/>
        <n v="226.962816"/>
        <n v="6473.5031829999998"/>
        <n v="46.574491999999999"/>
        <n v="1710.1887360000001"/>
        <n v="2197.933794"/>
        <n v="624.73320799999999"/>
        <n v="2013.381216"/>
        <n v="700.71834000000001"/>
        <n v="504.43084800000003"/>
        <n v="109.556122"/>
        <n v="938.43217400000003"/>
        <n v="194.84337600000001"/>
        <n v="3632.4736889999999"/>
        <n v="7208.1491159999996"/>
        <n v="713.25505999999996"/>
        <n v="242.077584"/>
        <n v="23240.590069999998"/>
        <n v="3254.8937850000002"/>
        <n v="518.77874299999996"/>
        <n v="5391.4560000000001"/>
        <n v="5814.4047499999997"/>
        <n v="22110.208016"/>
        <n v="1592.029732"/>
        <n v="3329.5310420000001"/>
        <n v="1729.9353599999999"/>
        <n v="2123.026323"/>
        <n v="1759.79844"/>
        <n v="17660.26628"/>
        <n v="1052.3519819999999"/>
        <n v="2560.5479129999999"/>
        <n v="3754.813251"/>
        <n v="627.48640799999998"/>
        <n v="495.35415799999998"/>
        <n v="2547.96578"/>
        <n v="5045.0448420000002"/>
        <n v="17929.774777999999"/>
        <n v="582.95288600000003"/>
        <n v="285.88323400000002"/>
        <n v="162.05696599999999"/>
        <n v="1306.68751"/>
        <n v="1438.0517620000001"/>
        <n v="1960.7772440000001"/>
        <n v="6327.7352499999997"/>
        <n v="461.68067400000001"/>
        <n v="1097.2367139999999"/>
        <n v="1101.7012500000001"/>
        <n v="17143.398359999999"/>
        <n v="3037.2209459999999"/>
        <n v="4410.8853040000004"/>
        <n v="2698.9039400000001"/>
        <n v="2016.0505169999999"/>
        <n v="2926.4465460000001"/>
        <n v="2155.1921299999999"/>
        <n v="8155.8973800000003"/>
        <n v="858.53611799999999"/>
        <n v="263.45684999999997"/>
        <n v="13074.473088000001"/>
        <n v="4956.8991800000003"/>
        <n v="1770.2388129999999"/>
        <n v="244.30169599999999"/>
        <n v="526.42705799999999"/>
        <n v="1515.6168299999999"/>
        <n v="2410.3369550000002"/>
        <n v="1559.9188529999999"/>
        <n v="545.74180799999999"/>
        <n v="14089.829061"/>
        <n v="934.09855200000004"/>
        <n v="2845.0460159999998"/>
        <n v="745.81205599999998"/>
        <n v="466.69652100000002"/>
        <n v="217.45914099999999"/>
        <n v="853.84123599999998"/>
        <n v="811.94716800000003"/>
        <n v="2019.582969"/>
        <n v="279.33882"/>
        <n v="1158.880701"/>
        <n v="2087.401085"/>
        <n v="527.27605500000004"/>
        <n v="1714.6475640000001"/>
        <n v="1335.0712000000001"/>
        <n v="1628.3328320000001"/>
        <n v="284.41126800000001"/>
        <n v="15667.653918"/>
        <n v="2244.46461"/>
        <n v="12364.833699999999"/>
        <n v="397.07639999999998"/>
        <n v="196.07084599999999"/>
        <n v="1227.3393579999999"/>
        <n v="8458.6334339999994"/>
        <n v="8911.1068749999995"/>
        <n v="1302.4340589999999"/>
        <n v="86.493527999999998"/>
        <n v="1985.3763960000001"/>
        <n v="595.09623599999998"/>
        <n v="2436.6506450000002"/>
        <n v="2991.0425700000001"/>
        <n v="325.94308100000001"/>
        <n v="27323.880012000001"/>
        <n v="7651.0594440000004"/>
        <n v="580.64584500000001"/>
        <n v="3068.0631279999998"/>
        <n v="2722.2516900000001"/>
        <n v="805.10783900000001"/>
        <n v="3665.349506"/>
        <n v="903.50103999999999"/>
        <n v="1011.8345440000001"/>
        <n v="1014.077855"/>
        <n v="122.33016000000001"/>
        <n v="1209.770904"/>
        <n v="51.171156000000003"/>
        <n v="2114.8019199999999"/>
        <n v="106.61562600000001"/>
        <n v="1710.2836139999999"/>
        <n v="7025.7925080000005"/>
        <n v="1943.96216"/>
      </sharedItems>
    </cacheField>
    <cacheField name="Cost" numFmtId="8">
      <sharedItems containsSemiMixedTypes="0" containsString="0" containsNumber="1" minValue="82.744" maxValue="31778.768" count="1000">
        <n v="13236.204"/>
        <n v="3747.5880000000002"/>
        <n v="5902.74"/>
        <n v="267.53199999999998"/>
        <n v="4352.5159999999996"/>
        <n v="2462.252"/>
        <n v="441.96800000000002"/>
        <n v="759.76800000000003"/>
        <n v="1444.472"/>
        <n v="1530.66"/>
        <n v="2060.1480000000001"/>
        <n v="6941.5519999999997"/>
        <n v="1204.5840000000001"/>
        <n v="20286.932000000001"/>
        <n v="627.74800000000005"/>
        <n v="4324.6679999999997"/>
        <n v="30101.9"/>
        <n v="5319.2920000000004"/>
        <n v="4080.1320000000001"/>
        <n v="18462.011999999999"/>
        <n v="4810.2439999999997"/>
        <n v="1038.452"/>
        <n v="970.73199999999997"/>
        <n v="30084.644"/>
        <n v="649.29999999999995"/>
        <n v="914.21199999999999"/>
        <n v="10596.236000000001"/>
        <n v="1715.64"/>
        <n v="1205.1079999999999"/>
        <n v="1528.2159999999999"/>
        <n v="299.536"/>
        <n v="1343.1679999999999"/>
        <n v="4127.576"/>
        <n v="1888.0119999999999"/>
        <n v="4218.7640000000001"/>
        <n v="3535.8960000000002"/>
        <n v="18029.824000000001"/>
        <n v="2897.8519999999999"/>
        <n v="410.72"/>
        <n v="2172.5320000000002"/>
        <n v="1598.864"/>
        <n v="1681.0239999999999"/>
        <n v="1945.78"/>
        <n v="2428.3719999999998"/>
        <n v="21405.452000000001"/>
        <n v="22541.936000000002"/>
        <n v="6560.2039999999997"/>
        <n v="224.68799999999999"/>
        <n v="1793.444"/>
        <n v="5142.652"/>
        <n v="1612.404"/>
        <n v="4306.32"/>
        <n v="225.65600000000001"/>
        <n v="22026.732"/>
        <n v="1003.8"/>
        <n v="791.30799999999999"/>
        <n v="376.74"/>
        <n v="1077.952"/>
        <n v="908.78800000000001"/>
        <n v="11910.456"/>
        <n v="1677.5519999999999"/>
        <n v="719.53599999999994"/>
        <n v="346.54399999999998"/>
        <n v="1344.66"/>
        <n v="1550.904"/>
        <n v="990.44399999999996"/>
        <n v="612.24400000000003"/>
        <n v="4715.7160000000003"/>
        <n v="2504.268"/>
        <n v="1230.136"/>
        <n v="1110.5999999999999"/>
        <n v="5619.3280000000004"/>
        <n v="3725.788"/>
        <n v="1167.3119999999999"/>
        <n v="497.92399999999998"/>
        <n v="1994"/>
        <n v="3607.232"/>
        <n v="1782.652"/>
        <n v="1760.588"/>
        <n v="628.72799999999995"/>
        <n v="11719.7"/>
        <n v="1213.3679999999999"/>
        <n v="1166.2919999999999"/>
        <n v="5909.5320000000002"/>
        <n v="910.53200000000004"/>
        <n v="21951.1"/>
        <n v="3740.348"/>
        <n v="672.07600000000002"/>
        <n v="1468.864"/>
        <n v="15380.172"/>
        <n v="21399.948"/>
        <n v="6444.5959999999995"/>
        <n v="732.56"/>
        <n v="7062.6559999999999"/>
        <n v="25015.648000000001"/>
        <n v="5314.2240000000002"/>
        <n v="5679.4440000000004"/>
        <n v="615.024"/>
        <n v="1990.836"/>
        <n v="2468.7840000000001"/>
        <n v="1061.0999999999999"/>
        <n v="1775.18"/>
        <n v="1762.6880000000001"/>
        <n v="327.43200000000002"/>
        <n v="1154.9000000000001"/>
        <n v="6128.1120000000001"/>
        <n v="1940.2439999999999"/>
        <n v="1720.0840000000001"/>
        <n v="28041.628000000001"/>
        <n v="256.04000000000002"/>
        <n v="1848.028"/>
        <n v="1330.9159999999999"/>
        <n v="1063.8879999999999"/>
        <n v="1998.6559999999999"/>
        <n v="914.46"/>
        <n v="28886.639999999999"/>
        <n v="1649.212"/>
        <n v="5079.6400000000003"/>
        <n v="1027.0920000000001"/>
        <n v="6831.4639999999999"/>
        <n v="23757.727999999999"/>
        <n v="858.19600000000003"/>
        <n v="1767.348"/>
        <n v="1574.76"/>
        <n v="6372.6959999999999"/>
        <n v="1003.4640000000001"/>
        <n v="274.83199999999999"/>
        <n v="17651.900000000001"/>
        <n v="6684.9160000000002"/>
        <n v="1403.8920000000001"/>
        <n v="5961.3559999999998"/>
        <n v="1543.588"/>
        <n v="1297.6959999999999"/>
        <n v="5207.3360000000002"/>
        <n v="837.18"/>
        <n v="1816.4559999999999"/>
        <n v="719.83199999999999"/>
        <n v="1441.3679999999999"/>
        <n v="1069.136"/>
        <n v="4971.1639999999998"/>
        <n v="7006.3720000000003"/>
        <n v="19834.292000000001"/>
        <n v="2962.9279999999999"/>
        <n v="4842.0680000000002"/>
        <n v="797.77599999999995"/>
        <n v="1927.096"/>
        <n v="7803.652"/>
        <n v="4310.72"/>
        <n v="9171.66"/>
        <n v="1285.664"/>
        <n v="1918.06"/>
        <n v="1728.7719999999999"/>
        <n v="1327.4680000000001"/>
        <n v="1428.18"/>
        <n v="4211.384"/>
        <n v="330.964"/>
        <n v="336.904"/>
        <n v="3029.5520000000001"/>
        <n v="4901.9799999999996"/>
        <n v="767.73199999999997"/>
        <n v="1774.3240000000001"/>
        <n v="2448.0520000000001"/>
        <n v="237.7"/>
        <n v="7694.68"/>
        <n v="5389.2359999999999"/>
        <n v="7455.2120000000004"/>
        <n v="1478.704"/>
        <n v="256.392"/>
        <n v="1402.66"/>
        <n v="1786.6120000000001"/>
        <n v="4613.7479999999996"/>
        <n v="24687.94"/>
        <n v="1269.6120000000001"/>
        <n v="605.78800000000001"/>
        <n v="3756.5279999999998"/>
        <n v="5991.04"/>
        <n v="3480.1880000000001"/>
        <n v="2692.0079999999998"/>
        <n v="5474.4639999999999"/>
        <n v="833.61599999999999"/>
        <n v="6883.48"/>
        <n v="1155.5239999999999"/>
        <n v="6348.9520000000002"/>
        <n v="5893.3879999999999"/>
        <n v="1735.0160000000001"/>
        <n v="576.55200000000002"/>
        <n v="4657.384"/>
        <n v="810.40800000000002"/>
        <n v="3291.5680000000002"/>
        <n v="1112.692"/>
        <n v="4239.5720000000001"/>
        <n v="21684.02"/>
        <n v="683.55200000000002"/>
        <n v="639.81200000000001"/>
        <n v="20627.856"/>
        <n v="500.83600000000001"/>
        <n v="24894.66"/>
        <n v="6970.6840000000002"/>
        <n v="1947.732"/>
        <n v="402.64400000000001"/>
        <n v="4950.9440000000004"/>
        <n v="14875.476000000001"/>
        <n v="3201.1880000000001"/>
        <n v="1594.5"/>
        <n v="1281.172"/>
        <n v="3810.616"/>
        <n v="2229.92"/>
        <n v="712.21199999999999"/>
        <n v="23895.808000000001"/>
        <n v="5618.0839999999998"/>
        <n v="6098.8639999999996"/>
        <n v="311.47199999999998"/>
        <n v="3435.2040000000002"/>
        <n v="14897.932000000001"/>
        <n v="359.036"/>
        <n v="3945.768"/>
        <n v="27414.184000000001"/>
        <n v="488.04399999999998"/>
        <n v="31520.396000000001"/>
        <n v="9407.2240000000002"/>
        <n v="1244.8399999999999"/>
        <n v="466.37200000000001"/>
        <n v="1604.884"/>
        <n v="4370.576"/>
        <n v="1181.1759999999999"/>
        <n v="4623.0600000000004"/>
        <n v="7676.6040000000003"/>
        <n v="457.13200000000001"/>
        <n v="22622.191999999999"/>
        <n v="3506.78"/>
        <n v="2613.5039999999999"/>
        <n v="4399.7160000000003"/>
        <n v="3851.4360000000001"/>
        <n v="1472.556"/>
        <n v="4745.7479999999996"/>
        <n v="16814.419999999998"/>
        <n v="22283.248"/>
        <n v="5181.9480000000003"/>
        <n v="3724.9639999999999"/>
        <n v="694.98"/>
        <n v="312.10000000000002"/>
        <n v="4129.7439999999997"/>
        <n v="1586.2840000000001"/>
        <n v="1132.8920000000001"/>
        <n v="1879.768"/>
        <n v="1928.5160000000001"/>
        <n v="5457.24"/>
        <n v="309.13200000000001"/>
        <n v="22388.608"/>
        <n v="3257.9479999999999"/>
        <n v="4728.5039999999999"/>
        <n v="838.79600000000005"/>
        <n v="1164.9639999999999"/>
        <n v="4311.5959999999995"/>
        <n v="1855.1559999999999"/>
        <n v="3528.28"/>
        <n v="3564.5160000000001"/>
        <n v="27375.488000000001"/>
        <n v="1768.6320000000001"/>
        <n v="1867.54"/>
        <n v="2711.9119999999998"/>
        <n v="1648.2159999999999"/>
        <n v="1073.7840000000001"/>
        <n v="18802.752"/>
        <n v="1730.848"/>
        <n v="23811.704000000002"/>
        <n v="1635.5840000000001"/>
        <n v="424.17200000000003"/>
        <n v="20750.876"/>
        <n v="717.74"/>
        <n v="800.23199999999997"/>
        <n v="266.58800000000002"/>
        <n v="587.41200000000003"/>
        <n v="509.8"/>
        <n v="5537.8"/>
        <n v="2019.4480000000001"/>
        <n v="19487.78"/>
        <n v="15007.484"/>
        <n v="471.72800000000001"/>
        <n v="4102.6559999999999"/>
        <n v="1890.6759999999999"/>
        <n v="13053.468000000001"/>
        <n v="1040.152"/>
        <n v="2570.9079999999999"/>
        <n v="1665.4280000000001"/>
        <n v="1834.472"/>
        <n v="1081.472"/>
        <n v="1762.3240000000001"/>
        <n v="1772.7919999999999"/>
        <n v="903.86"/>
        <n v="708.9"/>
        <n v="3378.1320000000001"/>
        <n v="2086.444"/>
        <n v="1263.9639999999999"/>
        <n v="2465.248"/>
        <n v="1646.8679999999999"/>
        <n v="281.57600000000002"/>
        <n v="1132.2239999999999"/>
        <n v="505.78399999999999"/>
        <n v="1455.4839999999999"/>
        <n v="4640.2479999999996"/>
        <n v="1890.3240000000001"/>
        <n v="1678.9680000000001"/>
        <n v="6664.884"/>
        <n v="1546.4079999999999"/>
        <n v="123.056"/>
        <n v="6193.5"/>
        <n v="4079.848"/>
        <n v="17830.324000000001"/>
        <n v="1754.556"/>
        <n v="1278.7439999999999"/>
        <n v="3857.0320000000002"/>
        <n v="795.12"/>
        <n v="1794.9680000000001"/>
        <n v="4938.4480000000003"/>
        <n v="921.83600000000001"/>
        <n v="839.57600000000002"/>
        <n v="1194.944"/>
        <n v="621.28399999999999"/>
        <n v="6784.82"/>
        <n v="850.52800000000002"/>
        <n v="2536.1"/>
        <n v="701.55600000000004"/>
        <n v="5943.924"/>
        <n v="296.32799999999997"/>
        <n v="20298.248"/>
        <n v="3423.78"/>
        <n v="781.84799999999996"/>
        <n v="1836.7360000000001"/>
        <n v="2200.692"/>
        <n v="2126.7919999999999"/>
        <n v="4486.5879999999997"/>
        <n v="6267.6559999999999"/>
        <n v="7757.38"/>
        <n v="4748.3959999999997"/>
        <n v="285.548"/>
        <n v="24047.776000000002"/>
        <n v="1196.32"/>
        <n v="638.83600000000001"/>
        <n v="24166"/>
        <n v="6343.5839999999998"/>
        <n v="1239.7360000000001"/>
        <n v="1483.184"/>
        <n v="5561.9120000000003"/>
        <n v="31134.527999999998"/>
        <n v="7545.3919999999998"/>
        <n v="4103.2439999999997"/>
        <n v="1943.616"/>
        <n v="5548.5280000000002"/>
        <n v="1582.6320000000001"/>
        <n v="10159.959999999999"/>
        <n v="3853.4639999999999"/>
        <n v="600.81600000000003"/>
        <n v="180.59200000000001"/>
        <n v="6063.7879999999996"/>
        <n v="30402.68"/>
        <n v="10144.76"/>
        <n v="1868.6959999999999"/>
        <n v="5672.924"/>
        <n v="935.22"/>
        <n v="3959.0079999999998"/>
        <n v="5940.5879999999997"/>
        <n v="21782.687999999998"/>
        <n v="242.36"/>
        <n v="1667.5519999999999"/>
        <n v="24974.871999999999"/>
        <n v="307.89600000000002"/>
        <n v="5083.692"/>
        <n v="1937.5440000000001"/>
        <n v="5950.4319999999998"/>
        <n v="2466.8560000000002"/>
        <n v="429.26400000000001"/>
        <n v="412.79199999999997"/>
        <n v="4571.4319999999998"/>
        <n v="248.28800000000001"/>
        <n v="22175.216"/>
        <n v="14778.132"/>
        <n v="998.70399999999995"/>
        <n v="2465.576"/>
        <n v="23012.952000000001"/>
        <n v="1017.532"/>
        <n v="1038.6600000000001"/>
        <n v="1366.82"/>
        <n v="10920.843999999999"/>
        <n v="1198.0999999999999"/>
        <n v="11573.704"/>
        <n v="420.13600000000002"/>
        <n v="122.36799999999999"/>
        <n v="443.42399999999998"/>
        <n v="4749.5519999999997"/>
        <n v="559.76"/>
        <n v="494.06"/>
        <n v="129.55600000000001"/>
        <n v="1211.2919999999999"/>
        <n v="7612.2520000000004"/>
        <n v="440.28399999999999"/>
        <n v="3529.248"/>
        <n v="11747.683999999999"/>
        <n v="3228.1120000000001"/>
        <n v="443.392"/>
        <n v="829.73599999999999"/>
        <n v="3534.2640000000001"/>
        <n v="17411.236000000001"/>
        <n v="4742.66"/>
        <n v="1300.9639999999999"/>
        <n v="236.624"/>
        <n v="6962.4480000000003"/>
        <n v="7481.2280000000001"/>
        <n v="5488.0119999999997"/>
        <n v="2705.732"/>
        <n v="1053.9159999999999"/>
        <n v="7310.32"/>
        <n v="2432.3560000000002"/>
        <n v="1894.4480000000001"/>
        <n v="935.18799999999999"/>
        <n v="5550.6959999999999"/>
        <n v="1676.992"/>
        <n v="1434.82"/>
        <n v="1930.548"/>
        <n v="2195.732"/>
        <n v="3274.364"/>
        <n v="1524.06"/>
        <n v="401.72399999999999"/>
        <n v="4323.8040000000001"/>
        <n v="2179.2159999999999"/>
        <n v="1007.804"/>
        <n v="10012.252"/>
        <n v="14521.843999999999"/>
        <n v="27329.444"/>
        <n v="27618.288"/>
        <n v="401.72800000000001"/>
        <n v="5714.7479999999996"/>
        <n v="395.62799999999999"/>
        <n v="4957.88"/>
        <n v="887.82399999999996"/>
        <n v="987.22799999999995"/>
        <n v="11483.04"/>
        <n v="738.25199999999995"/>
        <n v="5515.6360000000004"/>
        <n v="573.55999999999995"/>
        <n v="1846.56"/>
        <n v="7551.54"/>
        <n v="1268.8720000000001"/>
        <n v="7751.26"/>
        <n v="511.93599999999998"/>
        <n v="1484"/>
        <n v="1259.136"/>
        <n v="1725.5840000000001"/>
        <n v="1705.7560000000001"/>
        <n v="3288.3319999999999"/>
        <n v="1265.952"/>
        <n v="1625.9359999999999"/>
        <n v="6105.3559999999998"/>
        <n v="695.33600000000001"/>
        <n v="3871.8159999999998"/>
        <n v="461.87599999999998"/>
        <n v="823.15599999999995"/>
        <n v="1281.424"/>
        <n v="1154.6759999999999"/>
        <n v="4449.4840000000004"/>
        <n v="5415.6440000000002"/>
        <n v="736.41200000000003"/>
        <n v="1725.0840000000001"/>
        <n v="1113.6559999999999"/>
        <n v="902.99599999999998"/>
        <n v="24156.38"/>
        <n v="20866.187999999998"/>
        <n v="844.28"/>
        <n v="1607.6679999999999"/>
        <n v="3111.2840000000001"/>
        <n v="16253.252"/>
        <n v="184.852"/>
        <n v="7270.1639999999998"/>
        <n v="7172.6639999999998"/>
        <n v="3411.752"/>
        <n v="14985.196"/>
        <n v="1925.9680000000001"/>
        <n v="964.94399999999996"/>
        <n v="7607.6080000000002"/>
        <n v="2585.0839999999998"/>
        <n v="1127.3"/>
        <n v="4291.8440000000001"/>
        <n v="1001.932"/>
        <n v="4365.3760000000002"/>
        <n v="998.19200000000001"/>
        <n v="30455.608"/>
        <n v="1073.1959999999999"/>
        <n v="7527.4759999999997"/>
        <n v="2022.924"/>
        <n v="15331.868"/>
        <n v="309.62799999999999"/>
        <n v="1975.748"/>
        <n v="203.73599999999999"/>
        <n v="16760.052"/>
        <n v="1317.992"/>
        <n v="261.88"/>
        <n v="1094.124"/>
        <n v="5416.5919999999996"/>
        <n v="1307.088"/>
        <n v="4248.8"/>
        <n v="488.31599999999997"/>
        <n v="29856.664000000001"/>
        <n v="752.476"/>
        <n v="6775.18"/>
        <n v="1298.7719999999999"/>
        <n v="19183.108"/>
        <n v="1378.296"/>
        <n v="1598.4079999999999"/>
        <n v="4330.8760000000002"/>
        <n v="4571.576"/>
        <n v="11283.876"/>
        <n v="28362.396000000001"/>
        <n v="3185.748"/>
        <n v="18349.468000000001"/>
        <n v="1173.4359999999999"/>
        <n v="8788.32"/>
        <n v="1886.24"/>
        <n v="3056.3719999999998"/>
        <n v="929.35599999999999"/>
        <n v="1421.9960000000001"/>
        <n v="26478.671999999999"/>
        <n v="5400.4160000000002"/>
        <n v="5243.4960000000001"/>
        <n v="13708.868"/>
        <n v="580.71199999999999"/>
        <n v="94.328000000000003"/>
        <n v="4485.7960000000003"/>
        <n v="1992.16"/>
        <n v="2145.36"/>
        <n v="6483.0879999999997"/>
        <n v="7882.7759999999998"/>
        <n v="3153.116"/>
        <n v="1559.0840000000001"/>
        <n v="6404.6319999999996"/>
        <n v="931.63199999999995"/>
        <n v="3317.9720000000002"/>
        <n v="4192.1559999999999"/>
        <n v="3929.752"/>
        <n v="1526.672"/>
        <n v="30892.824000000001"/>
        <n v="5267.3320000000003"/>
        <n v="1196.136"/>
        <n v="27446.092000000001"/>
        <n v="4410.9920000000002"/>
        <n v="1139.288"/>
        <n v="10278.464"/>
        <n v="1734.576"/>
        <n v="4461.6040000000003"/>
        <n v="1263.7080000000001"/>
        <n v="1561.36"/>
        <n v="12849.984"/>
        <n v="4240.6880000000001"/>
        <n v="1167.7159999999999"/>
        <n v="1210.8720000000001"/>
        <n v="1082.6479999999999"/>
        <n v="3457.18"/>
        <n v="1578.7"/>
        <n v="222.96799999999999"/>
        <n v="262.11200000000002"/>
        <n v="727.95600000000002"/>
        <n v="445.90800000000002"/>
        <n v="1682.864"/>
        <n v="2706.2759999999998"/>
        <n v="31778.768"/>
        <n v="1632.896"/>
        <n v="18858.444"/>
        <n v="2440.9360000000001"/>
        <n v="1329.864"/>
        <n v="476.86799999999999"/>
        <n v="1038.308"/>
        <n v="428.62"/>
        <n v="1984.316"/>
        <n v="2755.5"/>
        <n v="579.29999999999995"/>
        <n v="1610.8879999999999"/>
        <n v="4146.0119999999997"/>
        <n v="5442.26"/>
        <n v="14929.636"/>
        <n v="5702.9840000000004"/>
        <n v="1130.3599999999999"/>
        <n v="476.35599999999999"/>
        <n v="23179.556"/>
        <n v="217.94399999999999"/>
        <n v="17254.371999999999"/>
        <n v="233.636"/>
        <n v="9510.76"/>
        <n v="6102.0640000000003"/>
        <n v="1098.08"/>
        <n v="18492.936000000002"/>
        <n v="24186.896000000001"/>
        <n v="1661.588"/>
        <n v="1054.5"/>
        <n v="1472.9"/>
        <n v="4133.32"/>
        <n v="1752.4760000000001"/>
        <n v="1254.0119999999999"/>
        <n v="2923.2040000000002"/>
        <n v="19139.991999999998"/>
        <n v="3072.9960000000001"/>
        <n v="5036.3280000000004"/>
        <n v="21843.988000000001"/>
        <n v="7139.9920000000002"/>
        <n v="1099.0519999999999"/>
        <n v="7132.58"/>
        <n v="82.744"/>
        <n v="1179.252"/>
        <n v="950.56"/>
        <n v="14000.888000000001"/>
        <n v="268.24400000000003"/>
        <n v="1924.24"/>
        <n v="4840.884"/>
        <n v="8406.1239999999998"/>
        <n v="1264.432"/>
        <n v="312.52800000000002"/>
        <n v="1959.5119999999999"/>
        <n v="627.03200000000004"/>
        <n v="1868.924"/>
        <n v="294.33999999999997"/>
        <n v="4851.1000000000004"/>
        <n v="21453.648000000001"/>
        <n v="1326.376"/>
        <n v="15370.752"/>
        <n v="5802.7960000000003"/>
        <n v="1920.7639999999999"/>
        <n v="3927.2440000000001"/>
        <n v="1874.86"/>
        <n v="27638.572"/>
        <n v="536.19200000000001"/>
        <n v="20199.844000000001"/>
        <n v="4149.3959999999997"/>
        <n v="1993.8720000000001"/>
        <n v="5944.3639999999996"/>
        <n v="3858.944"/>
        <n v="5843.1760000000004"/>
        <n v="5370.3559999999998"/>
        <n v="27150.588"/>
        <n v="863.43600000000004"/>
        <n v="16756.036"/>
        <n v="1497.9960000000001"/>
        <n v="283.524"/>
        <n v="686.62800000000004"/>
        <n v="5143.8599999999997"/>
        <n v="2000.0160000000001"/>
        <n v="1835.8920000000001"/>
        <n v="7599.5320000000002"/>
        <n v="1057.4960000000001"/>
        <n v="4509.7560000000003"/>
        <n v="24939.308000000001"/>
        <n v="5592.8"/>
        <n v="5896.384"/>
        <n v="3335.3960000000002"/>
        <n v="11043.683999999999"/>
        <n v="1466.9559999999999"/>
        <n v="12471.572"/>
        <n v="1959.028"/>
        <n v="4917.76"/>
        <n v="4340.5479999999998"/>
        <n v="1080.78"/>
        <n v="1221.28"/>
        <n v="3236.3760000000002"/>
        <n v="776.51199999999994"/>
        <n v="785.75199999999995"/>
        <n v="4199.9040000000005"/>
        <n v="3663.2759999999998"/>
        <n v="27918.644"/>
        <n v="1358.308"/>
        <n v="4696.924"/>
        <n v="3722.3240000000001"/>
        <n v="272.22399999999999"/>
        <n v="4071.0120000000002"/>
        <n v="4431.7879999999996"/>
        <n v="1106.5160000000001"/>
        <n v="1874.808"/>
        <n v="25517.856"/>
        <n v="511.2"/>
        <n v="6265.5519999999997"/>
        <n v="5430.9719999999998"/>
        <n v="2477.0079999999998"/>
        <n v="18269"/>
        <n v="5763.0119999999997"/>
        <n v="23747.383999999998"/>
        <n v="6263.9279999999999"/>
        <n v="291.07600000000002"/>
        <n v="1521.2840000000001"/>
        <n v="168.82400000000001"/>
        <n v="1520.644"/>
        <n v="1507.14"/>
        <n v="28485.096000000001"/>
        <n v="1687.412"/>
        <n v="945.97199999999998"/>
        <n v="4044.348"/>
        <n v="3413.54"/>
        <n v="6233.7839999999997"/>
        <n v="2779.5839999999998"/>
        <n v="5372.5559999999996"/>
        <n v="4370.3320000000003"/>
        <n v="1645.9480000000001"/>
        <n v="22367.024000000001"/>
        <n v="268.07600000000002"/>
        <n v="9176.6959999999999"/>
        <n v="1173.7760000000001"/>
        <n v="2842.8319999999999"/>
        <n v="1525.136"/>
        <n v="938.94"/>
        <n v="12735.236000000001"/>
        <n v="13658.968000000001"/>
        <n v="224.38800000000001"/>
        <n v="1645.64"/>
        <n v="1556.44"/>
        <n v="283.13600000000002"/>
        <n v="403.64400000000001"/>
        <n v="1324.9"/>
        <n v="154.096"/>
        <n v="1287.4359999999999"/>
        <n v="23275.42"/>
        <n v="1248.48"/>
        <n v="7932.0280000000002"/>
        <n v="3782.8159999999998"/>
        <n v="100.492"/>
        <n v="1721.8119999999999"/>
        <n v="5764.7079999999996"/>
        <n v="405.93599999999998"/>
        <n v="1487.7840000000001"/>
        <n v="1201.904"/>
        <n v="297.84800000000001"/>
        <n v="6041.5559999999996"/>
        <n v="17895.016"/>
        <n v="1262.1959999999999"/>
        <n v="239.964"/>
        <n v="3325.6880000000001"/>
        <n v="1650.268"/>
        <n v="1747.1320000000001"/>
        <n v="1136.288"/>
        <n v="2388.06"/>
        <n v="520.36800000000005"/>
        <n v="1175.912"/>
        <n v="18440.644"/>
        <n v="903.35599999999999"/>
        <n v="6608.2719999999999"/>
        <n v="394.00799999999998"/>
        <n v="1814.34"/>
        <n v="364.35599999999999"/>
        <n v="883.42399999999998"/>
        <n v="1416.7439999999999"/>
        <n v="1219.3320000000001"/>
        <n v="1483.944"/>
        <n v="771.06"/>
        <n v="1736.904"/>
        <n v="2123.96"/>
        <n v="5746.2280000000001"/>
        <n v="1876.7639999999999"/>
        <n v="2045.4880000000001"/>
        <n v="2750.4360000000001"/>
        <n v="955.88800000000003"/>
        <n v="7389.78"/>
        <n v="1917.0840000000001"/>
        <n v="109.30800000000001"/>
        <n v="1376.58"/>
        <n v="2541.136"/>
        <n v="7104.2839999999997"/>
        <n v="1861.2760000000001"/>
        <n v="1014.184"/>
        <n v="370.83600000000001"/>
        <n v="2508.7199999999998"/>
        <n v="30788.784"/>
        <n v="30962.32"/>
        <n v="214.136"/>
        <n v="5177.4719999999998"/>
        <n v="1096.9159999999999"/>
        <n v="3913.4560000000001"/>
        <n v="1062.0440000000001"/>
        <n v="20134.668000000001"/>
        <n v="17146.243999999999"/>
        <n v="3097.384"/>
        <n v="148.376"/>
        <n v="195.34"/>
        <n v="2616.2359999999999"/>
        <n v="9914.1839999999993"/>
        <n v="25532.243999999999"/>
        <n v="14797.755999999999"/>
        <n v="5137.768"/>
        <n v="13575.784"/>
        <n v="1002.9880000000001"/>
        <n v="482.99599999999998"/>
        <n v="1113.088"/>
        <n v="354.71600000000001"/>
        <n v="3839.8240000000001"/>
        <n v="1065.4159999999999"/>
        <n v="682.96400000000006"/>
        <n v="557.02800000000002"/>
        <n v="3474.7559999999999"/>
        <n v="3838.9639999999999"/>
        <n v="1308.124"/>
        <n v="375.34399999999999"/>
        <n v="4249.08"/>
        <n v="5664.9560000000001"/>
        <n v="20201.588"/>
        <n v="26920.687999999998"/>
        <n v="19829.952000000001"/>
        <n v="4640.18"/>
        <n v="3429.1"/>
        <n v="4036.84"/>
        <n v="20231.272000000001"/>
        <n v="486.56"/>
        <n v="1907.3879999999999"/>
        <n v="15081.448"/>
        <n v="6255.66"/>
        <n v="299.904"/>
        <n v="905.18799999999999"/>
        <n v="2900.6080000000002"/>
        <n v="647.62400000000002"/>
        <n v="1523.2239999999999"/>
        <n v="808.34400000000005"/>
        <n v="13366.611999999999"/>
        <n v="25760.092000000001"/>
        <n v="1277.8679999999999"/>
        <n v="1460.82"/>
        <n v="1004.044"/>
        <n v="435.88"/>
        <n v="21784.7"/>
        <n v="3687.884"/>
        <n v="14236.548000000001"/>
        <n v="1763.5360000000001"/>
        <n v="1249.432"/>
        <n v="5578.7240000000002"/>
        <n v="24723.876"/>
        <n v="1467.0840000000001"/>
        <n v="11124.656000000001"/>
        <n v="2652.9479999999999"/>
        <n v="1174.1400000000001"/>
        <n v="1041.2439999999999"/>
        <n v="26042.504000000001"/>
        <n v="3419.0320000000002"/>
        <n v="9496.2880000000005"/>
        <n v="1953.9480000000001"/>
        <n v="2498.1680000000001"/>
        <n v="1491.2439999999999"/>
        <n v="3869.636"/>
        <n v="2684.9839999999999"/>
        <n v="1508.5640000000001"/>
        <n v="264.33199999999999"/>
        <n v="1733.5440000000001"/>
        <n v="30472.387999999999"/>
        <n v="1062.3"/>
        <n v="1488.912"/>
        <n v="748.78399999999999"/>
        <n v="972.86800000000005"/>
        <n v="677.62400000000002"/>
        <n v="3072.8440000000001"/>
        <n v="5028.3919999999998"/>
        <n v="1496.58"/>
        <n v="1480.5"/>
        <n v="25234.324000000001"/>
        <n v="1279.1320000000001"/>
        <n v="1643.136"/>
        <n v="790.14"/>
        <n v="6602.5280000000002"/>
        <n v="9887.7279999999992"/>
        <n v="2807"/>
        <n v="828.14400000000001"/>
        <n v="5631.64"/>
        <n v="437.892"/>
        <n v="8746.6039999999994"/>
        <n v="20007.592000000001"/>
        <n v="3142.884"/>
        <n v="572.37199999999996"/>
        <n v="849.62400000000002"/>
        <n v="1290.6400000000001"/>
        <n v="24016.86"/>
        <n v="1355.0239999999999"/>
        <n v="20658.88"/>
        <n v="5320.5959999999995"/>
        <n v="2030.6279999999999"/>
        <n v="22439.396000000001"/>
        <n v="1666.56"/>
        <n v="1945.248"/>
        <n v="239.74799999999999"/>
        <n v="1089.1759999999999"/>
        <n v="4432.2560000000003"/>
        <n v="1321.3520000000001"/>
        <n v="12079.108"/>
        <n v="409.964"/>
        <n v="2050.904"/>
        <n v="1940.3320000000001"/>
        <n v="201.39599999999999"/>
        <n v="318.76799999999997"/>
        <n v="5409.2359999999999"/>
        <n v="103.384"/>
        <n v="1870.5920000000001"/>
        <n v="2302.1039999999998"/>
        <n v="931.048"/>
        <n v="4117.3440000000001"/>
        <n v="1897.68"/>
        <n v="513.024"/>
        <n v="212.524"/>
        <n v="1309.288"/>
        <n v="1546.376"/>
        <n v="6107.5640000000003"/>
        <n v="6116.3760000000002"/>
        <n v="4794.9920000000002"/>
        <n v="313.572"/>
        <n v="23624.488000000001"/>
        <n v="22255.684000000001"/>
        <n v="555.88400000000001"/>
        <n v="8023"/>
        <n v="5351.5"/>
        <n v="25867.455999999998"/>
        <n v="3009.5079999999998"/>
        <n v="5929.7079999999996"/>
        <n v="2402.6880000000001"/>
        <n v="4361.6360000000004"/>
        <n v="1109.4079999999999"/>
        <n v="23752.880000000001"/>
        <n v="1365.8040000000001"/>
        <n v="12092.316000000001"/>
        <n v="4210.6120000000001"/>
        <n v="771.81600000000003"/>
        <n v="906.41200000000003"/>
        <n v="1789.616"/>
        <n v="4400.3879999999999"/>
        <n v="29381.031999999999"/>
        <n v="526.84400000000005"/>
        <n v="650.10400000000004"/>
        <n v="461.04399999999998"/>
        <n v="1162.7919999999999"/>
        <n v="1198.876"/>
        <n v="1747.184"/>
        <n v="17159.96"/>
        <n v="275.548"/>
        <n v="952.87599999999998"/>
        <n v="877.5"/>
        <n v="22812.240000000002"/>
        <n v="7092.1679999999997"/>
        <n v="7327.0519999999997"/>
        <n v="5480.0079999999998"/>
        <n v="1709.604"/>
        <n v="4533.6120000000001"/>
        <n v="1633.34"/>
        <n v="25407.78"/>
        <n v="5374.2479999999996"/>
        <n v="1086.42"/>
        <n v="21763.583999999999"/>
        <n v="5144.68"/>
        <n v="2756.308"/>
        <n v="1796.336"/>
        <n v="1281.624"/>
        <n v="3701.14"/>
        <n v="2348.6840000000002"/>
        <n v="1813.3320000000001"/>
        <n v="595.78800000000001"/>
        <n v="16255.932000000001"/>
        <n v="694.36800000000005"/>
        <n v="9358.7039999999997"/>
        <n v="3081.8679999999999"/>
        <n v="450.58800000000002"/>
        <n v="204.81200000000001"/>
        <n v="1571.7280000000001"/>
        <n v="1086.944"/>
        <n v="2484.8760000000002"/>
        <n v="227.66"/>
        <n v="3351.788"/>
        <n v="5707.18"/>
        <n v="1365.116"/>
        <n v="1408.624"/>
        <n v="1570.672"/>
        <n v="5889.0879999999997"/>
        <n v="1086.576"/>
        <n v="19008.376"/>
        <n v="1888.088"/>
        <n v="17323.759999999998"/>
        <n v="900.4"/>
        <n v="346.56799999999998"/>
        <n v="1698.152"/>
        <n v="17431.495999999999"/>
        <n v="15008.18"/>
        <n v="1682.1880000000001"/>
        <n v="217.184"/>
        <n v="1999.3720000000001"/>
        <n v="1858.2239999999999"/>
        <n v="3805.78"/>
        <n v="7286.34"/>
        <n v="1163.0440000000001"/>
        <n v="28307.567999999999"/>
        <n v="13936.356"/>
        <n v="2624.3879999999999"/>
        <n v="5686.8639999999996"/>
        <n v="1644.12"/>
        <n v="1372.1479999999999"/>
        <n v="3502.4839999999999"/>
        <n v="5314.7120000000004"/>
        <n v="2331.4160000000002"/>
        <n v="912.55600000000004"/>
        <n v="114.864"/>
        <n v="1908.1559999999999"/>
        <n v="362.916"/>
        <n v="1756.48"/>
        <n v="480.79199999999997"/>
        <n v="1280.3920000000001"/>
        <n v="10501.932000000001"/>
        <n v="1122.3800000000001"/>
      </sharedItems>
    </cacheField>
    <cacheField name="Referral Fee" numFmtId="8">
      <sharedItems containsSemiMixedTypes="0" containsString="0" containsNumber="1" minValue="17.792999999999999" maxValue="10616.187" count="1000">
        <n v="4444.3964999999998"/>
        <n v="1330.6095"/>
        <n v="1637.9145000000001"/>
        <n v="75.436499999999995"/>
        <n v="838.43700000000001"/>
        <n v="760.44749999999999"/>
        <n v="103.08"/>
        <n v="104.754"/>
        <n v="407.50349999999997"/>
        <n v="525.41399999999999"/>
        <n v="621.16949999999997"/>
        <n v="1983.9780000000001"/>
        <n v="339.63600000000002"/>
        <n v="6589.3469999999998"/>
        <n v="122.3835"/>
        <n v="949.899"/>
        <n v="7257.5445"/>
        <n v="1725.6089999999999"/>
        <n v="1053.732"/>
        <n v="6002.2034999999996"/>
        <n v="1465.47"/>
        <n v="235.26750000000001"/>
        <n v="263.31"/>
        <n v="6808.3185000000003"/>
        <n v="203.24100000000001"/>
        <n v="189.47550000000001"/>
        <n v="3273.9720000000002"/>
        <n v="525.62099999999998"/>
        <n v="397.50599999999997"/>
        <n v="430.5915"/>
        <n v="68.123999999999995"/>
        <n v="301.2645"/>
        <n v="1071.0825"/>
        <n v="666.79949999999997"/>
        <n v="1254.9480000000001"/>
        <n v="1056.3119999999999"/>
        <n v="6296.5559999999996"/>
        <n v="645.26700000000005"/>
        <n v="129.273"/>
        <n v="451.21199999999999"/>
        <n v="499.61399999999998"/>
        <n v="415.96949999999998"/>
        <n v="221.98050000000001"/>
        <n v="563.05200000000002"/>
        <n v="6895.3725000000004"/>
        <n v="5883.4305000000004"/>
        <n v="1679.3489999999999"/>
        <n v="59.785499999999999"/>
        <n v="576.19799999999998"/>
        <n v="1353.1125"/>
        <n v="320.24849999999998"/>
        <n v="1082.0609999999999"/>
        <n v="75.514499999999998"/>
        <n v="7041.6165000000001"/>
        <n v="270.93299999999999"/>
        <n v="199.34549999999999"/>
        <n v="79.08"/>
        <n v="321.64049999999997"/>
        <n v="280.23599999999999"/>
        <n v="3480.5324999999998"/>
        <n v="249.65100000000001"/>
        <n v="156.61949999999999"/>
        <n v="116.63249999999999"/>
        <n v="437.91149999999999"/>
        <n v="441.18450000000001"/>
        <n v="167.67"/>
        <n v="105.996"/>
        <n v="1566.0764999999999"/>
        <n v="555.21299999999997"/>
        <n v="239.1465"/>
        <n v="141.90450000000001"/>
        <n v="1124.2049999999999"/>
        <n v="1088.8320000000001"/>
        <n v="200.26650000000001"/>
        <n v="136.94999999999999"/>
        <n v="510.02249999999998"/>
        <n v="1106.085"/>
        <n v="522.76949999999999"/>
        <n v="516.51149999999996"/>
        <n v="91.146000000000001"/>
        <n v="3986.2860000000001"/>
        <n v="304.464"/>
        <n v="322.78050000000002"/>
        <n v="1581.0345"/>
        <n v="213.71700000000001"/>
        <n v="6325.0349999999999"/>
        <n v="733.3125"/>
        <n v="136.5735"/>
        <n v="470.04"/>
        <n v="3851.0234999999998"/>
        <n v="5971.4489999999996"/>
        <n v="1800.9075"/>
        <n v="252.8955"/>
        <n v="1335.759"/>
        <n v="5680.7790000000005"/>
        <n v="1863.8325"/>
        <n v="1575.3420000000001"/>
        <n v="154.4205"/>
        <n v="360.13350000000003"/>
        <n v="765.78750000000002"/>
        <n v="331.50450000000001"/>
        <n v="360.85050000000001"/>
        <n v="462.43799999999999"/>
        <n v="75.5655"/>
        <n v="338.01900000000001"/>
        <n v="1385.9849999999999"/>
        <n v="648.61950000000002"/>
        <n v="373.04399999999998"/>
        <n v="6834.348"/>
        <n v="59.152500000000003"/>
        <n v="409.95600000000002"/>
        <n v="341.56950000000001"/>
        <n v="153.17099999999999"/>
        <n v="394.5675"/>
        <n v="143.90700000000001"/>
        <n v="6745.1684999999998"/>
        <n v="408.42149999999998"/>
        <n v="1171.6334999999999"/>
        <n v="296.00700000000001"/>
        <n v="1548.6690000000001"/>
        <n v="7600.4849999999997"/>
        <n v="214.12799999999999"/>
        <n v="360.69150000000002"/>
        <n v="498.6465"/>
        <n v="1969.7895000000001"/>
        <n v="330.9495"/>
        <n v="92.450999999999993"/>
        <n v="5955.9285"/>
        <n v="1522.8554999999999"/>
        <n v="449.04149999999998"/>
        <n v="1366.806"/>
        <n v="436.44299999999998"/>
        <n v="263.80950000000001"/>
        <n v="1398.9765"/>
        <n v="192.73050000000001"/>
        <n v="231.14699999999999"/>
        <n v="169.26750000000001"/>
        <n v="375.49950000000001"/>
        <n v="237.67500000000001"/>
        <n v="1415.5094999999999"/>
        <n v="2285.0385000000001"/>
        <n v="6013.4234999999999"/>
        <n v="923.09699999999998"/>
        <n v="1534.0215000000001"/>
        <n v="150.19200000000001"/>
        <n v="540.06899999999996"/>
        <n v="1767.9075"/>
        <n v="1509.39"/>
        <n v="2216.0985000000001"/>
        <n v="342.49349999999998"/>
        <n v="381.40949999999998"/>
        <n v="573.17399999999998"/>
        <n v="276.654"/>
        <n v="391.99799999999999"/>
        <n v="1061.0744999999999"/>
        <n v="92.785499999999999"/>
        <n v="75.09"/>
        <n v="1023.177"/>
        <n v="1238.3565000000001"/>
        <n v="113.8575"/>
        <n v="336.19650000000001"/>
        <n v="681.2835"/>
        <n v="39.084000000000003"/>
        <n v="2322.84"/>
        <n v="1075.8855000000001"/>
        <n v="2639.9234999999999"/>
        <n v="363.05549999999999"/>
        <n v="70.209000000000003"/>
        <n v="349.08749999999998"/>
        <n v="338.65050000000002"/>
        <n v="1616.1555000000001"/>
        <n v="7546.3485000000001"/>
        <n v="282.14550000000003"/>
        <n v="122.7585"/>
        <n v="1083.2265"/>
        <n v="1484.682"/>
        <n v="664.48800000000006"/>
        <n v="562.5675"/>
        <n v="1229.5050000000001"/>
        <n v="262.233"/>
        <n v="1799.4359999999999"/>
        <n v="401.46600000000001"/>
        <n v="1472.6489999999999"/>
        <n v="1558.9649999999999"/>
        <n v="398.721"/>
        <n v="173.26949999999999"/>
        <n v="1224.954"/>
        <n v="156.81"/>
        <n v="1084.8855000000001"/>
        <n v="192.114"/>
        <n v="806.28750000000002"/>
        <n v="5382.7695000000003"/>
        <n v="148.74"/>
        <n v="155.45699999999999"/>
        <n v="5631.7934999999998"/>
        <n v="160.34700000000001"/>
        <n v="6230.6175000000003"/>
        <n v="1334.2935"/>
        <n v="464.02800000000002"/>
        <n v="113.97750000000001"/>
        <n v="1030.8465000000001"/>
        <n v="4806.7815000000001"/>
        <n v="907.90650000000005"/>
        <n v="386.03399999999999"/>
        <n v="411.94799999999998"/>
        <n v="1055.4675"/>
        <n v="559.51049999999998"/>
        <n v="148.2645"/>
        <n v="7582.2479999999996"/>
        <n v="1568.9069999999999"/>
        <n v="1507.404"/>
        <n v="107.46899999999999"/>
        <n v="1098.549"/>
        <n v="4434.4799999999996"/>
        <n v="104.09699999999999"/>
        <n v="981.6"/>
        <n v="9387.5684999999994"/>
        <n v="132.95249999999999"/>
        <n v="9820.9424999999992"/>
        <n v="3132.5715"/>
        <n v="283.19850000000002"/>
        <n v="143.5095"/>
        <n v="334.20299999999997"/>
        <n v="1110.252"/>
        <n v="380.83499999999998"/>
        <n v="922.01250000000005"/>
        <n v="1858.0170000000001"/>
        <n v="75.483000000000004"/>
        <n v="6345.8280000000004"/>
        <n v="1119.954"/>
        <n v="596.05050000000006"/>
        <n v="1342.2915"/>
        <n v="1336.7625"/>
        <n v="415.209"/>
        <n v="1352.4075"/>
        <n v="5621.6895000000004"/>
        <n v="5015.2920000000004"/>
        <n v="1683.4005"/>
        <n v="1141.395"/>
        <n v="242.54249999999999"/>
        <n v="104.63549999999999"/>
        <n v="1253.8844999999999"/>
        <n v="529.10550000000001"/>
        <n v="274.43849999999998"/>
        <n v="519.49950000000001"/>
        <n v="568.02750000000003"/>
        <n v="1793.2215000000001"/>
        <n v="69.741"/>
        <n v="6369.8220000000001"/>
        <n v="945.20849999999996"/>
        <n v="1210.9065000000001"/>
        <n v="161.9385"/>
        <n v="316.94099999999997"/>
        <n v="1357.1610000000001"/>
        <n v="470.95350000000002"/>
        <n v="1009.5"/>
        <n v="959.05799999999999"/>
        <n v="7796.0910000000003"/>
        <n v="601.70550000000003"/>
        <n v="493.02"/>
        <n v="965.44349999999997"/>
        <n v="484.005"/>
        <n v="268.66199999999998"/>
        <n v="5590.8705"/>
        <n v="528.79349999999999"/>
        <n v="7973.3879999999999"/>
        <n v="346.3005"/>
        <n v="111.54900000000001"/>
        <n v="6540.4004999999997"/>
        <n v="188.29050000000001"/>
        <n v="201.399"/>
        <n v="74.722499999999997"/>
        <n v="161.3835"/>
        <n v="92.245500000000007"/>
        <n v="1680.4275"/>
        <n v="456.24149999999997"/>
        <n v="4794.5010000000002"/>
        <n v="4836.8235000000004"/>
        <n v="102.9075"/>
        <n v="1405.3889999999999"/>
        <n v="427.64699999999999"/>
        <n v="3570.5160000000001"/>
        <n v="265.44150000000002"/>
        <n v="515.00549999999998"/>
        <n v="445.9905"/>
        <n v="552.38250000000005"/>
        <n v="223.87649999999999"/>
        <n v="592.86900000000003"/>
        <n v="441.69900000000001"/>
        <n v="179.7165"/>
        <n v="183.71100000000001"/>
        <n v="913.98"/>
        <n v="485.80799999999999"/>
        <n v="267.92700000000002"/>
        <n v="819.44550000000004"/>
        <n v="436.81349999999998"/>
        <n v="42.361499999999999"/>
        <n v="336.44400000000002"/>
        <n v="67.343999999999994"/>
        <n v="468.84"/>
        <n v="1305.528"/>
        <n v="556.779"/>
        <n v="274.38749999999999"/>
        <n v="1492.857"/>
        <n v="234.28649999999999"/>
        <n v="27.564"/>
        <n v="1558.9349999999999"/>
        <n v="1143.489"/>
        <n v="4469.5394999999999"/>
        <n v="570.69000000000005"/>
        <n v="239.4495"/>
        <n v="958.13850000000002"/>
        <n v="271.91550000000001"/>
        <n v="281.64150000000001"/>
        <n v="1048.8405"/>
        <n v="175.131"/>
        <n v="130.52850000000001"/>
        <n v="396.6465"/>
        <n v="201.33600000000001"/>
        <n v="1991.7855"/>
        <n v="200.17349999999999"/>
        <n v="488.25749999999999"/>
        <n v="191.67599999999999"/>
        <n v="1125.999"/>
        <n v="63.051000000000002"/>
        <n v="5173.1549999999997"/>
        <n v="1202.1210000000001"/>
        <n v="220.72200000000001"/>
        <n v="368.4495"/>
        <n v="438.94349999999997"/>
        <n v="652.23450000000003"/>
        <n v="1388.2755"/>
        <n v="1787.808"/>
        <n v="2440.6754999999998"/>
        <n v="1321.1054999999999"/>
        <n v="66.563999999999993"/>
        <n v="6685.6244999999999"/>
        <n v="249.94499999999999"/>
        <n v="188.61"/>
        <n v="8061.9285"/>
        <n v="2136.0464999999999"/>
        <n v="285.25799999999998"/>
        <n v="433.02749999999997"/>
        <n v="1416.7080000000001"/>
        <n v="10616.187"/>
        <n v="2130.1215000000002"/>
        <n v="1439.2065"/>
        <n v="634.01099999999997"/>
        <n v="1204.6994999999999"/>
        <n v="339.1875"/>
        <n v="2648.2064999999998"/>
        <n v="1248.5084999999999"/>
        <n v="181.11600000000001"/>
        <n v="54.107999999999997"/>
        <n v="2119.9349999999999"/>
        <n v="9378.0164999999997"/>
        <n v="3046.6905000000002"/>
        <n v="575.11649999999997"/>
        <n v="1821.297"/>
        <n v="233.16900000000001"/>
        <n v="825.74549999999999"/>
        <n v="2086.239"/>
        <n v="5989.26"/>
        <n v="76.367999999999995"/>
        <n v="350.49599999999998"/>
        <n v="8837.0295000000006"/>
        <n v="100.797"/>
        <n v="1396.9590000000001"/>
        <n v="408.08249999999998"/>
        <n v="1389.9974999999999"/>
        <n v="615.01499999999999"/>
        <n v="100.383"/>
        <n v="115.6815"/>
        <n v="1328.6985"/>
        <n v="51.107999999999997"/>
        <n v="7526.4285"/>
        <n v="3776.0459999999998"/>
        <n v="264.5505"/>
        <n v="606.69150000000002"/>
        <n v="5986.2209999999995"/>
        <n v="315.8415"/>
        <n v="350.01749999999998"/>
        <n v="261.78449999999998"/>
        <n v="2889.78"/>
        <n v="249.15450000000001"/>
        <n v="2920.9425000000001"/>
        <n v="146.81700000000001"/>
        <n v="41.8155"/>
        <n v="101.6895"/>
        <n v="1212.288"/>
        <n v="125.0055"/>
        <n v="161.05950000000001"/>
        <n v="34.776000000000003"/>
        <n v="339.22050000000002"/>
        <n v="1999.2750000000001"/>
        <n v="84.944999999999993"/>
        <n v="1103.5139999999999"/>
        <n v="3212.6190000000001"/>
        <n v="1051.2929999999999"/>
        <n v="133.809"/>
        <n v="221.226"/>
        <n v="1181.2470000000001"/>
        <n v="4524.0074999999997"/>
        <n v="1131.4784999999999"/>
        <n v="390.88799999999998"/>
        <n v="77.436000000000007"/>
        <n v="2167.848"/>
        <n v="2302.5825"/>
        <n v="1917.7919999999999"/>
        <n v="648.11249999999995"/>
        <n v="338.71800000000002"/>
        <n v="1497.7529999999999"/>
        <n v="620.26350000000002"/>
        <n v="568.88250000000005"/>
        <n v="225.429"/>
        <n v="1819.269"/>
        <n v="347.95650000000001"/>
        <n v="476.77350000000001"/>
        <n v="543.49199999999996"/>
        <n v="589.35299999999995"/>
        <n v="907.90949999999998"/>
        <n v="460.428"/>
        <n v="92.793000000000006"/>
        <n v="1369.2539999999999"/>
        <n v="613.00049999999999"/>
        <n v="230.703"/>
        <n v="3406.7024999999999"/>
        <n v="4544.1329999999998"/>
        <n v="9661.6560000000009"/>
        <n v="6543.2475000000004"/>
        <n v="108.99299999999999"/>
        <n v="1833.462"/>
        <n v="103.029"/>
        <n v="1296.1665"/>
        <n v="239.733"/>
        <n v="265.52100000000002"/>
        <n v="3969.3854999999999"/>
        <n v="191.94"/>
        <n v="1659.8054999999999"/>
        <n v="182.36250000000001"/>
        <n v="564.59400000000005"/>
        <n v="1664.2829999999999"/>
        <n v="310.35000000000002"/>
        <n v="2202.7215000000001"/>
        <n v="180.46950000000001"/>
        <n v="284.40750000000003"/>
        <n v="407.82749999999999"/>
        <n v="308.04149999999998"/>
        <n v="458.14800000000002"/>
        <n v="858.27"/>
        <n v="380.84249999999997"/>
        <n v="555.92700000000002"/>
        <n v="1594.3140000000001"/>
        <n v="133.60650000000001"/>
        <n v="1212.4949999999999"/>
        <n v="130.41300000000001"/>
        <n v="113.94"/>
        <n v="301.10700000000003"/>
        <n v="398.90699999999998"/>
        <n v="1577.2065"/>
        <n v="1359.5084999999999"/>
        <n v="213.90299999999999"/>
        <n v="199.58250000000001"/>
        <n v="323.82900000000001"/>
        <n v="288.90750000000003"/>
        <n v="5489.2529999999997"/>
        <n v="5643.6104999999998"/>
        <n v="276.83699999999999"/>
        <n v="496.14150000000001"/>
        <n v="630.65549999999996"/>
        <n v="3949.3215"/>
        <n v="49.863"/>
        <n v="2580.8895000000002"/>
        <n v="1364.5905"/>
        <n v="1010.769"/>
        <n v="3580.2809999999999"/>
        <n v="529.10850000000005"/>
        <n v="266.86649999999997"/>
        <n v="1476.8205"/>
        <n v="743.98050000000001"/>
        <n v="184.61250000000001"/>
        <n v="1393.17"/>
        <n v="306.71550000000002"/>
        <n v="1463.5094999999999"/>
        <n v="275.46899999999999"/>
        <n v="7734.4544999999998"/>
        <n v="274.36349999999999"/>
        <n v="2594.1075000000001"/>
        <n v="646.43550000000005"/>
        <n v="4592.1959999999999"/>
        <n v="81.5535"/>
        <n v="483.03899999999999"/>
        <n v="60.777000000000001"/>
        <n v="5402.9939999999997"/>
        <n v="314.74200000000002"/>
        <n v="71.140500000000003"/>
        <n v="370.07850000000002"/>
        <n v="1807.6034999999999"/>
        <n v="245.59200000000001"/>
        <n v="1462.4549999999999"/>
        <n v="168.66900000000001"/>
        <n v="6825.2460000000001"/>
        <n v="236.601"/>
        <n v="1784.184"/>
        <n v="374.76900000000001"/>
        <n v="6143.5739999999996"/>
        <n v="267.09899999999999"/>
        <n v="297.48450000000003"/>
        <n v="1414.3275000000001"/>
        <n v="1433.154"/>
        <n v="3583.2539999999999"/>
        <n v="9273.6509999999998"/>
        <n v="858.99599999999998"/>
        <n v="5655.7785000000003"/>
        <n v="221.67750000000001"/>
        <n v="2142.2055"/>
        <n v="393.54"/>
        <n v="737.82449999999994"/>
        <n v="123.4635"/>
        <n v="278.29950000000002"/>
        <n v="7244.6715000000004"/>
        <n v="1701.8025"/>
        <n v="1394.7840000000001"/>
        <n v="3246.0419999999999"/>
        <n v="174.756"/>
        <n v="22.174499999999998"/>
        <n v="1575.9839999999999"/>
        <n v="261.43049999999999"/>
        <n v="419.53649999999999"/>
        <n v="2266.3724999999999"/>
        <n v="2028.9855"/>
        <n v="1110.171"/>
        <n v="550.25400000000002"/>
        <n v="1608.8130000000001"/>
        <n v="124.143"/>
        <n v="859.63649999999996"/>
        <n v="1137.4635000000001"/>
        <n v="894.303"/>
        <n v="402.97800000000001"/>
        <n v="10592.43"/>
        <n v="1763.778"/>
        <n v="387.435"/>
        <n v="6780.768"/>
        <n v="995.904"/>
        <n v="319.875"/>
        <n v="3001.6410000000001"/>
        <n v="303.37049999999999"/>
        <n v="1347.366"/>
        <n v="279.11099999999999"/>
        <n v="491.00850000000003"/>
        <n v="3713.8485000000001"/>
        <n v="977.16150000000005"/>
        <n v="356.36700000000002"/>
        <n v="246.9735"/>
        <n v="367.25099999999998"/>
        <n v="1159.6769999999999"/>
        <n v="454.14"/>
        <n v="60.576000000000001"/>
        <n v="60.624000000000002"/>
        <n v="210.1575"/>
        <n v="90.904499999999999"/>
        <n v="495.99"/>
        <n v="522.68399999999997"/>
        <n v="9770.7270000000008"/>
        <n v="437.26049999999998"/>
        <n v="5827.2780000000002"/>
        <n v="759.49800000000005"/>
        <n v="380.02350000000001"/>
        <n v="133.93049999999999"/>
        <n v="214.428"/>
        <n v="99.078000000000003"/>
        <n v="427.91550000000001"/>
        <n v="583.173"/>
        <n v="133.24350000000001"/>
        <n v="332.63850000000002"/>
        <n v="1300.6065000000001"/>
        <n v="1422.4829999999999"/>
        <n v="5254.299"/>
        <n v="1773.7245"/>
        <n v="258.91050000000001"/>
        <n v="93.295500000000004"/>
        <n v="7006.32"/>
        <n v="28.68"/>
        <n v="5794.2825000000003"/>
        <n v="49.390500000000003"/>
        <n v="3152.9070000000002"/>
        <n v="1870.5"/>
        <n v="325.18799999999999"/>
        <n v="4584.2055"/>
        <n v="8460.5580000000009"/>
        <n v="333.76650000000001"/>
        <n v="170.37"/>
        <n v="423.71699999999998"/>
        <n v="1174.4865"/>
        <n v="502.89299999999997"/>
        <n v="217.422"/>
        <n v="977.10749999999996"/>
        <n v="6162.8864999999996"/>
        <n v="685.01850000000002"/>
        <n v="1773.0645"/>
        <n v="5420.2259999999997"/>
        <n v="2501.2620000000002"/>
        <n v="268.30500000000001"/>
        <n v="1609.9185"/>
        <n v="17.792999999999999"/>
        <n v="327.87"/>
        <n v="329.85599999999999"/>
        <n v="4233.8549999999996"/>
        <n v="92.977500000000006"/>
        <n v="606.23850000000004"/>
        <n v="963.10950000000003"/>
        <n v="2430.3135000000002"/>
        <n v="332.58"/>
        <n v="94.091999999999999"/>
        <n v="568.17750000000001"/>
        <n v="204.267"/>
        <n v="552.82799999999997"/>
        <n v="65.046000000000006"/>
        <n v="1031.1555000000001"/>
        <n v="7364.4555"/>
        <n v="329.68950000000001"/>
        <n v="4859.2110000000002"/>
        <n v="1829.3489999999999"/>
        <n v="370.75650000000002"/>
        <n v="835.87049999999999"/>
        <n v="401.35500000000002"/>
        <n v="6594.924"/>
        <n v="135.50550000000001"/>
        <n v="7001.8440000000001"/>
        <n v="1209.7049999999999"/>
        <n v="419.95949999999999"/>
        <n v="1629.0809999999999"/>
        <n v="1075.1220000000001"/>
        <n v="1863.2729999999999"/>
        <n v="1835.4390000000001"/>
        <n v="6115.1760000000004"/>
        <n v="232.2525"/>
        <n v="5815.8329999999996"/>
        <n v="375.351"/>
        <n v="63.432000000000002"/>
        <n v="183.15899999999999"/>
        <n v="1592.9865"/>
        <n v="574.27800000000002"/>
        <n v="419.38049999999998"/>
        <n v="2042.5260000000001"/>
        <n v="267.58199999999999"/>
        <n v="953.28599999999994"/>
        <n v="6606.81"/>
        <n v="1359.114"/>
        <n v="1122.4680000000001"/>
        <n v="1007.7225"/>
        <n v="3856.6545000000001"/>
        <n v="496.33049999999997"/>
        <n v="3831.5520000000001"/>
        <n v="578.0385"/>
        <n v="1135.4970000000001"/>
        <n v="1509.8579999999999"/>
        <n v="250.27950000000001"/>
        <n v="287.37150000000003"/>
        <n v="1049.6969999999999"/>
        <n v="187.077"/>
        <n v="190.2645"/>
        <n v="1282.6095"/>
        <n v="1042.8209999999999"/>
        <n v="8319.5849999999991"/>
        <n v="378.435"/>
        <n v="1316.0474999999999"/>
        <n v="778.75649999999996"/>
        <n v="40.767000000000003"/>
        <n v="1441.5284999999999"/>
        <n v="1021.6815"/>
        <n v="247.3845"/>
        <n v="585.14099999999996"/>
        <n v="5972.3114999999998"/>
        <n v="109.614"/>
        <n v="1215.672"/>
        <n v="1522.7370000000001"/>
        <n v="739.47"/>
        <n v="5115.6930000000002"/>
        <n v="1837.0965000000001"/>
        <n v="8423.2890000000007"/>
        <n v="1594.6469999999999"/>
        <n v="53.94"/>
        <n v="387.10050000000001"/>
        <n v="54.078000000000003"/>
        <n v="348.654"/>
        <n v="281.04450000000003"/>
        <n v="6541.1565000000001"/>
        <n v="438.96899999999999"/>
        <n v="107.1285"/>
        <n v="1217.8395"/>
        <n v="679.88099999999997"/>
        <n v="1472.4614999999999"/>
        <n v="968.44650000000001"/>
        <n v="1735.875"/>
        <n v="1185.3164999999999"/>
        <n v="544.09199999999998"/>
        <n v="5226.4769999999999"/>
        <n v="83.521500000000003"/>
        <n v="2832.576"/>
        <n v="150.6465"/>
        <n v="722.18849999999998"/>
        <n v="320.33999999999997"/>
        <n v="305.202"/>
        <n v="3045.8265000000001"/>
        <n v="3854.5529999999999"/>
        <n v="61.648499999999999"/>
        <n v="260.64449999999999"/>
        <n v="430.29450000000003"/>
        <n v="96.326999999999998"/>
        <n v="131.84100000000001"/>
        <n v="163.893"/>
        <n v="46.707000000000001"/>
        <n v="359.42250000000001"/>
        <n v="6951.7709999999997"/>
        <n v="242.28149999999999"/>
        <n v="2742.1965"/>
        <n v="1056.3330000000001"/>
        <n v="21.867000000000001"/>
        <n v="330.67200000000003"/>
        <n v="1300.9275"/>
        <n v="143.59649999999999"/>
        <n v="316.28699999999998"/>
        <n v="235.37549999999999"/>
        <n v="65.528999999999996"/>
        <n v="1841.1344999999999"/>
        <n v="5709.7155000000002"/>
        <n v="363.57600000000002"/>
        <n v="67.367999999999995"/>
        <n v="644.45249999999999"/>
        <n v="315.29250000000002"/>
        <n v="621.88199999999995"/>
        <n v="297.84750000000003"/>
        <n v="583.13400000000001"/>
        <n v="140.89949999999999"/>
        <n v="303.49799999999999"/>
        <n v="4850.6220000000003"/>
        <n v="263.37"/>
        <n v="1947.0645"/>
        <n v="130.983"/>
        <n v="371.56200000000001"/>
        <n v="78.859499999999997"/>
        <n v="243.6465"/>
        <n v="399.22800000000001"/>
        <n v="319.524"/>
        <n v="504.10050000000001"/>
        <n v="232.72800000000001"/>
        <n v="600.34799999999996"/>
        <n v="572.10149999999999"/>
        <n v="1303.6379999999999"/>
        <n v="545.03099999999995"/>
        <n v="671.41049999999996"/>
        <n v="836.59500000000003"/>
        <n v="178.67250000000001"/>
        <n v="1870.5840000000001"/>
        <n v="371.68650000000002"/>
        <n v="33.741"/>
        <n v="177.23099999999999"/>
        <n v="591.38850000000002"/>
        <n v="1624.3575000000001"/>
        <n v="607.91250000000002"/>
        <n v="219.6525"/>
        <n v="112.45950000000001"/>
        <n v="676.28700000000003"/>
        <n v="8693.3534999999993"/>
        <n v="9047.91"/>
        <n v="70.040999999999997"/>
        <n v="1302.51"/>
        <n v="294.42599999999999"/>
        <n v="814.67849999999999"/>
        <n v="360.03300000000002"/>
        <n v="5391.2325000000001"/>
        <n v="4878.1980000000003"/>
        <n v="1044.8505"/>
        <n v="38.983499999999999"/>
        <n v="64.853999999999999"/>
        <n v="645.71550000000002"/>
        <n v="2764.8870000000002"/>
        <n v="6837.0195000000003"/>
        <n v="3556.0545000000002"/>
        <n v="1260.4349999999999"/>
        <n v="3783.7559999999999"/>
        <n v="237.5025"/>
        <n v="170.46899999999999"/>
        <n v="237.54900000000001"/>
        <n v="107.88"/>
        <n v="1137.009"/>
        <n v="260.13150000000002"/>
        <n v="216.01349999999999"/>
        <n v="136.833"/>
        <n v="1229.1975"/>
        <n v="1145.5454999999999"/>
        <n v="275.03250000000003"/>
        <n v="75.765000000000001"/>
        <n v="1290.7574999999999"/>
        <n v="1514.133"/>
        <n v="4581.3795"/>
        <n v="9200.1195000000007"/>
        <n v="6039.6944999999996"/>
        <n v="1415.5050000000001"/>
        <n v="774.03750000000002"/>
        <n v="1034.9024999999999"/>
        <n v="5493.6284999999998"/>
        <n v="95.941500000000005"/>
        <n v="559.15049999999997"/>
        <n v="4386.7484999999997"/>
        <n v="1919.76"/>
        <n v="85.3035"/>
        <n v="104.961"/>
        <n v="721.50300000000004"/>
        <n v="127.524"/>
        <n v="409.71749999999997"/>
        <n v="212.9145"/>
        <n v="4551.6390000000001"/>
        <n v="8687.7644999999993"/>
        <n v="368.52449999999999"/>
        <n v="350.505"/>
        <n v="289.08600000000001"/>
        <n v="95.090999999999994"/>
        <n v="6706.9904999999999"/>
        <n v="973.98450000000003"/>
        <n v="3710.5875000000001"/>
        <n v="367.8"/>
        <n v="308.56799999999998"/>
        <n v="1608.3975"/>
        <n v="6779.277"/>
        <n v="346.51049999999998"/>
        <n v="2831.7795000000001"/>
        <n v="815.65200000000004"/>
        <n v="147.17250000000001"/>
        <n v="241.94399999999999"/>
        <n v="6384.12"/>
        <n v="696.34649999999999"/>
        <n v="3290.4059999999999"/>
        <n v="544.09950000000003"/>
        <n v="718.55250000000001"/>
        <n v="502.70100000000002"/>
        <n v="815.09699999999998"/>
        <n v="714.18"/>
        <n v="352.81200000000001"/>
        <n v="91.747500000000002"/>
        <n v="463.22550000000001"/>
        <n v="7541.5334999999995"/>
        <n v="296.64449999999999"/>
        <n v="292.71300000000002"/>
        <n v="177.1995"/>
        <n v="201.45750000000001"/>
        <n v="241.095"/>
        <n v="872.92499999999995"/>
        <n v="1329.3074999999999"/>
        <n v="299.5575"/>
        <n v="488.53500000000003"/>
        <n v="7837.2539999999999"/>
        <n v="318.084"/>
        <n v="402.02100000000002"/>
        <n v="185.76"/>
        <n v="1687.3364999999999"/>
        <n v="3005.3415"/>
        <n v="539.61149999999998"/>
        <n v="241.0215"/>
        <n v="1744.3995"/>
        <n v="95.495999999999995"/>
        <n v="2379.3389999999999"/>
        <n v="6096.4785000000002"/>
        <n v="945.20550000000003"/>
        <n v="177.36600000000001"/>
        <n v="274.04849999999999"/>
        <n v="272.55900000000003"/>
        <n v="6921.1469999999999"/>
        <n v="375.33600000000001"/>
        <n v="5956.0514999999996"/>
        <n v="1379.0115000000001"/>
        <n v="385.53"/>
        <n v="6785.7224999999999"/>
        <n v="448.20150000000001"/>
        <n v="592.7595"/>
        <n v="49.896000000000001"/>
        <n v="178.61850000000001"/>
        <n v="972.39750000000004"/>
        <n v="289.11"/>
        <n v="3248.0954999999999"/>
        <n v="111.714"/>
        <n v="634.08749999999998"/>
        <n v="619.12800000000004"/>
        <n v="66.021000000000001"/>
        <n v="85.488"/>
        <n v="1057.4385"/>
        <n v="31.782"/>
        <n v="444.93599999999998"/>
        <n v="533.58000000000004"/>
        <n v="255.43049999999999"/>
        <n v="1241.9459999999999"/>
        <n v="606.51300000000003"/>
        <n v="116.712"/>
        <n v="63.261000000000003"/>
        <n v="350.20949999999999"/>
        <n v="550.65"/>
        <n v="1745.412"/>
        <n v="1212.5235"/>
        <n v="1691.0835"/>
        <n v="81.275999999999996"/>
        <n v="5373.1350000000002"/>
        <n v="7857.78"/>
        <n v="130.63200000000001"/>
        <n v="2199.828"/>
        <n v="1134.5805"/>
        <n v="6384.0479999999998"/>
        <n v="889.71299999999997"/>
        <n v="1724.3130000000001"/>
        <n v="641.52449999999999"/>
        <n v="1317.2280000000001"/>
        <n v="152.05950000000001"/>
        <n v="6258.4979999999996"/>
        <n v="354.30900000000003"/>
        <n v="4150.3995000000004"/>
        <n v="1015.779"/>
        <n v="195.30600000000001"/>
        <n v="265.5915"/>
        <n v="288.90600000000001"/>
        <n v="893.36249999999995"/>
        <n v="8327.9490000000005"/>
        <n v="110.121"/>
        <n v="200.89949999999999"/>
        <n v="148.59"/>
        <n v="240.048"/>
        <n v="233.87100000000001"/>
        <n v="361.09800000000001"/>
        <n v="5485.5045"/>
        <n v="34.078499999999998"/>
        <n v="192.738"/>
        <n v="163.803"/>
        <n v="5982.8010000000004"/>
        <n v="2204.0340000000001"/>
        <n v="2086.0664999999999"/>
        <n v="1650.0989999999999"/>
        <n v="338.69400000000002"/>
        <n v="1261.2165"/>
        <n v="289.21199999999999"/>
        <n v="8304.8459999999995"/>
        <n v="1886.6579999999999"/>
        <n v="367.86900000000003"/>
        <n v="6200.5169999999998"/>
        <n v="1185.7439999999999"/>
        <n v="768.04499999999996"/>
        <n v="636.95550000000003"/>
        <n v="401.64"/>
        <n v="1160.547"/>
        <n v="519.24599999999998"/>
        <n v="445.99650000000003"/>
        <n v="141.56700000000001"/>
        <n v="3982.5704999999998"/>
        <n v="120.261"/>
        <n v="3082.7294999999999"/>
        <n v="1043.8215"/>
        <n v="98.972999999999999"/>
        <n v="44.182499999999997"/>
        <n v="461.34899999999999"/>
        <n v="285.822"/>
        <n v="628.89750000000004"/>
        <n v="43.471499999999999"/>
        <n v="1083.126"/>
        <n v="1827.1455000000001"/>
        <n v="432.8175"/>
        <n v="271.05"/>
        <n v="388.76249999999999"/>
        <n v="1964.1044999999999"/>
        <n v="364.79250000000002"/>
        <n v="4778.1660000000002"/>
        <n v="371.35199999999998"/>
        <n v="4641.5474999999997"/>
        <n v="278.08949999999999"/>
        <n v="100.54649999999999"/>
        <n v="452.68950000000001"/>
        <n v="5267.8604999999998"/>
        <n v="4291.5974999999999"/>
        <n v="435.46499999999997"/>
        <n v="68.473500000000001"/>
        <n v="451.96050000000002"/>
        <n v="607.5675"/>
        <n v="1061.7180000000001"/>
        <n v="2283.7815000000001"/>
        <n v="387.27"/>
        <n v="6516.8805000000002"/>
        <n v="4078.6545000000001"/>
        <n v="897.01649999999995"/>
        <n v="1672.431"/>
        <n v="208.215"/>
        <n v="393.798"/>
        <n v="763.59749999999997"/>
        <n v="1857.48"/>
        <n v="722.54250000000002"/>
        <n v="190.107"/>
        <n v="24.724499999999999"/>
        <n v="534.09900000000005"/>
        <n v="128.41800000000001"/>
        <n v="341.45400000000001"/>
        <n v="164.30699999999999"/>
        <n v="223.614"/>
        <n v="2884.473"/>
        <n v="129.30449999999999"/>
      </sharedItems>
    </cacheField>
    <cacheField name="net_profit" numFmtId="8">
      <sharedItems containsSemiMixedTypes="0" containsString="0" containsNumber="1" minValue="-687.89049999999997" maxValue="29130.946" count="1000">
        <n v="11948.709500000001"/>
        <n v="3792.5324999999998"/>
        <n v="3378.7755000000002"/>
        <n v="159.94149999999999"/>
        <n v="398.62699999999899"/>
        <n v="1846.9504999999999"/>
        <n v="142.15199999999999"/>
        <n v="-166.16200000000001"/>
        <n v="864.71450000000004"/>
        <n v="1446.6859999999999"/>
        <n v="1459.8125"/>
        <n v="4300.99"/>
        <n v="720.02"/>
        <n v="17052.701000000001"/>
        <n v="65.758499999999898"/>
        <n v="1058.0930000000001"/>
        <n v="11024.1855"/>
        <n v="4459.1589999999997"/>
        <n v="1891.0160000000001"/>
        <n v="15550.4745"/>
        <n v="3494.0859999999998"/>
        <n v="294.73050000000001"/>
        <n v="521.35799999999995"/>
        <n v="8495.8274999999994"/>
        <n v="502.399"/>
        <n v="159.48249999999999"/>
        <n v="7956.2719999999999"/>
        <n v="1262.8789999999999"/>
        <n v="1047.4259999999999"/>
        <n v="911.80250000000001"/>
        <n v="86.5"/>
        <n v="363.9975"/>
        <n v="1941.8915"/>
        <n v="1890.5184999999999"/>
        <n v="2892.6080000000002"/>
        <n v="2449.8719999999998"/>
        <n v="17650.66"/>
        <n v="758.66099999999994"/>
        <n v="321.827"/>
        <n v="384.33600000000001"/>
        <n v="1232.2819999999999"/>
        <n v="676.13649999999996"/>
        <n v="-687.89049999999997"/>
        <n v="762.25599999999997"/>
        <n v="17668.325499999999"/>
        <n v="10797.503500000001"/>
        <n v="2956.107"/>
        <n v="114.09650000000001"/>
        <n v="1471.6780000000001"/>
        <n v="2524.9854999999998"/>
        <n v="202.33750000000001"/>
        <n v="1825.3589999999999"/>
        <n v="202.2595"/>
        <n v="17875.761500000001"/>
        <n v="531.48699999999997"/>
        <n v="338.31650000000002"/>
        <n v="71.38"/>
        <n v="744.67750000000001"/>
        <n v="679.21600000000001"/>
        <n v="7812.5614999999998"/>
        <n v="-262.863"/>
        <n v="167.97450000000001"/>
        <n v="314.37349999999998"/>
        <n v="1136.8385000000001"/>
        <n v="949.14149999999995"/>
        <n v="-40.3140000000001"/>
        <n v="-11.6"/>
        <n v="4158.7174999999997"/>
        <n v="641.93899999999996"/>
        <n v="125.0275"/>
        <n v="-306.47449999999998"/>
        <n v="751.16700000000003"/>
        <n v="2444.2600000000002"/>
        <n v="-32.468500000000198"/>
        <n v="278.12599999999998"/>
        <n v="896.12750000000005"/>
        <n v="2660.5830000000001"/>
        <n v="1179.7085"/>
        <n v="1166.3105"/>
        <n v="-112.23399999999999"/>
        <n v="10869.254000000001"/>
        <n v="511.928"/>
        <n v="662.79750000000001"/>
        <n v="3049.6635000000001"/>
        <n v="300.53100000000001"/>
        <n v="13890.764999999999"/>
        <n v="415.08949999999999"/>
        <n v="101.84050000000001"/>
        <n v="1194.6959999999999"/>
        <n v="6442.2945"/>
        <n v="12438.263000000001"/>
        <n v="3760.5464999999999"/>
        <n v="700.5145"/>
        <n v="506.64499999999998"/>
        <n v="7175.433"/>
        <n v="5247.4934999999996"/>
        <n v="3247.4940000000001"/>
        <n v="260.02550000000002"/>
        <n v="49.920499999999699"/>
        <n v="1870.6785"/>
        <n v="817.42550000000006"/>
        <n v="269.6395"/>
        <n v="857.79399999999998"/>
        <n v="100.77249999999999"/>
        <n v="760.54100000000005"/>
        <n v="1725.8030000000001"/>
        <n v="1735.2665"/>
        <n v="393.83199999999999"/>
        <n v="10686.343999999999"/>
        <n v="79.157499999999999"/>
        <n v="475.05599999999998"/>
        <n v="604.64449999999999"/>
        <n v="-195.91900000000001"/>
        <n v="237.22649999999999"/>
        <n v="-98.986999999999995"/>
        <n v="9335.9814999999999"/>
        <n v="665.17650000000003"/>
        <n v="1559.6165000000001"/>
        <n v="650.28099999999995"/>
        <n v="1944.327"/>
        <n v="19311.687000000002"/>
        <n v="355.19600000000003"/>
        <n v="276.57049999999998"/>
        <n v="1250.9034999999999"/>
        <n v="4789.4444999999996"/>
        <n v="871.91650000000004"/>
        <n v="249.05699999999999"/>
        <n v="16098.361500000001"/>
        <n v="1944.5985000000001"/>
        <n v="1140.6765"/>
        <n v="1783.8779999999999"/>
        <n v="929.58900000000006"/>
        <n v="197.22450000000001"/>
        <n v="2720.1975000000002"/>
        <n v="254.95949999999999"/>
        <n v="-506.62299999999999"/>
        <n v="239.35050000000001"/>
        <n v="686.46249999999998"/>
        <n v="277.68900000000002"/>
        <n v="3050.0565000000001"/>
        <n v="5942.1795000000002"/>
        <n v="14241.7745"/>
        <n v="2267.9549999999999"/>
        <n v="3850.7204999999999"/>
        <n v="53.311999999999898"/>
        <n v="1133.2950000000001"/>
        <n v="2214.4904999999999"/>
        <n v="4242.49"/>
        <n v="3386.2314999999999"/>
        <n v="655.13250000000005"/>
        <n v="243.26050000000001"/>
        <n v="1519.2139999999999"/>
        <n v="240.238"/>
        <n v="793.14200000000005"/>
        <n v="1801.3715"/>
        <n v="194.82050000000001"/>
        <n v="88.605999999999995"/>
        <n v="2768.451"/>
        <n v="2115.3735000000001"/>
        <n v="-122.5395"/>
        <n v="130.7895"/>
        <n v="1412.5545"/>
        <n v="-16.224"/>
        <n v="5468.08"/>
        <n v="707.44849999999894"/>
        <n v="7504.3545000000004"/>
        <n v="578.6105"/>
        <n v="141.459"/>
        <n v="575.50250000000005"/>
        <n v="132.4075"/>
        <n v="4544.4665000000005"/>
        <n v="18074.701499999999"/>
        <n v="329.21249999999998"/>
        <n v="89.843500000000006"/>
        <n v="2381.7555000000002"/>
        <n v="2422.1579999999999"/>
        <n v="285.24400000000003"/>
        <n v="495.87450000000001"/>
        <n v="1492.731"/>
        <n v="652.37099999999998"/>
        <n v="3313.3240000000001"/>
        <n v="1119.45"/>
        <n v="1996.059"/>
        <n v="2940.7469999999998"/>
        <n v="524.40300000000002"/>
        <n v="405.30849999999998"/>
        <n v="2284.0219999999999"/>
        <n v="78.182000000000102"/>
        <n v="2856.1165000000001"/>
        <n v="-24.045999999999999"/>
        <n v="329.39049999999997"/>
        <n v="8818.3405000000002"/>
        <n v="159.30799999999999"/>
        <n v="241.11099999999999"/>
        <n v="11285.6405"/>
        <n v="407.79700000000003"/>
        <n v="10412.172500000001"/>
        <n v="590.31250000000102"/>
        <n v="681.76"/>
        <n v="243.2285"/>
        <n v="890.51949999999999"/>
        <n v="12362.952499999999"/>
        <n v="1943.6155000000001"/>
        <n v="593.02599999999995"/>
        <n v="1053.2"/>
        <n v="2170.3665000000001"/>
        <n v="940.6395"/>
        <n v="127.95350000000001"/>
        <n v="19070.263999999999"/>
        <n v="3272.3890000000001"/>
        <n v="2443.0920000000001"/>
        <n v="297.51900000000001"/>
        <n v="2789.9070000000002"/>
        <n v="10230.788"/>
        <n v="230.84700000000001"/>
        <n v="1616.6320000000001"/>
        <n v="25782.037499999999"/>
        <n v="265.3535"/>
        <n v="24131.611499999999"/>
        <n v="8344.0144999999993"/>
        <n v="359.95150000000001"/>
        <n v="346.8485"/>
        <n v="288.93299999999999"/>
        <n v="1920.8520000000001"/>
        <n v="976.88900000000001"/>
        <n v="601.67750000000001"/>
        <n v="2852.1590000000001"/>
        <n v="-29.395"/>
        <n v="13337.5"/>
        <n v="2839.6260000000002"/>
        <n v="764.1155"/>
        <n v="3206.6025"/>
        <n v="3723.5515"/>
        <n v="880.29499999999996"/>
        <n v="2917.8944999999999"/>
        <n v="15041.8205"/>
        <n v="6136.74"/>
        <n v="4357.3215"/>
        <n v="2742.9409999999998"/>
        <n v="679.42750000000001"/>
        <n v="280.83449999999999"/>
        <n v="2975.6015000000002"/>
        <n v="1411.9804999999999"/>
        <n v="422.2595"/>
        <n v="1064.0625"/>
        <n v="1290.3064999999999"/>
        <n v="4704.3485000000001"/>
        <n v="86.066999999999894"/>
        <n v="13707.05"/>
        <n v="2098.2334999999998"/>
        <n v="2133.2995000000001"/>
        <n v="78.855500000000006"/>
        <n v="631.03499999999997"/>
        <n v="3378.9830000000002"/>
        <n v="813.58050000000003"/>
        <n v="2192.2199999999998"/>
        <n v="1870.146"/>
        <n v="16802.361000000001"/>
        <n v="1641.0325"/>
        <n v="926.24"/>
        <n v="2758.9344999999998"/>
        <n v="1094.479"/>
        <n v="448.63400000000001"/>
        <n v="12878.8475"/>
        <n v="1265.6485"/>
        <n v="21370.828000000001"/>
        <n v="326.78550000000001"/>
        <n v="207.93899999999999"/>
        <n v="16311.3935"/>
        <n v="349.23950000000002"/>
        <n v="341.029"/>
        <n v="156.83949999999999"/>
        <n v="327.09449999999998"/>
        <n v="12.9245"/>
        <n v="3984.6224999999999"/>
        <n v="565.92049999999995"/>
        <n v="7681.0590000000002"/>
        <n v="12401.182500000001"/>
        <n v="111.4145"/>
        <n v="3861.2150000000001"/>
        <n v="532.65700000000004"/>
        <n v="7179.4560000000001"/>
        <n v="464.01650000000001"/>
        <n v="347.45650000000001"/>
        <n v="861.85149999999999"/>
        <n v="1295.6955"/>
        <n v="187.16149999999999"/>
        <n v="1597.2670000000001"/>
        <n v="730.16899999999998"/>
        <n v="114.5335"/>
        <n v="332.12900000000002"/>
        <n v="1801.088"/>
        <n v="666.46799999999996"/>
        <n v="254.28899999999999"/>
        <n v="2178.2764999999999"/>
        <n v="828.4085"/>
        <n v="-41.527500000000003"/>
        <n v="774.29200000000003"/>
        <n v="-124.16800000000001"/>
        <n v="1201.2760000000001"/>
        <n v="2757.7440000000001"/>
        <n v="1264.7570000000001"/>
        <n v="-124.10550000000001"/>
        <n v="1794.6389999999999"/>
        <n v="-218.78450000000001"/>
        <n v="33.14"/>
        <n v="2640.4650000000001"/>
        <n v="2399.9229999999998"/>
        <n v="7497.0664999999999"/>
        <n v="1479.354"/>
        <n v="78.136499999999799"/>
        <n v="1572.4195"/>
        <n v="745.73450000000003"/>
        <n v="-198.99950000000001"/>
        <n v="1004.9815"/>
        <n v="70.572999999999794"/>
        <n v="-99.914500000000004"/>
        <n v="1052.7194999999999"/>
        <n v="519.62"/>
        <n v="4501.9645"/>
        <n v="283.7885"/>
        <n v="230.6925"/>
        <n v="384.608"/>
        <n v="436.73700000000002"/>
        <n v="60.960999999999999"/>
        <n v="9016.2970000000005"/>
        <n v="3388.239"/>
        <n v="468.91"/>
        <n v="251.14449999999999"/>
        <n v="286.65449999999998"/>
        <n v="1569.2035000000001"/>
        <n v="3380.3065000000001"/>
        <n v="3863.2559999999999"/>
        <n v="6073.1144999999997"/>
        <n v="2737.8685"/>
        <n v="91.647999999999996"/>
        <n v="13837.4295"/>
        <n v="220.035"/>
        <n v="429.95400000000001"/>
        <n v="21518.261500000001"/>
        <n v="5760.6795000000002"/>
        <n v="376.726"/>
        <n v="970.63850000000002"/>
        <n v="2466.1"/>
        <n v="29023.865000000002"/>
        <n v="4525.2965000000004"/>
        <n v="4052.2595000000001"/>
        <n v="1649.1130000000001"/>
        <n v="1278.1025"/>
        <n v="339.43049999999999"/>
        <n v="4846.5434999999998"/>
        <n v="3221.4175"/>
        <n v="425.50799999999998"/>
        <n v="126.02"/>
        <n v="5949.1769999999997"/>
        <n v="22739.413499999999"/>
        <n v="7119.8194999999996"/>
        <n v="1390.2974999999999"/>
        <n v="4647.759"/>
        <n v="386.07100000000003"/>
        <n v="720.2165"/>
        <n v="5881.433"/>
        <n v="12156.451999999999"/>
        <n v="190.392"/>
        <n v="318.59199999999998"/>
        <n v="25101.628499999999"/>
        <n v="263.28699999999998"/>
        <n v="2832.4090000000001"/>
        <n v="374.92349999999999"/>
        <n v="1926.2204999999999"/>
        <n v="1018.229"/>
        <n v="139.57300000000001"/>
        <n v="242.73650000000001"/>
        <n v="2957.8595"/>
        <n v="41.323999999999998"/>
        <n v="20474.5455"/>
        <n v="6619.4620000000004"/>
        <n v="500.41550000000001"/>
        <n v="972.34249999999997"/>
        <n v="10908.967000000001"/>
        <n v="772.23649999999998"/>
        <n v="944.77250000000004"/>
        <n v="116.6255"/>
        <n v="5454.576"/>
        <n v="213.77549999999999"/>
        <n v="4978.3035"/>
        <n v="411.827"/>
        <n v="114.5865"/>
        <n v="132.81649999999999"/>
        <n v="2120.08"/>
        <n v="148.6045"/>
        <n v="418.6105"/>
        <n v="67.507999999999996"/>
        <n v="710.95749999999998"/>
        <n v="3716.973"/>
        <n v="41.070999999999898"/>
        <n v="2723.998"/>
        <n v="6457.1570000000002"/>
        <n v="2729.2150000000001"/>
        <n v="314.85899999999998"/>
        <n v="423.87799999999999"/>
        <n v="3159.4690000000001"/>
        <n v="8224.8065000000006"/>
        <n v="1669.0515"/>
        <n v="914.06799999999998"/>
        <n v="202.18"/>
        <n v="5322.0240000000003"/>
        <n v="5566.7394999999997"/>
        <n v="5379.4759999999997"/>
        <n v="966.90549999999996"/>
        <n v="865.48599999999999"/>
        <n v="1176.9469999999999"/>
        <n v="1082.4704999999999"/>
        <n v="1329.2194999999999"/>
        <n v="342.24299999999999"/>
        <n v="4758.4949999999999"/>
        <n v="294.76150000000001"/>
        <n v="1266.8965000000001"/>
        <n v="1149.24"/>
        <n v="1143.9349999999999"/>
        <n v="1870.4565"/>
        <n v="1085.0319999999999"/>
        <n v="124.10299999999999"/>
        <n v="3435.3020000000001"/>
        <n v="1294.4535000000001"/>
        <n v="299.51299999999998"/>
        <n v="9292.3955000000005"/>
        <n v="11228.243"/>
        <n v="27419.94"/>
        <n v="9460.1144999999997"/>
        <n v="215.899"/>
        <n v="4674.87"/>
        <n v="188.203"/>
        <n v="2387.0635000000002"/>
        <n v="470.66300000000001"/>
        <n v="517.39099999999996"/>
        <n v="11010.1445"/>
        <n v="349.40800000000002"/>
        <n v="3889.9285"/>
        <n v="459.82749999999999"/>
        <n v="1352.806"/>
        <n v="1879.3969999999999"/>
        <n v="489.77800000000002"/>
        <n v="4730.8284999999996"/>
        <n v="510.72449999999998"/>
        <n v="127.6425"/>
        <n v="1051.8865000000001"/>
        <n v="19.9845000000001"/>
        <n v="890.41600000000005"/>
        <n v="1575.1980000000001"/>
        <n v="892.15549999999996"/>
        <n v="1524.317"/>
        <n v="2929.09"/>
        <n v="61.767499999999998"/>
        <n v="2998.989"/>
        <n v="277.13099999999997"/>
        <n v="-177.49600000000001"/>
        <n v="424.84899999999999"/>
        <n v="1105.797"/>
        <n v="4488.0195000000003"/>
        <n v="2288.2375000000002"/>
        <n v="475.70499999999998"/>
        <n v="-594.11649999999997"/>
        <n v="721.375"/>
        <n v="734.14649999999995"/>
        <n v="6949.3869999999997"/>
        <n v="11114.271500000001"/>
        <n v="724.46299999999997"/>
        <n v="1203.8005000000001"/>
        <n v="462.43049999999999"/>
        <n v="6126.2365"/>
        <n v="97.704999999999998"/>
        <n v="7354.8765000000003"/>
        <n v="560.01549999999997"/>
        <n v="2315.9389999999999"/>
        <n v="5303.0630000000001"/>
        <n v="1072.3135"/>
        <n v="547.29949999999997"/>
        <n v="761.04149999999902"/>
        <n v="1630.8054999999999"/>
        <n v="-81.162499999999895"/>
        <n v="3602.7860000000001"/>
        <n v="736.12249999999995"/>
        <n v="3927.8445000000002"/>
        <n v="562.79899999999998"/>
        <n v="13372.967500000001"/>
        <n v="481.53050000000002"/>
        <n v="7172.4665000000005"/>
        <n v="1640.2104999999999"/>
        <n v="10690.575999999999"/>
        <n v="152.5085"/>
        <n v="761.47299999999996"/>
        <n v="140.667"/>
        <n v="13856.914000000001"/>
        <n v="465.54599999999999"/>
        <n v="141.24950000000001"/>
        <n v="1002.9875"/>
        <n v="4826.4944999999998"/>
        <n v="84.6"/>
        <n v="4038.4450000000002"/>
        <n v="467.47500000000002"/>
        <n v="8819.73"/>
        <n v="588.26300000000003"/>
        <n v="3335.1959999999999"/>
        <n v="824.91899999999998"/>
        <n v="15630.477999999999"/>
        <n v="135.26499999999999"/>
        <n v="87.337499999999906"/>
        <n v="3683.6464999999998"/>
        <n v="3549.63"/>
        <n v="9021.23"/>
        <n v="24188.293000000001"/>
        <n v="1681.896"/>
        <n v="13699.943499999999"/>
        <n v="82.736499999999793"/>
        <n v="3350.8445000000002"/>
        <n v="343.82"/>
        <n v="1124.6334999999999"/>
        <n v="-229.7295"/>
        <n v="155.03450000000001"/>
        <n v="14574.4665"/>
        <n v="4243.1315000000004"/>
        <n v="2660.28"/>
        <n v="4685.37"/>
        <n v="409.572"/>
        <n v="31.327500000000001"/>
        <n v="4444.78"/>
        <n v="-510.72050000000002"/>
        <n v="232.01349999999999"/>
        <n v="6359.6895000000004"/>
        <n v="3614.8085000000001"/>
        <n v="3137.8530000000001"/>
        <n v="1559.0219999999999"/>
        <n v="2711.9749999999999"/>
        <n v="-228.155"/>
        <n v="1553.3015"/>
        <n v="2253.4704999999999"/>
        <n v="1137.9649999999999"/>
        <n v="756.87"/>
        <n v="29130.946"/>
        <n v="4727.41"/>
        <n v="999.32899999999995"/>
        <n v="10978.26"/>
        <n v="1232.4639999999999"/>
        <n v="673.33699999999999"/>
        <n v="6730.835"/>
        <n v="-15.4765"/>
        <n v="3173.47"/>
        <n v="317.92099999999999"/>
        <n v="1221.0215000000001"/>
        <n v="8195.1574999999993"/>
        <n v="1296.5605"/>
        <n v="851.697"/>
        <n v="188.64449999999999"/>
        <n v="998.44100000000003"/>
        <n v="3114.3229999999999"/>
        <n v="994.76"/>
        <n v="120.29600000000001"/>
        <n v="81.424000000000007"/>
        <n v="462.93650000000002"/>
        <n v="69.217500000000001"/>
        <n v="1127.7460000000001"/>
        <n v="255.6"/>
        <n v="23588.685000000001"/>
        <n v="844.9135"/>
        <n v="14162.798000000001"/>
        <n v="1862.886"/>
        <n v="823.60249999999996"/>
        <n v="282.07150000000001"/>
        <n v="176.78399999999999"/>
        <n v="132.822"/>
        <n v="440.5385"/>
        <n v="549.14700000000005"/>
        <n v="175.7465"/>
        <n v="274.06349999999998"/>
        <n v="3224.0915"/>
        <n v="2618.4769999999999"/>
        <n v="14844.725"/>
        <n v="4348.1215000000002"/>
        <n v="336.79950000000002"/>
        <n v="52.3185"/>
        <n v="16522.923999999999"/>
        <n v="-55.423999999999999"/>
        <n v="15579.895500000001"/>
        <n v="46.243499999999997"/>
        <n v="8355.7129999999997"/>
        <n v="4497.4359999999997"/>
        <n v="744.65200000000004"/>
        <n v="7484.2285000000002"/>
        <n v="23756.266"/>
        <n v="229.75550000000001"/>
        <n v="-89.07"/>
        <n v="928.16300000000001"/>
        <n v="2522.1035000000002"/>
        <n v="1097.251"/>
        <n v="-21.9540000000002"/>
        <n v="2613.7384999999999"/>
        <n v="15783.031499999999"/>
        <n v="808.77549999999997"/>
        <n v="5011.0375000000004"/>
        <n v="8870.6260000000002"/>
        <n v="7033.826"/>
        <n v="421.34300000000002"/>
        <n v="1990.2915"/>
        <n v="18.082999999999998"/>
        <n v="678.678"/>
        <n v="918.62400000000002"/>
        <n v="9990.9570000000003"/>
        <n v="258.62849999999997"/>
        <n v="1511.1115"/>
        <n v="616.73649999999998"/>
        <n v="5365.6525000000001"/>
        <n v="620.18799999999999"/>
        <n v="220.66"/>
        <n v="1260.1605"/>
        <n v="530.48099999999999"/>
        <n v="1263.768"/>
        <n v="74.254000000000005"/>
        <n v="992.11450000000002"/>
        <n v="20278.266500000002"/>
        <n v="541.86450000000002"/>
        <n v="12164.777"/>
        <n v="4563.5150000000003"/>
        <n v="180.18950000000001"/>
        <n v="809.35550000000001"/>
        <n v="399.48500000000001"/>
        <n v="9732.6640000000007"/>
        <n v="231.67250000000001"/>
        <n v="19477.272000000001"/>
        <n v="2705.5990000000002"/>
        <n v="385.89850000000001"/>
        <n v="3287.0949999999998"/>
        <n v="2233.4140000000002"/>
        <n v="4715.3710000000001"/>
        <n v="5030.4650000000001"/>
        <n v="7502.07599999999"/>
        <n v="452.66149999999999"/>
        <n v="16200.351000000001"/>
        <n v="628.99300000000005"/>
        <n v="75.924000000000007"/>
        <n v="351.27300000000002"/>
        <n v="3883.0635000000002"/>
        <n v="1254.2260000000001"/>
        <n v="540.59749999999997"/>
        <n v="3974.7820000000002"/>
        <n v="458.80200000000002"/>
        <n v="892.19799999999998"/>
        <n v="12499.281999999999"/>
        <n v="2108.846"/>
        <n v="464.26799999999997"/>
        <n v="2375.0315000000001"/>
        <n v="10810.691500000001"/>
        <n v="1345.5835"/>
        <n v="9240.5560000000005"/>
        <n v="1316.5235"/>
        <n v="1516.723"/>
        <n v="4215.3140000000003"/>
        <n v="337.47050000000002"/>
        <n v="407.1585"/>
        <n v="2711.9070000000002"/>
        <n v="283.59100000000001"/>
        <n v="292.4135"/>
        <n v="3068.2165"/>
        <n v="2246.0430000000001"/>
        <n v="19225.670999999998"/>
        <n v="786.15700000000004"/>
        <n v="2760.6785"/>
        <n v="690.62950000000001"/>
        <n v="-41.210999999999999"/>
        <n v="4097.6495000000004"/>
        <n v="1357.7405000000001"/>
        <n v="295.3295"/>
        <n v="1440.991"/>
        <n v="8325.2425000000003"/>
        <n v="109.946"/>
        <n v="623.25599999999997"/>
        <n v="3197.8710000000001"/>
        <n v="1713.3219999999999"/>
        <n v="10719.927"/>
        <n v="4647.2015000000001"/>
        <n v="23984.587"/>
        <n v="2772.4050000000002"/>
        <n v="14.584"/>
        <n v="672.28549999999996"/>
        <n v="137.61799999999999"/>
        <n v="455.06200000000001"/>
        <n v="85.445499999999996"/>
        <n v="8581.4574999999895"/>
        <n v="800.07899999999995"/>
        <n v="-338.91050000000001"/>
        <n v="2856.7424999999998"/>
        <n v="439.11900000000003"/>
        <n v="2110.1644999999999"/>
        <n v="2708.2795000000001"/>
        <n v="4464.0690000000004"/>
        <n v="2346.4614999999999"/>
        <n v="1437.24"/>
        <n v="7249.6790000000001"/>
        <n v="205.21250000000001"/>
        <n v="6874.5680000000002"/>
        <n v="-320.11250000000001"/>
        <n v="1249.5695000000001"/>
        <n v="290.12400000000002"/>
        <n v="790.53800000000001"/>
        <n v="4524.4475000000002"/>
        <n v="8183.4989999999998"/>
        <n v="124.95350000000001"/>
        <n v="-168.65450000000001"/>
        <n v="881.89549999999997"/>
        <n v="262.71699999999998"/>
        <n v="343.45499999999998"/>
        <n v="-396.173"/>
        <n v="110.577"/>
        <n v="749.29150000000004"/>
        <n v="16117.949000000001"/>
        <n v="124.4485"/>
        <n v="7607.0855000000001"/>
        <n v="2203.0709999999999"/>
        <n v="23.420999999999999"/>
        <n v="151.99600000000001"/>
        <n v="1607.2145"/>
        <n v="407.77749999999997"/>
        <n v="304.50900000000001"/>
        <n v="131.8905"/>
        <n v="73.483000000000004"/>
        <n v="4391.5394999999999"/>
        <n v="14460.038500000001"/>
        <n v="798.06799999999998"/>
        <n v="141.78800000000001"/>
        <n v="326.20949999999999"/>
        <n v="136.3895"/>
        <n v="1776.866"/>
        <n v="551.5145"/>
        <n v="916.36599999999999"/>
        <n v="278.0625"/>
        <n v="543.91"/>
        <n v="9046.2139999999999"/>
        <n v="589.07399999999996"/>
        <n v="4425.0934999999999"/>
        <n v="348.22899999999998"/>
        <n v="291.178"/>
        <n v="82.514499999999998"/>
        <n v="497.23950000000002"/>
        <n v="845.548"/>
        <n v="591.30399999999997"/>
        <n v="1372.6255000000001"/>
        <n v="547.73199999999997"/>
        <n v="1665.068"/>
        <n v="1117.9485"/>
        <n v="1641.0540000000001"/>
        <n v="1211.7449999999999"/>
        <n v="1759.1714999999999"/>
        <n v="1990.269"/>
        <n v="56.5895000000002"/>
        <n v="3210.1959999999999"/>
        <n v="189.1395"/>
        <n v="81.891000000000005"/>
        <n v="-372.27100000000002"/>
        <n v="810.06550000000004"/>
        <n v="2100.4085"/>
        <n v="1583.5615"/>
        <n v="230.51349999999999"/>
        <n v="266.43450000000001"/>
        <n v="1323.5730000000001"/>
        <n v="18473.552500000002"/>
        <n v="20309.169999999998"/>
        <n v="182.76300000000001"/>
        <n v="2203.4180000000001"/>
        <n v="571.49800000000005"/>
        <n v="703.05550000000005"/>
        <n v="978.14300000000003"/>
        <n v="10415.6495"/>
        <n v="10496.878000000001"/>
        <n v="2823.4355"/>
        <n v="72.530500000000004"/>
        <n v="172.166"/>
        <n v="1042.8185000000001"/>
        <n v="5753.509"/>
        <n v="13210.8665"/>
        <n v="5353.2195000000002"/>
        <n v="2004.6969999999999"/>
        <n v="7865.5"/>
        <n v="342.85950000000003"/>
        <n v="482.995"/>
        <n v="233.023"/>
        <n v="256.60399999999998"/>
        <n v="2603.2269999999999"/>
        <n v="408.66250000000002"/>
        <n v="541.11249999999995"/>
        <n v="218.35900000000001"/>
        <n v="3490.6965"/>
        <n v="2652.4605000000001"/>
        <n v="250.39349999999999"/>
        <n v="53.991"/>
        <n v="3065.2125000000001"/>
        <n v="2915.1309999999999"/>
        <n v="5759.5625"/>
        <n v="25213.322499999998"/>
        <n v="14394.9835"/>
        <n v="3381.0149999999999"/>
        <n v="957.11249999999995"/>
        <n v="1827.6075000000001"/>
        <n v="10899.289500000001"/>
        <n v="57.108499999999999"/>
        <n v="1261.1315"/>
        <n v="9776.7934999999998"/>
        <n v="4622.9799999999996"/>
        <n v="183.48249999999999"/>
        <n v="-310.40899999999999"/>
        <n v="1187.9090000000001"/>
        <n v="75.012"/>
        <n v="798.50850000000003"/>
        <n v="398.17149999999998"/>
        <n v="12426.009"/>
        <n v="23470.573499999999"/>
        <n v="810.4375"/>
        <n v="525.375"/>
        <n v="634.11"/>
        <n v="102.96899999999999"/>
        <n v="16221.5795"/>
        <n v="1831.3615"/>
        <n v="6790.1144999999997"/>
        <n v="320.66399999999999"/>
        <n v="499.12"/>
        <n v="3535.5284999999999"/>
        <n v="13692.027"/>
        <n v="496.47550000000001"/>
        <n v="4922.0945000000002"/>
        <n v="1969.08"/>
        <n v="-340.16250000000002"/>
        <n v="329.77199999999999"/>
        <n v="10134.175999999999"/>
        <n v="526.93150000000003"/>
        <n v="9149.3459999999995"/>
        <n v="1129.2825"/>
        <n v="1573.6295"/>
        <n v="1357.395"/>
        <n v="749.24699999999905"/>
        <n v="1362.0360000000001"/>
        <n v="490.70400000000001"/>
        <n v="255.57050000000001"/>
        <n v="891.40049999999997"/>
        <n v="12262.968500000001"/>
        <n v="618.68550000000005"/>
        <n v="169.79499999999999"/>
        <n v="255.34649999999999"/>
        <n v="168.72450000000001"/>
        <n v="688.58100000000002"/>
        <n v="1873.731"/>
        <n v="2504.3505"/>
        <n v="200.91249999999999"/>
        <n v="1287.865"/>
        <n v="19176.781999999999"/>
        <n v="523.34400000000005"/>
        <n v="634.98299999999995"/>
        <n v="262.5"/>
        <n v="2959.0455000000002"/>
        <n v="7142.5405000000001"/>
        <n v="250.79849999999999"/>
        <n v="537.64449999999999"/>
        <n v="4253.2905000000001"/>
        <n v="103.252"/>
        <n v="4736.317"/>
        <n v="14539.119500000001"/>
        <n v="2213.2804999999998"/>
        <n v="432.702"/>
        <n v="703.3175"/>
        <n v="253.86099999999999"/>
        <n v="15202.973"/>
        <n v="771.88"/>
        <n v="13092.0785"/>
        <n v="2493.8024999999998"/>
        <n v="154.042"/>
        <n v="16013.031499999999"/>
        <n v="873.24850000000004"/>
        <n v="1413.7225000000001"/>
        <n v="42.996000000000002"/>
        <n v="-77.004500000000206"/>
        <n v="1077.9965"/>
        <n v="316.93799999999999"/>
        <n v="6326.7664999999997"/>
        <n v="223.08199999999999"/>
        <n v="1542.2584999999999"/>
        <n v="1568.06"/>
        <n v="172.72300000000001"/>
        <n v="165.66399999999999"/>
        <n v="582.91549999999904"/>
        <n v="76.713999999999999"/>
        <n v="650.71199999999999"/>
        <n v="721.51599999999996"/>
        <n v="516.39149999999995"/>
        <n v="2920.35"/>
        <n v="1539.2270000000001"/>
        <n v="148.34399999999999"/>
        <n v="145.95500000000001"/>
        <n v="675.23249999999996"/>
        <n v="1573.9739999999999"/>
        <n v="3783.1039999999998"/>
        <n v="754.59050000000002"/>
        <n v="4787.8145000000004"/>
        <n v="146.99199999999999"/>
        <n v="6823.277"/>
        <n v="22271.736000000001"/>
        <n v="184.364"/>
        <n v="4442.692"/>
        <n v="1077.7895000000001"/>
        <n v="10308.816000000001"/>
        <n v="2032.1990000000001"/>
        <n v="3841.3989999999999"/>
        <n v="1232.6175000000001"/>
        <n v="3102.6559999999999"/>
        <n v="-247.73750000000001"/>
        <n v="11711.941999999999"/>
        <n v="641.947"/>
        <n v="11426.6145"/>
        <n v="1545.4690000000001"/>
        <n v="334.91800000000001"/>
        <n v="598.60649999999998"/>
        <n v="-152.482"/>
        <n v="661.99950000000001"/>
        <n v="17810.679"/>
        <n v="97.175000000000097"/>
        <n v="488.32650000000001"/>
        <n v="380.96600000000001"/>
        <n v="197.48"/>
        <n v="126.393"/>
        <n v="299.03800000000001"/>
        <n v="13924.565500000001"/>
        <n v="-82.436499999999995"/>
        <n v="139.30600000000001"/>
        <n v="50.716999999999999"/>
        <n v="11090.299000000001"/>
        <n v="5397.3580000000002"/>
        <n v="4493.9915000000001"/>
        <n v="3870.5529999999999"/>
        <n v="209.66200000000001"/>
        <n v="2613.2815000000001"/>
        <n v="5.52799999999979"/>
        <n v="21653.013999999999"/>
        <n v="5316.8140000000003"/>
        <n v="998.17100000000005"/>
        <n v="13372.679"/>
        <n v="1574.5360000000001"/>
        <n v="1595.9469999999999"/>
        <n v="1813.0785000000001"/>
        <n v="994.33600000000001"/>
        <n v="2875.2930000000001"/>
        <n v="593.71"/>
        <n v="713.98149999999998"/>
        <n v="206.42500000000001"/>
        <n v="6311.9674999999997"/>
        <n v="-12.888999999999999"/>
        <n v="8110.0964999999997"/>
        <n v="2833.1205"/>
        <n v="110.259"/>
        <n v="45.555500000000002"/>
        <n v="1042.5830000000001"/>
        <n v="532.71400000000006"/>
        <n v="1078.8765000000001"/>
        <n v="18.6785"/>
        <n v="2785.9259999999999"/>
        <n v="4646.6445000000003"/>
        <n v="1087.5165"/>
        <n v="127.32599999999999"/>
        <n v="632.31550000000004"/>
        <n v="5240.8374999999996"/>
        <n v="980.58150000000001"/>
        <n v="8067.8980000000001"/>
        <n v="216.24"/>
        <n v="8978.3425000000007"/>
        <n v="675.44050000000004"/>
        <n v="223.19550000000001"/>
        <n v="867.08849999999995"/>
        <n v="12419.7135"/>
        <n v="9310.8724999999995"/>
        <n v="785.447"/>
        <n v="170.83250000000001"/>
        <n v="561.73749999999995"/>
        <n v="1584.6585"/>
        <n v="2210.6219999999998"/>
        <n v="5655.0884999999998"/>
        <n v="1031.4860000000001"/>
        <n v="8621.4215000000004"/>
        <n v="9176.0195000000003"/>
        <n v="2458.7055"/>
        <n v="3790.2449999999999"/>
        <n v="-464.23500000000001"/>
        <n v="859.37400000000002"/>
        <n v="824.56849999999997"/>
        <n v="5211.0079999999998"/>
        <n v="1762.9915000000001"/>
        <n v="164.71700000000001"/>
        <n v="25.241499999999998"/>
        <n v="1118.405"/>
        <n v="364.786"/>
        <n v="178.42599999999999"/>
        <n v="450.28100000000001"/>
        <n v="-13.2460000000001"/>
        <n v="5843.415"/>
        <n v="-389.6544999999999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1"/>
    <x v="1"/>
    <x v="1"/>
    <x v="1"/>
  </r>
  <r>
    <x v="2"/>
    <x v="2"/>
    <x v="1"/>
    <x v="2"/>
    <x v="0"/>
    <x v="2"/>
    <x v="2"/>
    <x v="2"/>
    <x v="2"/>
    <x v="2"/>
    <x v="2"/>
    <x v="2"/>
    <x v="1"/>
    <x v="2"/>
    <x v="1"/>
    <x v="2"/>
    <x v="1"/>
    <x v="1"/>
    <x v="0"/>
    <x v="0"/>
    <x v="2"/>
    <x v="2"/>
    <x v="2"/>
    <x v="2"/>
  </r>
  <r>
    <x v="3"/>
    <x v="3"/>
    <x v="2"/>
    <x v="3"/>
    <x v="2"/>
    <x v="3"/>
    <x v="3"/>
    <x v="3"/>
    <x v="3"/>
    <x v="3"/>
    <x v="3"/>
    <x v="3"/>
    <x v="2"/>
    <x v="3"/>
    <x v="2"/>
    <x v="3"/>
    <x v="2"/>
    <x v="0"/>
    <x v="1"/>
    <x v="1"/>
    <x v="3"/>
    <x v="3"/>
    <x v="3"/>
    <x v="3"/>
  </r>
  <r>
    <x v="4"/>
    <x v="4"/>
    <x v="3"/>
    <x v="4"/>
    <x v="2"/>
    <x v="4"/>
    <x v="4"/>
    <x v="4"/>
    <x v="4"/>
    <x v="4"/>
    <x v="4"/>
    <x v="4"/>
    <x v="3"/>
    <x v="4"/>
    <x v="3"/>
    <x v="1"/>
    <x v="2"/>
    <x v="0"/>
    <x v="1"/>
    <x v="2"/>
    <x v="4"/>
    <x v="4"/>
    <x v="4"/>
    <x v="4"/>
  </r>
  <r>
    <x v="5"/>
    <x v="5"/>
    <x v="3"/>
    <x v="4"/>
    <x v="3"/>
    <x v="5"/>
    <x v="5"/>
    <x v="5"/>
    <x v="5"/>
    <x v="5"/>
    <x v="5"/>
    <x v="5"/>
    <x v="4"/>
    <x v="5"/>
    <x v="3"/>
    <x v="0"/>
    <x v="1"/>
    <x v="1"/>
    <x v="0"/>
    <x v="0"/>
    <x v="5"/>
    <x v="5"/>
    <x v="5"/>
    <x v="5"/>
  </r>
  <r>
    <x v="6"/>
    <x v="6"/>
    <x v="3"/>
    <x v="5"/>
    <x v="4"/>
    <x v="6"/>
    <x v="6"/>
    <x v="6"/>
    <x v="6"/>
    <x v="6"/>
    <x v="6"/>
    <x v="6"/>
    <x v="5"/>
    <x v="6"/>
    <x v="1"/>
    <x v="1"/>
    <x v="1"/>
    <x v="2"/>
    <x v="1"/>
    <x v="1"/>
    <x v="6"/>
    <x v="6"/>
    <x v="6"/>
    <x v="6"/>
  </r>
  <r>
    <x v="7"/>
    <x v="7"/>
    <x v="4"/>
    <x v="6"/>
    <x v="2"/>
    <x v="7"/>
    <x v="7"/>
    <x v="7"/>
    <x v="5"/>
    <x v="7"/>
    <x v="7"/>
    <x v="7"/>
    <x v="0"/>
    <x v="7"/>
    <x v="3"/>
    <x v="1"/>
    <x v="0"/>
    <x v="1"/>
    <x v="1"/>
    <x v="3"/>
    <x v="7"/>
    <x v="7"/>
    <x v="7"/>
    <x v="7"/>
  </r>
  <r>
    <x v="8"/>
    <x v="8"/>
    <x v="2"/>
    <x v="3"/>
    <x v="2"/>
    <x v="8"/>
    <x v="8"/>
    <x v="8"/>
    <x v="1"/>
    <x v="8"/>
    <x v="8"/>
    <x v="8"/>
    <x v="6"/>
    <x v="8"/>
    <x v="1"/>
    <x v="2"/>
    <x v="1"/>
    <x v="0"/>
    <x v="1"/>
    <x v="1"/>
    <x v="8"/>
    <x v="8"/>
    <x v="8"/>
    <x v="8"/>
  </r>
  <r>
    <x v="9"/>
    <x v="9"/>
    <x v="2"/>
    <x v="3"/>
    <x v="5"/>
    <x v="9"/>
    <x v="9"/>
    <x v="9"/>
    <x v="6"/>
    <x v="9"/>
    <x v="9"/>
    <x v="9"/>
    <x v="7"/>
    <x v="9"/>
    <x v="1"/>
    <x v="3"/>
    <x v="2"/>
    <x v="3"/>
    <x v="1"/>
    <x v="3"/>
    <x v="9"/>
    <x v="9"/>
    <x v="9"/>
    <x v="9"/>
  </r>
  <r>
    <x v="10"/>
    <x v="10"/>
    <x v="3"/>
    <x v="5"/>
    <x v="4"/>
    <x v="10"/>
    <x v="10"/>
    <x v="10"/>
    <x v="7"/>
    <x v="10"/>
    <x v="10"/>
    <x v="10"/>
    <x v="2"/>
    <x v="10"/>
    <x v="0"/>
    <x v="2"/>
    <x v="0"/>
    <x v="3"/>
    <x v="0"/>
    <x v="0"/>
    <x v="10"/>
    <x v="10"/>
    <x v="10"/>
    <x v="10"/>
  </r>
  <r>
    <x v="11"/>
    <x v="11"/>
    <x v="3"/>
    <x v="5"/>
    <x v="6"/>
    <x v="11"/>
    <x v="11"/>
    <x v="11"/>
    <x v="3"/>
    <x v="11"/>
    <x v="11"/>
    <x v="11"/>
    <x v="8"/>
    <x v="11"/>
    <x v="4"/>
    <x v="2"/>
    <x v="1"/>
    <x v="1"/>
    <x v="1"/>
    <x v="2"/>
    <x v="11"/>
    <x v="11"/>
    <x v="11"/>
    <x v="11"/>
  </r>
  <r>
    <x v="12"/>
    <x v="12"/>
    <x v="4"/>
    <x v="6"/>
    <x v="7"/>
    <x v="12"/>
    <x v="3"/>
    <x v="12"/>
    <x v="8"/>
    <x v="12"/>
    <x v="12"/>
    <x v="12"/>
    <x v="3"/>
    <x v="12"/>
    <x v="3"/>
    <x v="2"/>
    <x v="0"/>
    <x v="2"/>
    <x v="1"/>
    <x v="2"/>
    <x v="12"/>
    <x v="12"/>
    <x v="12"/>
    <x v="12"/>
  </r>
  <r>
    <x v="13"/>
    <x v="13"/>
    <x v="0"/>
    <x v="0"/>
    <x v="8"/>
    <x v="13"/>
    <x v="12"/>
    <x v="13"/>
    <x v="9"/>
    <x v="3"/>
    <x v="13"/>
    <x v="13"/>
    <x v="9"/>
    <x v="13"/>
    <x v="0"/>
    <x v="2"/>
    <x v="1"/>
    <x v="2"/>
    <x v="1"/>
    <x v="1"/>
    <x v="13"/>
    <x v="13"/>
    <x v="13"/>
    <x v="13"/>
  </r>
  <r>
    <x v="14"/>
    <x v="14"/>
    <x v="4"/>
    <x v="7"/>
    <x v="1"/>
    <x v="14"/>
    <x v="13"/>
    <x v="14"/>
    <x v="6"/>
    <x v="13"/>
    <x v="14"/>
    <x v="14"/>
    <x v="6"/>
    <x v="14"/>
    <x v="1"/>
    <x v="0"/>
    <x v="0"/>
    <x v="2"/>
    <x v="1"/>
    <x v="2"/>
    <x v="14"/>
    <x v="14"/>
    <x v="14"/>
    <x v="14"/>
  </r>
  <r>
    <x v="15"/>
    <x v="15"/>
    <x v="1"/>
    <x v="8"/>
    <x v="4"/>
    <x v="15"/>
    <x v="14"/>
    <x v="15"/>
    <x v="10"/>
    <x v="11"/>
    <x v="15"/>
    <x v="15"/>
    <x v="10"/>
    <x v="15"/>
    <x v="1"/>
    <x v="3"/>
    <x v="1"/>
    <x v="2"/>
    <x v="1"/>
    <x v="1"/>
    <x v="15"/>
    <x v="15"/>
    <x v="15"/>
    <x v="15"/>
  </r>
  <r>
    <x v="16"/>
    <x v="16"/>
    <x v="0"/>
    <x v="0"/>
    <x v="9"/>
    <x v="16"/>
    <x v="15"/>
    <x v="16"/>
    <x v="11"/>
    <x v="14"/>
    <x v="16"/>
    <x v="16"/>
    <x v="6"/>
    <x v="16"/>
    <x v="2"/>
    <x v="0"/>
    <x v="1"/>
    <x v="3"/>
    <x v="1"/>
    <x v="3"/>
    <x v="16"/>
    <x v="16"/>
    <x v="16"/>
    <x v="16"/>
  </r>
  <r>
    <x v="17"/>
    <x v="17"/>
    <x v="1"/>
    <x v="2"/>
    <x v="6"/>
    <x v="17"/>
    <x v="16"/>
    <x v="17"/>
    <x v="8"/>
    <x v="3"/>
    <x v="17"/>
    <x v="17"/>
    <x v="10"/>
    <x v="17"/>
    <x v="5"/>
    <x v="4"/>
    <x v="0"/>
    <x v="3"/>
    <x v="1"/>
    <x v="3"/>
    <x v="17"/>
    <x v="17"/>
    <x v="17"/>
    <x v="17"/>
  </r>
  <r>
    <x v="18"/>
    <x v="18"/>
    <x v="1"/>
    <x v="8"/>
    <x v="0"/>
    <x v="18"/>
    <x v="17"/>
    <x v="18"/>
    <x v="2"/>
    <x v="8"/>
    <x v="18"/>
    <x v="18"/>
    <x v="8"/>
    <x v="18"/>
    <x v="1"/>
    <x v="3"/>
    <x v="2"/>
    <x v="3"/>
    <x v="0"/>
    <x v="0"/>
    <x v="18"/>
    <x v="18"/>
    <x v="18"/>
    <x v="18"/>
  </r>
  <r>
    <x v="19"/>
    <x v="19"/>
    <x v="0"/>
    <x v="9"/>
    <x v="4"/>
    <x v="19"/>
    <x v="18"/>
    <x v="19"/>
    <x v="12"/>
    <x v="10"/>
    <x v="19"/>
    <x v="19"/>
    <x v="11"/>
    <x v="19"/>
    <x v="2"/>
    <x v="1"/>
    <x v="0"/>
    <x v="1"/>
    <x v="1"/>
    <x v="3"/>
    <x v="19"/>
    <x v="19"/>
    <x v="19"/>
    <x v="19"/>
  </r>
  <r>
    <x v="20"/>
    <x v="20"/>
    <x v="0"/>
    <x v="0"/>
    <x v="4"/>
    <x v="20"/>
    <x v="19"/>
    <x v="20"/>
    <x v="13"/>
    <x v="15"/>
    <x v="20"/>
    <x v="20"/>
    <x v="12"/>
    <x v="20"/>
    <x v="1"/>
    <x v="1"/>
    <x v="1"/>
    <x v="2"/>
    <x v="1"/>
    <x v="2"/>
    <x v="20"/>
    <x v="20"/>
    <x v="20"/>
    <x v="20"/>
  </r>
  <r>
    <x v="21"/>
    <x v="21"/>
    <x v="2"/>
    <x v="10"/>
    <x v="10"/>
    <x v="21"/>
    <x v="20"/>
    <x v="21"/>
    <x v="14"/>
    <x v="11"/>
    <x v="21"/>
    <x v="21"/>
    <x v="13"/>
    <x v="21"/>
    <x v="3"/>
    <x v="3"/>
    <x v="1"/>
    <x v="3"/>
    <x v="1"/>
    <x v="1"/>
    <x v="21"/>
    <x v="21"/>
    <x v="21"/>
    <x v="21"/>
  </r>
  <r>
    <x v="22"/>
    <x v="22"/>
    <x v="4"/>
    <x v="11"/>
    <x v="5"/>
    <x v="22"/>
    <x v="21"/>
    <x v="22"/>
    <x v="9"/>
    <x v="6"/>
    <x v="22"/>
    <x v="22"/>
    <x v="11"/>
    <x v="22"/>
    <x v="5"/>
    <x v="4"/>
    <x v="0"/>
    <x v="0"/>
    <x v="1"/>
    <x v="2"/>
    <x v="22"/>
    <x v="22"/>
    <x v="22"/>
    <x v="22"/>
  </r>
  <r>
    <x v="23"/>
    <x v="23"/>
    <x v="0"/>
    <x v="0"/>
    <x v="7"/>
    <x v="23"/>
    <x v="22"/>
    <x v="23"/>
    <x v="15"/>
    <x v="3"/>
    <x v="23"/>
    <x v="23"/>
    <x v="14"/>
    <x v="23"/>
    <x v="2"/>
    <x v="0"/>
    <x v="1"/>
    <x v="3"/>
    <x v="1"/>
    <x v="3"/>
    <x v="23"/>
    <x v="23"/>
    <x v="23"/>
    <x v="23"/>
  </r>
  <r>
    <x v="24"/>
    <x v="24"/>
    <x v="2"/>
    <x v="10"/>
    <x v="2"/>
    <x v="24"/>
    <x v="23"/>
    <x v="24"/>
    <x v="6"/>
    <x v="16"/>
    <x v="24"/>
    <x v="24"/>
    <x v="15"/>
    <x v="24"/>
    <x v="1"/>
    <x v="4"/>
    <x v="1"/>
    <x v="0"/>
    <x v="1"/>
    <x v="3"/>
    <x v="24"/>
    <x v="24"/>
    <x v="24"/>
    <x v="24"/>
  </r>
  <r>
    <x v="25"/>
    <x v="25"/>
    <x v="4"/>
    <x v="11"/>
    <x v="7"/>
    <x v="25"/>
    <x v="24"/>
    <x v="25"/>
    <x v="12"/>
    <x v="17"/>
    <x v="25"/>
    <x v="25"/>
    <x v="11"/>
    <x v="25"/>
    <x v="5"/>
    <x v="4"/>
    <x v="1"/>
    <x v="1"/>
    <x v="1"/>
    <x v="1"/>
    <x v="25"/>
    <x v="25"/>
    <x v="25"/>
    <x v="25"/>
  </r>
  <r>
    <x v="26"/>
    <x v="26"/>
    <x v="0"/>
    <x v="12"/>
    <x v="2"/>
    <x v="26"/>
    <x v="25"/>
    <x v="26"/>
    <x v="13"/>
    <x v="3"/>
    <x v="26"/>
    <x v="26"/>
    <x v="1"/>
    <x v="26"/>
    <x v="3"/>
    <x v="4"/>
    <x v="1"/>
    <x v="1"/>
    <x v="1"/>
    <x v="1"/>
    <x v="26"/>
    <x v="26"/>
    <x v="26"/>
    <x v="26"/>
  </r>
  <r>
    <x v="27"/>
    <x v="27"/>
    <x v="4"/>
    <x v="11"/>
    <x v="3"/>
    <x v="27"/>
    <x v="26"/>
    <x v="27"/>
    <x v="16"/>
    <x v="18"/>
    <x v="27"/>
    <x v="27"/>
    <x v="3"/>
    <x v="27"/>
    <x v="2"/>
    <x v="2"/>
    <x v="0"/>
    <x v="3"/>
    <x v="0"/>
    <x v="0"/>
    <x v="27"/>
    <x v="27"/>
    <x v="27"/>
    <x v="27"/>
  </r>
  <r>
    <x v="28"/>
    <x v="28"/>
    <x v="1"/>
    <x v="8"/>
    <x v="6"/>
    <x v="28"/>
    <x v="27"/>
    <x v="28"/>
    <x v="4"/>
    <x v="19"/>
    <x v="28"/>
    <x v="28"/>
    <x v="7"/>
    <x v="28"/>
    <x v="1"/>
    <x v="1"/>
    <x v="1"/>
    <x v="0"/>
    <x v="1"/>
    <x v="2"/>
    <x v="28"/>
    <x v="28"/>
    <x v="28"/>
    <x v="28"/>
  </r>
  <r>
    <x v="29"/>
    <x v="29"/>
    <x v="4"/>
    <x v="7"/>
    <x v="5"/>
    <x v="29"/>
    <x v="28"/>
    <x v="29"/>
    <x v="17"/>
    <x v="20"/>
    <x v="29"/>
    <x v="29"/>
    <x v="16"/>
    <x v="29"/>
    <x v="1"/>
    <x v="2"/>
    <x v="0"/>
    <x v="0"/>
    <x v="1"/>
    <x v="1"/>
    <x v="29"/>
    <x v="29"/>
    <x v="29"/>
    <x v="29"/>
  </r>
  <r>
    <x v="30"/>
    <x v="30"/>
    <x v="1"/>
    <x v="8"/>
    <x v="10"/>
    <x v="30"/>
    <x v="29"/>
    <x v="30"/>
    <x v="10"/>
    <x v="21"/>
    <x v="30"/>
    <x v="30"/>
    <x v="10"/>
    <x v="30"/>
    <x v="0"/>
    <x v="0"/>
    <x v="1"/>
    <x v="2"/>
    <x v="1"/>
    <x v="1"/>
    <x v="30"/>
    <x v="30"/>
    <x v="30"/>
    <x v="30"/>
  </r>
  <r>
    <x v="31"/>
    <x v="31"/>
    <x v="4"/>
    <x v="6"/>
    <x v="8"/>
    <x v="31"/>
    <x v="30"/>
    <x v="31"/>
    <x v="4"/>
    <x v="22"/>
    <x v="31"/>
    <x v="31"/>
    <x v="1"/>
    <x v="31"/>
    <x v="4"/>
    <x v="0"/>
    <x v="1"/>
    <x v="3"/>
    <x v="1"/>
    <x v="2"/>
    <x v="31"/>
    <x v="31"/>
    <x v="31"/>
    <x v="31"/>
  </r>
  <r>
    <x v="32"/>
    <x v="32"/>
    <x v="1"/>
    <x v="2"/>
    <x v="5"/>
    <x v="32"/>
    <x v="31"/>
    <x v="32"/>
    <x v="4"/>
    <x v="11"/>
    <x v="17"/>
    <x v="32"/>
    <x v="10"/>
    <x v="32"/>
    <x v="5"/>
    <x v="2"/>
    <x v="2"/>
    <x v="0"/>
    <x v="1"/>
    <x v="3"/>
    <x v="32"/>
    <x v="32"/>
    <x v="32"/>
    <x v="32"/>
  </r>
  <r>
    <x v="33"/>
    <x v="33"/>
    <x v="3"/>
    <x v="13"/>
    <x v="6"/>
    <x v="33"/>
    <x v="32"/>
    <x v="33"/>
    <x v="4"/>
    <x v="17"/>
    <x v="5"/>
    <x v="33"/>
    <x v="10"/>
    <x v="33"/>
    <x v="1"/>
    <x v="4"/>
    <x v="0"/>
    <x v="0"/>
    <x v="1"/>
    <x v="2"/>
    <x v="33"/>
    <x v="33"/>
    <x v="33"/>
    <x v="33"/>
  </r>
  <r>
    <x v="34"/>
    <x v="34"/>
    <x v="1"/>
    <x v="1"/>
    <x v="8"/>
    <x v="34"/>
    <x v="33"/>
    <x v="34"/>
    <x v="13"/>
    <x v="7"/>
    <x v="32"/>
    <x v="34"/>
    <x v="17"/>
    <x v="34"/>
    <x v="5"/>
    <x v="1"/>
    <x v="0"/>
    <x v="1"/>
    <x v="1"/>
    <x v="1"/>
    <x v="34"/>
    <x v="34"/>
    <x v="34"/>
    <x v="34"/>
  </r>
  <r>
    <x v="35"/>
    <x v="35"/>
    <x v="3"/>
    <x v="4"/>
    <x v="4"/>
    <x v="35"/>
    <x v="34"/>
    <x v="35"/>
    <x v="18"/>
    <x v="9"/>
    <x v="33"/>
    <x v="35"/>
    <x v="18"/>
    <x v="19"/>
    <x v="1"/>
    <x v="0"/>
    <x v="0"/>
    <x v="3"/>
    <x v="1"/>
    <x v="1"/>
    <x v="35"/>
    <x v="35"/>
    <x v="35"/>
    <x v="35"/>
  </r>
  <r>
    <x v="36"/>
    <x v="36"/>
    <x v="0"/>
    <x v="0"/>
    <x v="8"/>
    <x v="36"/>
    <x v="35"/>
    <x v="36"/>
    <x v="8"/>
    <x v="8"/>
    <x v="34"/>
    <x v="36"/>
    <x v="12"/>
    <x v="35"/>
    <x v="4"/>
    <x v="4"/>
    <x v="2"/>
    <x v="1"/>
    <x v="1"/>
    <x v="2"/>
    <x v="36"/>
    <x v="36"/>
    <x v="36"/>
    <x v="36"/>
  </r>
  <r>
    <x v="37"/>
    <x v="37"/>
    <x v="3"/>
    <x v="5"/>
    <x v="0"/>
    <x v="37"/>
    <x v="36"/>
    <x v="37"/>
    <x v="10"/>
    <x v="23"/>
    <x v="35"/>
    <x v="37"/>
    <x v="19"/>
    <x v="36"/>
    <x v="2"/>
    <x v="4"/>
    <x v="1"/>
    <x v="0"/>
    <x v="1"/>
    <x v="2"/>
    <x v="37"/>
    <x v="37"/>
    <x v="37"/>
    <x v="37"/>
  </r>
  <r>
    <x v="38"/>
    <x v="38"/>
    <x v="4"/>
    <x v="6"/>
    <x v="1"/>
    <x v="38"/>
    <x v="37"/>
    <x v="38"/>
    <x v="1"/>
    <x v="9"/>
    <x v="36"/>
    <x v="38"/>
    <x v="19"/>
    <x v="37"/>
    <x v="2"/>
    <x v="0"/>
    <x v="1"/>
    <x v="0"/>
    <x v="1"/>
    <x v="1"/>
    <x v="38"/>
    <x v="38"/>
    <x v="38"/>
    <x v="38"/>
  </r>
  <r>
    <x v="39"/>
    <x v="39"/>
    <x v="3"/>
    <x v="5"/>
    <x v="9"/>
    <x v="39"/>
    <x v="38"/>
    <x v="39"/>
    <x v="4"/>
    <x v="24"/>
    <x v="37"/>
    <x v="39"/>
    <x v="18"/>
    <x v="38"/>
    <x v="4"/>
    <x v="3"/>
    <x v="2"/>
    <x v="3"/>
    <x v="1"/>
    <x v="2"/>
    <x v="39"/>
    <x v="39"/>
    <x v="39"/>
    <x v="39"/>
  </r>
  <r>
    <x v="40"/>
    <x v="40"/>
    <x v="4"/>
    <x v="11"/>
    <x v="6"/>
    <x v="40"/>
    <x v="39"/>
    <x v="40"/>
    <x v="7"/>
    <x v="23"/>
    <x v="38"/>
    <x v="40"/>
    <x v="17"/>
    <x v="39"/>
    <x v="5"/>
    <x v="3"/>
    <x v="2"/>
    <x v="1"/>
    <x v="1"/>
    <x v="1"/>
    <x v="40"/>
    <x v="40"/>
    <x v="40"/>
    <x v="40"/>
  </r>
  <r>
    <x v="41"/>
    <x v="41"/>
    <x v="4"/>
    <x v="6"/>
    <x v="5"/>
    <x v="41"/>
    <x v="40"/>
    <x v="41"/>
    <x v="6"/>
    <x v="23"/>
    <x v="39"/>
    <x v="41"/>
    <x v="1"/>
    <x v="40"/>
    <x v="1"/>
    <x v="4"/>
    <x v="2"/>
    <x v="2"/>
    <x v="1"/>
    <x v="1"/>
    <x v="41"/>
    <x v="41"/>
    <x v="41"/>
    <x v="41"/>
  </r>
  <r>
    <x v="42"/>
    <x v="42"/>
    <x v="4"/>
    <x v="11"/>
    <x v="1"/>
    <x v="42"/>
    <x v="41"/>
    <x v="42"/>
    <x v="1"/>
    <x v="20"/>
    <x v="40"/>
    <x v="42"/>
    <x v="8"/>
    <x v="41"/>
    <x v="5"/>
    <x v="3"/>
    <x v="2"/>
    <x v="2"/>
    <x v="0"/>
    <x v="0"/>
    <x v="42"/>
    <x v="42"/>
    <x v="42"/>
    <x v="42"/>
  </r>
  <r>
    <x v="43"/>
    <x v="43"/>
    <x v="1"/>
    <x v="1"/>
    <x v="8"/>
    <x v="43"/>
    <x v="42"/>
    <x v="43"/>
    <x v="3"/>
    <x v="25"/>
    <x v="32"/>
    <x v="43"/>
    <x v="8"/>
    <x v="42"/>
    <x v="4"/>
    <x v="2"/>
    <x v="1"/>
    <x v="2"/>
    <x v="1"/>
    <x v="3"/>
    <x v="43"/>
    <x v="43"/>
    <x v="43"/>
    <x v="43"/>
  </r>
  <r>
    <x v="44"/>
    <x v="44"/>
    <x v="0"/>
    <x v="12"/>
    <x v="9"/>
    <x v="44"/>
    <x v="43"/>
    <x v="44"/>
    <x v="13"/>
    <x v="23"/>
    <x v="41"/>
    <x v="44"/>
    <x v="20"/>
    <x v="0"/>
    <x v="1"/>
    <x v="0"/>
    <x v="2"/>
    <x v="1"/>
    <x v="1"/>
    <x v="1"/>
    <x v="44"/>
    <x v="44"/>
    <x v="44"/>
    <x v="44"/>
  </r>
  <r>
    <x v="45"/>
    <x v="45"/>
    <x v="0"/>
    <x v="12"/>
    <x v="1"/>
    <x v="45"/>
    <x v="44"/>
    <x v="45"/>
    <x v="7"/>
    <x v="26"/>
    <x v="42"/>
    <x v="45"/>
    <x v="3"/>
    <x v="43"/>
    <x v="0"/>
    <x v="2"/>
    <x v="2"/>
    <x v="3"/>
    <x v="1"/>
    <x v="3"/>
    <x v="45"/>
    <x v="45"/>
    <x v="45"/>
    <x v="45"/>
  </r>
  <r>
    <x v="46"/>
    <x v="46"/>
    <x v="3"/>
    <x v="4"/>
    <x v="9"/>
    <x v="46"/>
    <x v="45"/>
    <x v="46"/>
    <x v="13"/>
    <x v="7"/>
    <x v="14"/>
    <x v="46"/>
    <x v="16"/>
    <x v="44"/>
    <x v="2"/>
    <x v="1"/>
    <x v="0"/>
    <x v="3"/>
    <x v="1"/>
    <x v="1"/>
    <x v="46"/>
    <x v="46"/>
    <x v="46"/>
    <x v="46"/>
  </r>
  <r>
    <x v="47"/>
    <x v="47"/>
    <x v="2"/>
    <x v="14"/>
    <x v="2"/>
    <x v="47"/>
    <x v="46"/>
    <x v="47"/>
    <x v="4"/>
    <x v="16"/>
    <x v="43"/>
    <x v="47"/>
    <x v="17"/>
    <x v="45"/>
    <x v="3"/>
    <x v="2"/>
    <x v="0"/>
    <x v="1"/>
    <x v="1"/>
    <x v="2"/>
    <x v="47"/>
    <x v="47"/>
    <x v="47"/>
    <x v="47"/>
  </r>
  <r>
    <x v="48"/>
    <x v="48"/>
    <x v="1"/>
    <x v="1"/>
    <x v="7"/>
    <x v="48"/>
    <x v="47"/>
    <x v="48"/>
    <x v="4"/>
    <x v="27"/>
    <x v="44"/>
    <x v="48"/>
    <x v="21"/>
    <x v="46"/>
    <x v="2"/>
    <x v="2"/>
    <x v="1"/>
    <x v="3"/>
    <x v="1"/>
    <x v="2"/>
    <x v="48"/>
    <x v="48"/>
    <x v="48"/>
    <x v="48"/>
  </r>
  <r>
    <x v="49"/>
    <x v="49"/>
    <x v="1"/>
    <x v="8"/>
    <x v="9"/>
    <x v="49"/>
    <x v="48"/>
    <x v="49"/>
    <x v="8"/>
    <x v="28"/>
    <x v="45"/>
    <x v="49"/>
    <x v="22"/>
    <x v="47"/>
    <x v="1"/>
    <x v="4"/>
    <x v="0"/>
    <x v="3"/>
    <x v="1"/>
    <x v="2"/>
    <x v="49"/>
    <x v="49"/>
    <x v="49"/>
    <x v="49"/>
  </r>
  <r>
    <x v="50"/>
    <x v="50"/>
    <x v="4"/>
    <x v="6"/>
    <x v="5"/>
    <x v="50"/>
    <x v="49"/>
    <x v="50"/>
    <x v="1"/>
    <x v="29"/>
    <x v="46"/>
    <x v="50"/>
    <x v="23"/>
    <x v="48"/>
    <x v="2"/>
    <x v="0"/>
    <x v="1"/>
    <x v="1"/>
    <x v="1"/>
    <x v="2"/>
    <x v="50"/>
    <x v="50"/>
    <x v="50"/>
    <x v="50"/>
  </r>
  <r>
    <x v="51"/>
    <x v="51"/>
    <x v="3"/>
    <x v="5"/>
    <x v="4"/>
    <x v="51"/>
    <x v="50"/>
    <x v="51"/>
    <x v="19"/>
    <x v="23"/>
    <x v="47"/>
    <x v="51"/>
    <x v="22"/>
    <x v="49"/>
    <x v="4"/>
    <x v="3"/>
    <x v="0"/>
    <x v="0"/>
    <x v="1"/>
    <x v="1"/>
    <x v="51"/>
    <x v="51"/>
    <x v="51"/>
    <x v="51"/>
  </r>
  <r>
    <x v="52"/>
    <x v="52"/>
    <x v="2"/>
    <x v="14"/>
    <x v="3"/>
    <x v="52"/>
    <x v="51"/>
    <x v="52"/>
    <x v="5"/>
    <x v="27"/>
    <x v="48"/>
    <x v="52"/>
    <x v="22"/>
    <x v="50"/>
    <x v="1"/>
    <x v="3"/>
    <x v="1"/>
    <x v="1"/>
    <x v="1"/>
    <x v="2"/>
    <x v="52"/>
    <x v="52"/>
    <x v="52"/>
    <x v="52"/>
  </r>
  <r>
    <x v="53"/>
    <x v="53"/>
    <x v="0"/>
    <x v="0"/>
    <x v="7"/>
    <x v="53"/>
    <x v="52"/>
    <x v="53"/>
    <x v="9"/>
    <x v="30"/>
    <x v="49"/>
    <x v="53"/>
    <x v="21"/>
    <x v="51"/>
    <x v="1"/>
    <x v="3"/>
    <x v="0"/>
    <x v="1"/>
    <x v="1"/>
    <x v="3"/>
    <x v="53"/>
    <x v="53"/>
    <x v="53"/>
    <x v="53"/>
  </r>
  <r>
    <x v="54"/>
    <x v="54"/>
    <x v="2"/>
    <x v="10"/>
    <x v="11"/>
    <x v="54"/>
    <x v="53"/>
    <x v="54"/>
    <x v="20"/>
    <x v="3"/>
    <x v="50"/>
    <x v="54"/>
    <x v="20"/>
    <x v="52"/>
    <x v="1"/>
    <x v="2"/>
    <x v="0"/>
    <x v="3"/>
    <x v="1"/>
    <x v="2"/>
    <x v="54"/>
    <x v="54"/>
    <x v="54"/>
    <x v="54"/>
  </r>
  <r>
    <x v="55"/>
    <x v="55"/>
    <x v="2"/>
    <x v="10"/>
    <x v="0"/>
    <x v="55"/>
    <x v="54"/>
    <x v="55"/>
    <x v="10"/>
    <x v="18"/>
    <x v="51"/>
    <x v="55"/>
    <x v="8"/>
    <x v="53"/>
    <x v="3"/>
    <x v="4"/>
    <x v="0"/>
    <x v="2"/>
    <x v="0"/>
    <x v="0"/>
    <x v="55"/>
    <x v="55"/>
    <x v="55"/>
    <x v="55"/>
  </r>
  <r>
    <x v="56"/>
    <x v="56"/>
    <x v="1"/>
    <x v="1"/>
    <x v="8"/>
    <x v="56"/>
    <x v="55"/>
    <x v="56"/>
    <x v="16"/>
    <x v="31"/>
    <x v="52"/>
    <x v="56"/>
    <x v="15"/>
    <x v="54"/>
    <x v="1"/>
    <x v="3"/>
    <x v="1"/>
    <x v="2"/>
    <x v="1"/>
    <x v="1"/>
    <x v="56"/>
    <x v="56"/>
    <x v="56"/>
    <x v="56"/>
  </r>
  <r>
    <x v="57"/>
    <x v="57"/>
    <x v="3"/>
    <x v="4"/>
    <x v="5"/>
    <x v="57"/>
    <x v="56"/>
    <x v="57"/>
    <x v="21"/>
    <x v="1"/>
    <x v="53"/>
    <x v="57"/>
    <x v="16"/>
    <x v="55"/>
    <x v="1"/>
    <x v="3"/>
    <x v="0"/>
    <x v="1"/>
    <x v="1"/>
    <x v="3"/>
    <x v="57"/>
    <x v="57"/>
    <x v="57"/>
    <x v="57"/>
  </r>
  <r>
    <x v="58"/>
    <x v="58"/>
    <x v="2"/>
    <x v="3"/>
    <x v="9"/>
    <x v="58"/>
    <x v="57"/>
    <x v="58"/>
    <x v="17"/>
    <x v="14"/>
    <x v="54"/>
    <x v="58"/>
    <x v="22"/>
    <x v="7"/>
    <x v="2"/>
    <x v="2"/>
    <x v="2"/>
    <x v="3"/>
    <x v="1"/>
    <x v="2"/>
    <x v="58"/>
    <x v="58"/>
    <x v="58"/>
    <x v="58"/>
  </r>
  <r>
    <x v="59"/>
    <x v="59"/>
    <x v="0"/>
    <x v="12"/>
    <x v="11"/>
    <x v="59"/>
    <x v="58"/>
    <x v="59"/>
    <x v="17"/>
    <x v="28"/>
    <x v="55"/>
    <x v="59"/>
    <x v="22"/>
    <x v="56"/>
    <x v="3"/>
    <x v="1"/>
    <x v="2"/>
    <x v="1"/>
    <x v="1"/>
    <x v="1"/>
    <x v="59"/>
    <x v="59"/>
    <x v="59"/>
    <x v="59"/>
  </r>
  <r>
    <x v="60"/>
    <x v="60"/>
    <x v="4"/>
    <x v="7"/>
    <x v="7"/>
    <x v="60"/>
    <x v="59"/>
    <x v="60"/>
    <x v="6"/>
    <x v="32"/>
    <x v="56"/>
    <x v="60"/>
    <x v="21"/>
    <x v="57"/>
    <x v="4"/>
    <x v="4"/>
    <x v="0"/>
    <x v="1"/>
    <x v="1"/>
    <x v="1"/>
    <x v="60"/>
    <x v="60"/>
    <x v="60"/>
    <x v="60"/>
  </r>
  <r>
    <x v="61"/>
    <x v="61"/>
    <x v="4"/>
    <x v="6"/>
    <x v="10"/>
    <x v="61"/>
    <x v="60"/>
    <x v="61"/>
    <x v="7"/>
    <x v="1"/>
    <x v="57"/>
    <x v="61"/>
    <x v="11"/>
    <x v="58"/>
    <x v="1"/>
    <x v="1"/>
    <x v="1"/>
    <x v="3"/>
    <x v="1"/>
    <x v="3"/>
    <x v="61"/>
    <x v="61"/>
    <x v="61"/>
    <x v="61"/>
  </r>
  <r>
    <x v="62"/>
    <x v="62"/>
    <x v="2"/>
    <x v="10"/>
    <x v="1"/>
    <x v="62"/>
    <x v="61"/>
    <x v="62"/>
    <x v="11"/>
    <x v="17"/>
    <x v="9"/>
    <x v="62"/>
    <x v="24"/>
    <x v="59"/>
    <x v="5"/>
    <x v="0"/>
    <x v="2"/>
    <x v="2"/>
    <x v="1"/>
    <x v="1"/>
    <x v="62"/>
    <x v="62"/>
    <x v="62"/>
    <x v="62"/>
  </r>
  <r>
    <x v="63"/>
    <x v="63"/>
    <x v="3"/>
    <x v="13"/>
    <x v="2"/>
    <x v="63"/>
    <x v="62"/>
    <x v="63"/>
    <x v="1"/>
    <x v="8"/>
    <x v="58"/>
    <x v="63"/>
    <x v="20"/>
    <x v="60"/>
    <x v="3"/>
    <x v="1"/>
    <x v="1"/>
    <x v="2"/>
    <x v="0"/>
    <x v="0"/>
    <x v="63"/>
    <x v="63"/>
    <x v="63"/>
    <x v="63"/>
  </r>
  <r>
    <x v="64"/>
    <x v="64"/>
    <x v="4"/>
    <x v="6"/>
    <x v="5"/>
    <x v="64"/>
    <x v="63"/>
    <x v="64"/>
    <x v="2"/>
    <x v="29"/>
    <x v="59"/>
    <x v="64"/>
    <x v="10"/>
    <x v="1"/>
    <x v="1"/>
    <x v="1"/>
    <x v="1"/>
    <x v="0"/>
    <x v="1"/>
    <x v="2"/>
    <x v="64"/>
    <x v="64"/>
    <x v="64"/>
    <x v="64"/>
  </r>
  <r>
    <x v="65"/>
    <x v="65"/>
    <x v="4"/>
    <x v="11"/>
    <x v="6"/>
    <x v="65"/>
    <x v="64"/>
    <x v="65"/>
    <x v="22"/>
    <x v="33"/>
    <x v="57"/>
    <x v="65"/>
    <x v="6"/>
    <x v="1"/>
    <x v="1"/>
    <x v="4"/>
    <x v="2"/>
    <x v="2"/>
    <x v="1"/>
    <x v="1"/>
    <x v="65"/>
    <x v="65"/>
    <x v="65"/>
    <x v="65"/>
  </r>
  <r>
    <x v="66"/>
    <x v="66"/>
    <x v="4"/>
    <x v="6"/>
    <x v="3"/>
    <x v="66"/>
    <x v="65"/>
    <x v="66"/>
    <x v="6"/>
    <x v="34"/>
    <x v="60"/>
    <x v="66"/>
    <x v="17"/>
    <x v="61"/>
    <x v="4"/>
    <x v="1"/>
    <x v="1"/>
    <x v="0"/>
    <x v="1"/>
    <x v="1"/>
    <x v="66"/>
    <x v="66"/>
    <x v="66"/>
    <x v="66"/>
  </r>
  <r>
    <x v="67"/>
    <x v="67"/>
    <x v="1"/>
    <x v="8"/>
    <x v="7"/>
    <x v="67"/>
    <x v="66"/>
    <x v="67"/>
    <x v="2"/>
    <x v="10"/>
    <x v="61"/>
    <x v="67"/>
    <x v="18"/>
    <x v="62"/>
    <x v="3"/>
    <x v="4"/>
    <x v="1"/>
    <x v="2"/>
    <x v="1"/>
    <x v="2"/>
    <x v="67"/>
    <x v="67"/>
    <x v="67"/>
    <x v="67"/>
  </r>
  <r>
    <x v="68"/>
    <x v="68"/>
    <x v="1"/>
    <x v="2"/>
    <x v="3"/>
    <x v="68"/>
    <x v="67"/>
    <x v="68"/>
    <x v="20"/>
    <x v="25"/>
    <x v="62"/>
    <x v="68"/>
    <x v="13"/>
    <x v="63"/>
    <x v="5"/>
    <x v="1"/>
    <x v="1"/>
    <x v="2"/>
    <x v="1"/>
    <x v="3"/>
    <x v="68"/>
    <x v="68"/>
    <x v="68"/>
    <x v="68"/>
  </r>
  <r>
    <x v="69"/>
    <x v="69"/>
    <x v="2"/>
    <x v="3"/>
    <x v="5"/>
    <x v="69"/>
    <x v="68"/>
    <x v="69"/>
    <x v="16"/>
    <x v="17"/>
    <x v="63"/>
    <x v="69"/>
    <x v="8"/>
    <x v="64"/>
    <x v="2"/>
    <x v="4"/>
    <x v="0"/>
    <x v="1"/>
    <x v="1"/>
    <x v="1"/>
    <x v="69"/>
    <x v="69"/>
    <x v="69"/>
    <x v="69"/>
  </r>
  <r>
    <x v="70"/>
    <x v="70"/>
    <x v="4"/>
    <x v="6"/>
    <x v="10"/>
    <x v="70"/>
    <x v="69"/>
    <x v="70"/>
    <x v="18"/>
    <x v="35"/>
    <x v="64"/>
    <x v="70"/>
    <x v="8"/>
    <x v="65"/>
    <x v="3"/>
    <x v="0"/>
    <x v="2"/>
    <x v="3"/>
    <x v="1"/>
    <x v="2"/>
    <x v="70"/>
    <x v="70"/>
    <x v="70"/>
    <x v="70"/>
  </r>
  <r>
    <x v="71"/>
    <x v="71"/>
    <x v="1"/>
    <x v="1"/>
    <x v="9"/>
    <x v="71"/>
    <x v="70"/>
    <x v="71"/>
    <x v="6"/>
    <x v="8"/>
    <x v="40"/>
    <x v="71"/>
    <x v="15"/>
    <x v="66"/>
    <x v="4"/>
    <x v="3"/>
    <x v="1"/>
    <x v="3"/>
    <x v="1"/>
    <x v="2"/>
    <x v="71"/>
    <x v="71"/>
    <x v="71"/>
    <x v="71"/>
  </r>
  <r>
    <x v="72"/>
    <x v="72"/>
    <x v="1"/>
    <x v="8"/>
    <x v="7"/>
    <x v="72"/>
    <x v="58"/>
    <x v="72"/>
    <x v="10"/>
    <x v="32"/>
    <x v="28"/>
    <x v="72"/>
    <x v="5"/>
    <x v="67"/>
    <x v="1"/>
    <x v="0"/>
    <x v="1"/>
    <x v="3"/>
    <x v="0"/>
    <x v="0"/>
    <x v="72"/>
    <x v="72"/>
    <x v="72"/>
    <x v="72"/>
  </r>
  <r>
    <x v="73"/>
    <x v="73"/>
    <x v="4"/>
    <x v="7"/>
    <x v="2"/>
    <x v="73"/>
    <x v="71"/>
    <x v="73"/>
    <x v="19"/>
    <x v="11"/>
    <x v="65"/>
    <x v="73"/>
    <x v="2"/>
    <x v="68"/>
    <x v="4"/>
    <x v="0"/>
    <x v="0"/>
    <x v="0"/>
    <x v="1"/>
    <x v="2"/>
    <x v="73"/>
    <x v="73"/>
    <x v="73"/>
    <x v="73"/>
  </r>
  <r>
    <x v="74"/>
    <x v="74"/>
    <x v="4"/>
    <x v="11"/>
    <x v="4"/>
    <x v="74"/>
    <x v="72"/>
    <x v="74"/>
    <x v="10"/>
    <x v="17"/>
    <x v="66"/>
    <x v="74"/>
    <x v="1"/>
    <x v="69"/>
    <x v="1"/>
    <x v="4"/>
    <x v="0"/>
    <x v="3"/>
    <x v="1"/>
    <x v="2"/>
    <x v="74"/>
    <x v="74"/>
    <x v="74"/>
    <x v="74"/>
  </r>
  <r>
    <x v="75"/>
    <x v="75"/>
    <x v="2"/>
    <x v="3"/>
    <x v="1"/>
    <x v="75"/>
    <x v="73"/>
    <x v="75"/>
    <x v="1"/>
    <x v="23"/>
    <x v="67"/>
    <x v="75"/>
    <x v="18"/>
    <x v="70"/>
    <x v="2"/>
    <x v="1"/>
    <x v="2"/>
    <x v="2"/>
    <x v="1"/>
    <x v="1"/>
    <x v="75"/>
    <x v="75"/>
    <x v="75"/>
    <x v="75"/>
  </r>
  <r>
    <x v="76"/>
    <x v="76"/>
    <x v="1"/>
    <x v="8"/>
    <x v="9"/>
    <x v="76"/>
    <x v="74"/>
    <x v="76"/>
    <x v="4"/>
    <x v="36"/>
    <x v="68"/>
    <x v="76"/>
    <x v="10"/>
    <x v="71"/>
    <x v="0"/>
    <x v="4"/>
    <x v="0"/>
    <x v="3"/>
    <x v="1"/>
    <x v="1"/>
    <x v="76"/>
    <x v="76"/>
    <x v="76"/>
    <x v="76"/>
  </r>
  <r>
    <x v="77"/>
    <x v="77"/>
    <x v="3"/>
    <x v="13"/>
    <x v="4"/>
    <x v="77"/>
    <x v="75"/>
    <x v="77"/>
    <x v="9"/>
    <x v="14"/>
    <x v="69"/>
    <x v="77"/>
    <x v="1"/>
    <x v="72"/>
    <x v="5"/>
    <x v="1"/>
    <x v="0"/>
    <x v="1"/>
    <x v="1"/>
    <x v="3"/>
    <x v="77"/>
    <x v="77"/>
    <x v="77"/>
    <x v="77"/>
  </r>
  <r>
    <x v="78"/>
    <x v="78"/>
    <x v="4"/>
    <x v="6"/>
    <x v="11"/>
    <x v="78"/>
    <x v="76"/>
    <x v="78"/>
    <x v="11"/>
    <x v="28"/>
    <x v="70"/>
    <x v="78"/>
    <x v="8"/>
    <x v="73"/>
    <x v="1"/>
    <x v="0"/>
    <x v="0"/>
    <x v="2"/>
    <x v="1"/>
    <x v="3"/>
    <x v="78"/>
    <x v="78"/>
    <x v="78"/>
    <x v="78"/>
  </r>
  <r>
    <x v="79"/>
    <x v="79"/>
    <x v="4"/>
    <x v="7"/>
    <x v="4"/>
    <x v="79"/>
    <x v="77"/>
    <x v="79"/>
    <x v="20"/>
    <x v="37"/>
    <x v="71"/>
    <x v="7"/>
    <x v="10"/>
    <x v="74"/>
    <x v="3"/>
    <x v="0"/>
    <x v="1"/>
    <x v="2"/>
    <x v="1"/>
    <x v="3"/>
    <x v="79"/>
    <x v="79"/>
    <x v="79"/>
    <x v="79"/>
  </r>
  <r>
    <x v="80"/>
    <x v="80"/>
    <x v="0"/>
    <x v="15"/>
    <x v="0"/>
    <x v="80"/>
    <x v="78"/>
    <x v="80"/>
    <x v="9"/>
    <x v="38"/>
    <x v="3"/>
    <x v="79"/>
    <x v="20"/>
    <x v="75"/>
    <x v="1"/>
    <x v="3"/>
    <x v="0"/>
    <x v="2"/>
    <x v="1"/>
    <x v="1"/>
    <x v="80"/>
    <x v="80"/>
    <x v="80"/>
    <x v="80"/>
  </r>
  <r>
    <x v="81"/>
    <x v="81"/>
    <x v="2"/>
    <x v="3"/>
    <x v="9"/>
    <x v="81"/>
    <x v="79"/>
    <x v="81"/>
    <x v="17"/>
    <x v="18"/>
    <x v="72"/>
    <x v="80"/>
    <x v="15"/>
    <x v="76"/>
    <x v="1"/>
    <x v="3"/>
    <x v="1"/>
    <x v="0"/>
    <x v="1"/>
    <x v="1"/>
    <x v="81"/>
    <x v="81"/>
    <x v="81"/>
    <x v="81"/>
  </r>
  <r>
    <x v="82"/>
    <x v="82"/>
    <x v="2"/>
    <x v="10"/>
    <x v="3"/>
    <x v="82"/>
    <x v="80"/>
    <x v="82"/>
    <x v="3"/>
    <x v="14"/>
    <x v="73"/>
    <x v="81"/>
    <x v="11"/>
    <x v="77"/>
    <x v="1"/>
    <x v="1"/>
    <x v="1"/>
    <x v="1"/>
    <x v="1"/>
    <x v="3"/>
    <x v="82"/>
    <x v="82"/>
    <x v="82"/>
    <x v="82"/>
  </r>
  <r>
    <x v="83"/>
    <x v="83"/>
    <x v="1"/>
    <x v="1"/>
    <x v="3"/>
    <x v="83"/>
    <x v="81"/>
    <x v="83"/>
    <x v="7"/>
    <x v="20"/>
    <x v="74"/>
    <x v="82"/>
    <x v="6"/>
    <x v="78"/>
    <x v="5"/>
    <x v="2"/>
    <x v="2"/>
    <x v="3"/>
    <x v="1"/>
    <x v="1"/>
    <x v="83"/>
    <x v="83"/>
    <x v="83"/>
    <x v="83"/>
  </r>
  <r>
    <x v="84"/>
    <x v="84"/>
    <x v="3"/>
    <x v="4"/>
    <x v="7"/>
    <x v="84"/>
    <x v="82"/>
    <x v="84"/>
    <x v="6"/>
    <x v="10"/>
    <x v="75"/>
    <x v="83"/>
    <x v="25"/>
    <x v="79"/>
    <x v="5"/>
    <x v="0"/>
    <x v="1"/>
    <x v="1"/>
    <x v="1"/>
    <x v="1"/>
    <x v="84"/>
    <x v="84"/>
    <x v="84"/>
    <x v="84"/>
  </r>
  <r>
    <x v="85"/>
    <x v="85"/>
    <x v="0"/>
    <x v="9"/>
    <x v="4"/>
    <x v="85"/>
    <x v="83"/>
    <x v="85"/>
    <x v="2"/>
    <x v="16"/>
    <x v="76"/>
    <x v="84"/>
    <x v="16"/>
    <x v="80"/>
    <x v="5"/>
    <x v="3"/>
    <x v="2"/>
    <x v="3"/>
    <x v="1"/>
    <x v="2"/>
    <x v="85"/>
    <x v="85"/>
    <x v="85"/>
    <x v="85"/>
  </r>
  <r>
    <x v="86"/>
    <x v="86"/>
    <x v="1"/>
    <x v="1"/>
    <x v="2"/>
    <x v="86"/>
    <x v="84"/>
    <x v="86"/>
    <x v="2"/>
    <x v="8"/>
    <x v="77"/>
    <x v="85"/>
    <x v="15"/>
    <x v="81"/>
    <x v="3"/>
    <x v="1"/>
    <x v="0"/>
    <x v="3"/>
    <x v="1"/>
    <x v="3"/>
    <x v="86"/>
    <x v="86"/>
    <x v="86"/>
    <x v="86"/>
  </r>
  <r>
    <x v="87"/>
    <x v="87"/>
    <x v="4"/>
    <x v="7"/>
    <x v="8"/>
    <x v="87"/>
    <x v="85"/>
    <x v="87"/>
    <x v="8"/>
    <x v="20"/>
    <x v="78"/>
    <x v="86"/>
    <x v="18"/>
    <x v="82"/>
    <x v="3"/>
    <x v="2"/>
    <x v="0"/>
    <x v="1"/>
    <x v="1"/>
    <x v="2"/>
    <x v="87"/>
    <x v="87"/>
    <x v="87"/>
    <x v="87"/>
  </r>
  <r>
    <x v="88"/>
    <x v="88"/>
    <x v="4"/>
    <x v="7"/>
    <x v="6"/>
    <x v="88"/>
    <x v="86"/>
    <x v="88"/>
    <x v="9"/>
    <x v="25"/>
    <x v="79"/>
    <x v="87"/>
    <x v="1"/>
    <x v="83"/>
    <x v="1"/>
    <x v="1"/>
    <x v="0"/>
    <x v="2"/>
    <x v="1"/>
    <x v="1"/>
    <x v="88"/>
    <x v="88"/>
    <x v="88"/>
    <x v="88"/>
  </r>
  <r>
    <x v="89"/>
    <x v="89"/>
    <x v="0"/>
    <x v="12"/>
    <x v="0"/>
    <x v="89"/>
    <x v="87"/>
    <x v="89"/>
    <x v="12"/>
    <x v="39"/>
    <x v="80"/>
    <x v="88"/>
    <x v="24"/>
    <x v="84"/>
    <x v="0"/>
    <x v="0"/>
    <x v="0"/>
    <x v="3"/>
    <x v="1"/>
    <x v="1"/>
    <x v="89"/>
    <x v="89"/>
    <x v="89"/>
    <x v="89"/>
  </r>
  <r>
    <x v="90"/>
    <x v="90"/>
    <x v="0"/>
    <x v="0"/>
    <x v="7"/>
    <x v="90"/>
    <x v="88"/>
    <x v="90"/>
    <x v="6"/>
    <x v="11"/>
    <x v="81"/>
    <x v="89"/>
    <x v="15"/>
    <x v="85"/>
    <x v="3"/>
    <x v="0"/>
    <x v="1"/>
    <x v="0"/>
    <x v="1"/>
    <x v="2"/>
    <x v="90"/>
    <x v="90"/>
    <x v="90"/>
    <x v="90"/>
  </r>
  <r>
    <x v="91"/>
    <x v="91"/>
    <x v="3"/>
    <x v="4"/>
    <x v="1"/>
    <x v="91"/>
    <x v="89"/>
    <x v="91"/>
    <x v="11"/>
    <x v="40"/>
    <x v="82"/>
    <x v="90"/>
    <x v="2"/>
    <x v="86"/>
    <x v="3"/>
    <x v="3"/>
    <x v="2"/>
    <x v="1"/>
    <x v="1"/>
    <x v="2"/>
    <x v="91"/>
    <x v="91"/>
    <x v="91"/>
    <x v="91"/>
  </r>
  <r>
    <x v="92"/>
    <x v="92"/>
    <x v="2"/>
    <x v="14"/>
    <x v="11"/>
    <x v="92"/>
    <x v="90"/>
    <x v="92"/>
    <x v="4"/>
    <x v="18"/>
    <x v="83"/>
    <x v="91"/>
    <x v="0"/>
    <x v="28"/>
    <x v="4"/>
    <x v="1"/>
    <x v="2"/>
    <x v="0"/>
    <x v="1"/>
    <x v="3"/>
    <x v="92"/>
    <x v="92"/>
    <x v="92"/>
    <x v="92"/>
  </r>
  <r>
    <x v="93"/>
    <x v="93"/>
    <x v="3"/>
    <x v="13"/>
    <x v="0"/>
    <x v="93"/>
    <x v="91"/>
    <x v="93"/>
    <x v="9"/>
    <x v="24"/>
    <x v="84"/>
    <x v="92"/>
    <x v="18"/>
    <x v="87"/>
    <x v="5"/>
    <x v="4"/>
    <x v="0"/>
    <x v="0"/>
    <x v="1"/>
    <x v="1"/>
    <x v="93"/>
    <x v="93"/>
    <x v="93"/>
    <x v="93"/>
  </r>
  <r>
    <x v="94"/>
    <x v="94"/>
    <x v="0"/>
    <x v="15"/>
    <x v="2"/>
    <x v="94"/>
    <x v="92"/>
    <x v="94"/>
    <x v="2"/>
    <x v="41"/>
    <x v="25"/>
    <x v="93"/>
    <x v="2"/>
    <x v="88"/>
    <x v="4"/>
    <x v="0"/>
    <x v="1"/>
    <x v="3"/>
    <x v="1"/>
    <x v="1"/>
    <x v="94"/>
    <x v="94"/>
    <x v="94"/>
    <x v="94"/>
  </r>
  <r>
    <x v="95"/>
    <x v="95"/>
    <x v="0"/>
    <x v="9"/>
    <x v="10"/>
    <x v="95"/>
    <x v="93"/>
    <x v="95"/>
    <x v="22"/>
    <x v="3"/>
    <x v="85"/>
    <x v="94"/>
    <x v="1"/>
    <x v="89"/>
    <x v="4"/>
    <x v="0"/>
    <x v="1"/>
    <x v="1"/>
    <x v="1"/>
    <x v="1"/>
    <x v="95"/>
    <x v="95"/>
    <x v="95"/>
    <x v="95"/>
  </r>
  <r>
    <x v="96"/>
    <x v="96"/>
    <x v="1"/>
    <x v="2"/>
    <x v="2"/>
    <x v="96"/>
    <x v="94"/>
    <x v="96"/>
    <x v="6"/>
    <x v="42"/>
    <x v="86"/>
    <x v="95"/>
    <x v="10"/>
    <x v="90"/>
    <x v="4"/>
    <x v="4"/>
    <x v="0"/>
    <x v="1"/>
    <x v="0"/>
    <x v="0"/>
    <x v="96"/>
    <x v="96"/>
    <x v="96"/>
    <x v="96"/>
  </r>
  <r>
    <x v="97"/>
    <x v="97"/>
    <x v="4"/>
    <x v="7"/>
    <x v="10"/>
    <x v="97"/>
    <x v="95"/>
    <x v="97"/>
    <x v="4"/>
    <x v="34"/>
    <x v="87"/>
    <x v="96"/>
    <x v="19"/>
    <x v="17"/>
    <x v="3"/>
    <x v="1"/>
    <x v="1"/>
    <x v="3"/>
    <x v="1"/>
    <x v="3"/>
    <x v="97"/>
    <x v="97"/>
    <x v="97"/>
    <x v="97"/>
  </r>
  <r>
    <x v="98"/>
    <x v="98"/>
    <x v="4"/>
    <x v="7"/>
    <x v="0"/>
    <x v="98"/>
    <x v="96"/>
    <x v="98"/>
    <x v="4"/>
    <x v="1"/>
    <x v="88"/>
    <x v="97"/>
    <x v="17"/>
    <x v="91"/>
    <x v="0"/>
    <x v="0"/>
    <x v="2"/>
    <x v="1"/>
    <x v="1"/>
    <x v="1"/>
    <x v="98"/>
    <x v="98"/>
    <x v="98"/>
    <x v="98"/>
  </r>
  <r>
    <x v="99"/>
    <x v="99"/>
    <x v="1"/>
    <x v="2"/>
    <x v="7"/>
    <x v="99"/>
    <x v="97"/>
    <x v="99"/>
    <x v="20"/>
    <x v="23"/>
    <x v="10"/>
    <x v="98"/>
    <x v="20"/>
    <x v="92"/>
    <x v="1"/>
    <x v="3"/>
    <x v="1"/>
    <x v="2"/>
    <x v="1"/>
    <x v="1"/>
    <x v="99"/>
    <x v="99"/>
    <x v="99"/>
    <x v="99"/>
  </r>
  <r>
    <x v="100"/>
    <x v="100"/>
    <x v="3"/>
    <x v="4"/>
    <x v="2"/>
    <x v="100"/>
    <x v="98"/>
    <x v="100"/>
    <x v="3"/>
    <x v="43"/>
    <x v="89"/>
    <x v="99"/>
    <x v="21"/>
    <x v="93"/>
    <x v="3"/>
    <x v="1"/>
    <x v="1"/>
    <x v="3"/>
    <x v="1"/>
    <x v="2"/>
    <x v="100"/>
    <x v="100"/>
    <x v="100"/>
    <x v="100"/>
  </r>
  <r>
    <x v="101"/>
    <x v="101"/>
    <x v="2"/>
    <x v="3"/>
    <x v="9"/>
    <x v="101"/>
    <x v="99"/>
    <x v="101"/>
    <x v="12"/>
    <x v="15"/>
    <x v="90"/>
    <x v="100"/>
    <x v="0"/>
    <x v="94"/>
    <x v="5"/>
    <x v="2"/>
    <x v="2"/>
    <x v="1"/>
    <x v="1"/>
    <x v="2"/>
    <x v="101"/>
    <x v="101"/>
    <x v="101"/>
    <x v="101"/>
  </r>
  <r>
    <x v="102"/>
    <x v="102"/>
    <x v="4"/>
    <x v="6"/>
    <x v="7"/>
    <x v="102"/>
    <x v="100"/>
    <x v="102"/>
    <x v="4"/>
    <x v="17"/>
    <x v="34"/>
    <x v="101"/>
    <x v="19"/>
    <x v="95"/>
    <x v="5"/>
    <x v="3"/>
    <x v="0"/>
    <x v="3"/>
    <x v="1"/>
    <x v="2"/>
    <x v="102"/>
    <x v="102"/>
    <x v="102"/>
    <x v="102"/>
  </r>
  <r>
    <x v="103"/>
    <x v="103"/>
    <x v="2"/>
    <x v="3"/>
    <x v="8"/>
    <x v="103"/>
    <x v="101"/>
    <x v="103"/>
    <x v="4"/>
    <x v="1"/>
    <x v="91"/>
    <x v="102"/>
    <x v="2"/>
    <x v="96"/>
    <x v="3"/>
    <x v="3"/>
    <x v="0"/>
    <x v="2"/>
    <x v="1"/>
    <x v="3"/>
    <x v="103"/>
    <x v="103"/>
    <x v="103"/>
    <x v="103"/>
  </r>
  <r>
    <x v="104"/>
    <x v="104"/>
    <x v="2"/>
    <x v="10"/>
    <x v="10"/>
    <x v="104"/>
    <x v="102"/>
    <x v="104"/>
    <x v="20"/>
    <x v="17"/>
    <x v="83"/>
    <x v="103"/>
    <x v="14"/>
    <x v="97"/>
    <x v="2"/>
    <x v="4"/>
    <x v="1"/>
    <x v="3"/>
    <x v="1"/>
    <x v="1"/>
    <x v="104"/>
    <x v="104"/>
    <x v="104"/>
    <x v="104"/>
  </r>
  <r>
    <x v="105"/>
    <x v="105"/>
    <x v="3"/>
    <x v="4"/>
    <x v="0"/>
    <x v="105"/>
    <x v="103"/>
    <x v="105"/>
    <x v="9"/>
    <x v="44"/>
    <x v="33"/>
    <x v="104"/>
    <x v="12"/>
    <x v="98"/>
    <x v="0"/>
    <x v="4"/>
    <x v="0"/>
    <x v="3"/>
    <x v="1"/>
    <x v="1"/>
    <x v="105"/>
    <x v="105"/>
    <x v="105"/>
    <x v="105"/>
  </r>
  <r>
    <x v="106"/>
    <x v="106"/>
    <x v="2"/>
    <x v="14"/>
    <x v="1"/>
    <x v="106"/>
    <x v="104"/>
    <x v="106"/>
    <x v="15"/>
    <x v="7"/>
    <x v="92"/>
    <x v="105"/>
    <x v="8"/>
    <x v="99"/>
    <x v="2"/>
    <x v="2"/>
    <x v="1"/>
    <x v="0"/>
    <x v="0"/>
    <x v="0"/>
    <x v="106"/>
    <x v="106"/>
    <x v="106"/>
    <x v="106"/>
  </r>
  <r>
    <x v="107"/>
    <x v="107"/>
    <x v="2"/>
    <x v="10"/>
    <x v="8"/>
    <x v="107"/>
    <x v="105"/>
    <x v="107"/>
    <x v="9"/>
    <x v="9"/>
    <x v="93"/>
    <x v="106"/>
    <x v="21"/>
    <x v="100"/>
    <x v="3"/>
    <x v="1"/>
    <x v="1"/>
    <x v="0"/>
    <x v="1"/>
    <x v="1"/>
    <x v="107"/>
    <x v="107"/>
    <x v="107"/>
    <x v="107"/>
  </r>
  <r>
    <x v="108"/>
    <x v="108"/>
    <x v="0"/>
    <x v="15"/>
    <x v="9"/>
    <x v="108"/>
    <x v="106"/>
    <x v="108"/>
    <x v="20"/>
    <x v="25"/>
    <x v="47"/>
    <x v="107"/>
    <x v="2"/>
    <x v="101"/>
    <x v="2"/>
    <x v="0"/>
    <x v="2"/>
    <x v="1"/>
    <x v="1"/>
    <x v="3"/>
    <x v="108"/>
    <x v="108"/>
    <x v="108"/>
    <x v="108"/>
  </r>
  <r>
    <x v="109"/>
    <x v="109"/>
    <x v="4"/>
    <x v="11"/>
    <x v="3"/>
    <x v="109"/>
    <x v="107"/>
    <x v="109"/>
    <x v="4"/>
    <x v="45"/>
    <x v="16"/>
    <x v="108"/>
    <x v="17"/>
    <x v="31"/>
    <x v="5"/>
    <x v="4"/>
    <x v="0"/>
    <x v="1"/>
    <x v="1"/>
    <x v="3"/>
    <x v="109"/>
    <x v="109"/>
    <x v="109"/>
    <x v="109"/>
  </r>
  <r>
    <x v="110"/>
    <x v="110"/>
    <x v="2"/>
    <x v="14"/>
    <x v="2"/>
    <x v="110"/>
    <x v="108"/>
    <x v="110"/>
    <x v="5"/>
    <x v="23"/>
    <x v="94"/>
    <x v="109"/>
    <x v="2"/>
    <x v="102"/>
    <x v="1"/>
    <x v="4"/>
    <x v="2"/>
    <x v="1"/>
    <x v="1"/>
    <x v="3"/>
    <x v="110"/>
    <x v="110"/>
    <x v="110"/>
    <x v="110"/>
  </r>
  <r>
    <x v="111"/>
    <x v="111"/>
    <x v="2"/>
    <x v="3"/>
    <x v="3"/>
    <x v="111"/>
    <x v="109"/>
    <x v="111"/>
    <x v="4"/>
    <x v="23"/>
    <x v="95"/>
    <x v="110"/>
    <x v="16"/>
    <x v="103"/>
    <x v="1"/>
    <x v="0"/>
    <x v="2"/>
    <x v="2"/>
    <x v="0"/>
    <x v="0"/>
    <x v="111"/>
    <x v="111"/>
    <x v="111"/>
    <x v="111"/>
  </r>
  <r>
    <x v="112"/>
    <x v="112"/>
    <x v="4"/>
    <x v="7"/>
    <x v="11"/>
    <x v="112"/>
    <x v="110"/>
    <x v="112"/>
    <x v="5"/>
    <x v="23"/>
    <x v="96"/>
    <x v="111"/>
    <x v="11"/>
    <x v="104"/>
    <x v="1"/>
    <x v="1"/>
    <x v="0"/>
    <x v="2"/>
    <x v="1"/>
    <x v="2"/>
    <x v="112"/>
    <x v="112"/>
    <x v="112"/>
    <x v="112"/>
  </r>
  <r>
    <x v="113"/>
    <x v="113"/>
    <x v="3"/>
    <x v="5"/>
    <x v="8"/>
    <x v="113"/>
    <x v="111"/>
    <x v="113"/>
    <x v="1"/>
    <x v="20"/>
    <x v="97"/>
    <x v="112"/>
    <x v="3"/>
    <x v="105"/>
    <x v="1"/>
    <x v="4"/>
    <x v="0"/>
    <x v="3"/>
    <x v="1"/>
    <x v="1"/>
    <x v="113"/>
    <x v="113"/>
    <x v="113"/>
    <x v="113"/>
  </r>
  <r>
    <x v="114"/>
    <x v="114"/>
    <x v="4"/>
    <x v="6"/>
    <x v="9"/>
    <x v="114"/>
    <x v="112"/>
    <x v="114"/>
    <x v="20"/>
    <x v="9"/>
    <x v="98"/>
    <x v="113"/>
    <x v="21"/>
    <x v="106"/>
    <x v="1"/>
    <x v="3"/>
    <x v="0"/>
    <x v="1"/>
    <x v="1"/>
    <x v="2"/>
    <x v="114"/>
    <x v="114"/>
    <x v="114"/>
    <x v="114"/>
  </r>
  <r>
    <x v="115"/>
    <x v="115"/>
    <x v="0"/>
    <x v="0"/>
    <x v="2"/>
    <x v="115"/>
    <x v="113"/>
    <x v="115"/>
    <x v="15"/>
    <x v="34"/>
    <x v="99"/>
    <x v="114"/>
    <x v="20"/>
    <x v="7"/>
    <x v="4"/>
    <x v="4"/>
    <x v="1"/>
    <x v="2"/>
    <x v="1"/>
    <x v="1"/>
    <x v="115"/>
    <x v="115"/>
    <x v="115"/>
    <x v="115"/>
  </r>
  <r>
    <x v="116"/>
    <x v="116"/>
    <x v="2"/>
    <x v="10"/>
    <x v="4"/>
    <x v="116"/>
    <x v="114"/>
    <x v="116"/>
    <x v="18"/>
    <x v="16"/>
    <x v="100"/>
    <x v="115"/>
    <x v="25"/>
    <x v="107"/>
    <x v="2"/>
    <x v="3"/>
    <x v="0"/>
    <x v="2"/>
    <x v="1"/>
    <x v="3"/>
    <x v="116"/>
    <x v="116"/>
    <x v="116"/>
    <x v="116"/>
  </r>
  <r>
    <x v="117"/>
    <x v="117"/>
    <x v="3"/>
    <x v="13"/>
    <x v="2"/>
    <x v="117"/>
    <x v="115"/>
    <x v="117"/>
    <x v="3"/>
    <x v="46"/>
    <x v="101"/>
    <x v="116"/>
    <x v="3"/>
    <x v="91"/>
    <x v="5"/>
    <x v="0"/>
    <x v="1"/>
    <x v="1"/>
    <x v="1"/>
    <x v="2"/>
    <x v="117"/>
    <x v="117"/>
    <x v="117"/>
    <x v="117"/>
  </r>
  <r>
    <x v="118"/>
    <x v="118"/>
    <x v="2"/>
    <x v="14"/>
    <x v="9"/>
    <x v="118"/>
    <x v="116"/>
    <x v="118"/>
    <x v="20"/>
    <x v="19"/>
    <x v="71"/>
    <x v="117"/>
    <x v="8"/>
    <x v="108"/>
    <x v="1"/>
    <x v="1"/>
    <x v="0"/>
    <x v="0"/>
    <x v="1"/>
    <x v="1"/>
    <x v="118"/>
    <x v="118"/>
    <x v="118"/>
    <x v="118"/>
  </r>
  <r>
    <x v="119"/>
    <x v="119"/>
    <x v="3"/>
    <x v="4"/>
    <x v="0"/>
    <x v="119"/>
    <x v="117"/>
    <x v="119"/>
    <x v="11"/>
    <x v="40"/>
    <x v="102"/>
    <x v="118"/>
    <x v="23"/>
    <x v="49"/>
    <x v="5"/>
    <x v="0"/>
    <x v="1"/>
    <x v="1"/>
    <x v="1"/>
    <x v="1"/>
    <x v="119"/>
    <x v="119"/>
    <x v="119"/>
    <x v="119"/>
  </r>
  <r>
    <x v="120"/>
    <x v="120"/>
    <x v="0"/>
    <x v="15"/>
    <x v="3"/>
    <x v="120"/>
    <x v="118"/>
    <x v="120"/>
    <x v="12"/>
    <x v="16"/>
    <x v="103"/>
    <x v="119"/>
    <x v="22"/>
    <x v="109"/>
    <x v="5"/>
    <x v="3"/>
    <x v="0"/>
    <x v="2"/>
    <x v="1"/>
    <x v="2"/>
    <x v="120"/>
    <x v="120"/>
    <x v="120"/>
    <x v="120"/>
  </r>
  <r>
    <x v="121"/>
    <x v="121"/>
    <x v="2"/>
    <x v="10"/>
    <x v="6"/>
    <x v="121"/>
    <x v="119"/>
    <x v="121"/>
    <x v="1"/>
    <x v="47"/>
    <x v="104"/>
    <x v="120"/>
    <x v="22"/>
    <x v="110"/>
    <x v="4"/>
    <x v="1"/>
    <x v="1"/>
    <x v="1"/>
    <x v="1"/>
    <x v="2"/>
    <x v="121"/>
    <x v="121"/>
    <x v="121"/>
    <x v="121"/>
  </r>
  <r>
    <x v="122"/>
    <x v="122"/>
    <x v="4"/>
    <x v="7"/>
    <x v="11"/>
    <x v="122"/>
    <x v="120"/>
    <x v="122"/>
    <x v="7"/>
    <x v="3"/>
    <x v="105"/>
    <x v="121"/>
    <x v="14"/>
    <x v="111"/>
    <x v="1"/>
    <x v="0"/>
    <x v="2"/>
    <x v="0"/>
    <x v="1"/>
    <x v="1"/>
    <x v="122"/>
    <x v="122"/>
    <x v="122"/>
    <x v="122"/>
  </r>
  <r>
    <x v="123"/>
    <x v="123"/>
    <x v="1"/>
    <x v="1"/>
    <x v="2"/>
    <x v="123"/>
    <x v="121"/>
    <x v="123"/>
    <x v="3"/>
    <x v="12"/>
    <x v="106"/>
    <x v="122"/>
    <x v="9"/>
    <x v="112"/>
    <x v="1"/>
    <x v="1"/>
    <x v="2"/>
    <x v="1"/>
    <x v="1"/>
    <x v="1"/>
    <x v="123"/>
    <x v="123"/>
    <x v="123"/>
    <x v="123"/>
  </r>
  <r>
    <x v="124"/>
    <x v="124"/>
    <x v="0"/>
    <x v="15"/>
    <x v="10"/>
    <x v="124"/>
    <x v="122"/>
    <x v="124"/>
    <x v="18"/>
    <x v="19"/>
    <x v="107"/>
    <x v="123"/>
    <x v="20"/>
    <x v="113"/>
    <x v="3"/>
    <x v="0"/>
    <x v="1"/>
    <x v="3"/>
    <x v="1"/>
    <x v="3"/>
    <x v="124"/>
    <x v="124"/>
    <x v="124"/>
    <x v="124"/>
  </r>
  <r>
    <x v="125"/>
    <x v="125"/>
    <x v="4"/>
    <x v="6"/>
    <x v="8"/>
    <x v="125"/>
    <x v="123"/>
    <x v="125"/>
    <x v="16"/>
    <x v="48"/>
    <x v="108"/>
    <x v="124"/>
    <x v="5"/>
    <x v="114"/>
    <x v="3"/>
    <x v="2"/>
    <x v="1"/>
    <x v="1"/>
    <x v="1"/>
    <x v="2"/>
    <x v="125"/>
    <x v="125"/>
    <x v="125"/>
    <x v="125"/>
  </r>
  <r>
    <x v="126"/>
    <x v="126"/>
    <x v="4"/>
    <x v="11"/>
    <x v="10"/>
    <x v="126"/>
    <x v="124"/>
    <x v="126"/>
    <x v="1"/>
    <x v="45"/>
    <x v="109"/>
    <x v="125"/>
    <x v="2"/>
    <x v="115"/>
    <x v="1"/>
    <x v="3"/>
    <x v="2"/>
    <x v="1"/>
    <x v="1"/>
    <x v="2"/>
    <x v="126"/>
    <x v="126"/>
    <x v="126"/>
    <x v="126"/>
  </r>
  <r>
    <x v="127"/>
    <x v="127"/>
    <x v="0"/>
    <x v="15"/>
    <x v="6"/>
    <x v="127"/>
    <x v="125"/>
    <x v="127"/>
    <x v="9"/>
    <x v="5"/>
    <x v="110"/>
    <x v="126"/>
    <x v="0"/>
    <x v="116"/>
    <x v="1"/>
    <x v="3"/>
    <x v="1"/>
    <x v="0"/>
    <x v="1"/>
    <x v="3"/>
    <x v="127"/>
    <x v="127"/>
    <x v="127"/>
    <x v="127"/>
  </r>
  <r>
    <x v="128"/>
    <x v="128"/>
    <x v="0"/>
    <x v="15"/>
    <x v="4"/>
    <x v="128"/>
    <x v="126"/>
    <x v="128"/>
    <x v="1"/>
    <x v="23"/>
    <x v="111"/>
    <x v="127"/>
    <x v="19"/>
    <x v="117"/>
    <x v="2"/>
    <x v="2"/>
    <x v="1"/>
    <x v="1"/>
    <x v="1"/>
    <x v="2"/>
    <x v="128"/>
    <x v="128"/>
    <x v="128"/>
    <x v="128"/>
  </r>
  <r>
    <x v="129"/>
    <x v="129"/>
    <x v="2"/>
    <x v="14"/>
    <x v="5"/>
    <x v="129"/>
    <x v="127"/>
    <x v="129"/>
    <x v="5"/>
    <x v="49"/>
    <x v="112"/>
    <x v="128"/>
    <x v="18"/>
    <x v="118"/>
    <x v="4"/>
    <x v="1"/>
    <x v="0"/>
    <x v="0"/>
    <x v="1"/>
    <x v="1"/>
    <x v="129"/>
    <x v="129"/>
    <x v="129"/>
    <x v="129"/>
  </r>
  <r>
    <x v="130"/>
    <x v="130"/>
    <x v="1"/>
    <x v="2"/>
    <x v="3"/>
    <x v="130"/>
    <x v="128"/>
    <x v="130"/>
    <x v="3"/>
    <x v="9"/>
    <x v="113"/>
    <x v="129"/>
    <x v="10"/>
    <x v="119"/>
    <x v="2"/>
    <x v="1"/>
    <x v="2"/>
    <x v="0"/>
    <x v="1"/>
    <x v="3"/>
    <x v="130"/>
    <x v="130"/>
    <x v="130"/>
    <x v="130"/>
  </r>
  <r>
    <x v="131"/>
    <x v="131"/>
    <x v="2"/>
    <x v="3"/>
    <x v="7"/>
    <x v="131"/>
    <x v="129"/>
    <x v="131"/>
    <x v="3"/>
    <x v="5"/>
    <x v="114"/>
    <x v="130"/>
    <x v="5"/>
    <x v="120"/>
    <x v="3"/>
    <x v="1"/>
    <x v="2"/>
    <x v="1"/>
    <x v="1"/>
    <x v="3"/>
    <x v="131"/>
    <x v="131"/>
    <x v="131"/>
    <x v="131"/>
  </r>
  <r>
    <x v="132"/>
    <x v="132"/>
    <x v="4"/>
    <x v="7"/>
    <x v="3"/>
    <x v="132"/>
    <x v="99"/>
    <x v="132"/>
    <x v="23"/>
    <x v="50"/>
    <x v="12"/>
    <x v="131"/>
    <x v="25"/>
    <x v="121"/>
    <x v="0"/>
    <x v="2"/>
    <x v="2"/>
    <x v="3"/>
    <x v="0"/>
    <x v="0"/>
    <x v="132"/>
    <x v="132"/>
    <x v="132"/>
    <x v="132"/>
  </r>
  <r>
    <x v="133"/>
    <x v="133"/>
    <x v="1"/>
    <x v="8"/>
    <x v="7"/>
    <x v="133"/>
    <x v="130"/>
    <x v="133"/>
    <x v="7"/>
    <x v="23"/>
    <x v="33"/>
    <x v="132"/>
    <x v="8"/>
    <x v="122"/>
    <x v="1"/>
    <x v="1"/>
    <x v="2"/>
    <x v="3"/>
    <x v="1"/>
    <x v="3"/>
    <x v="133"/>
    <x v="133"/>
    <x v="133"/>
    <x v="133"/>
  </r>
  <r>
    <x v="134"/>
    <x v="134"/>
    <x v="2"/>
    <x v="3"/>
    <x v="11"/>
    <x v="134"/>
    <x v="131"/>
    <x v="134"/>
    <x v="1"/>
    <x v="51"/>
    <x v="115"/>
    <x v="133"/>
    <x v="13"/>
    <x v="123"/>
    <x v="3"/>
    <x v="4"/>
    <x v="2"/>
    <x v="2"/>
    <x v="1"/>
    <x v="1"/>
    <x v="134"/>
    <x v="134"/>
    <x v="134"/>
    <x v="134"/>
  </r>
  <r>
    <x v="135"/>
    <x v="135"/>
    <x v="4"/>
    <x v="6"/>
    <x v="11"/>
    <x v="135"/>
    <x v="132"/>
    <x v="135"/>
    <x v="10"/>
    <x v="11"/>
    <x v="87"/>
    <x v="134"/>
    <x v="6"/>
    <x v="124"/>
    <x v="4"/>
    <x v="1"/>
    <x v="1"/>
    <x v="2"/>
    <x v="1"/>
    <x v="3"/>
    <x v="135"/>
    <x v="135"/>
    <x v="135"/>
    <x v="135"/>
  </r>
  <r>
    <x v="136"/>
    <x v="136"/>
    <x v="1"/>
    <x v="2"/>
    <x v="3"/>
    <x v="136"/>
    <x v="133"/>
    <x v="136"/>
    <x v="4"/>
    <x v="7"/>
    <x v="116"/>
    <x v="135"/>
    <x v="15"/>
    <x v="125"/>
    <x v="2"/>
    <x v="2"/>
    <x v="2"/>
    <x v="2"/>
    <x v="1"/>
    <x v="2"/>
    <x v="136"/>
    <x v="136"/>
    <x v="136"/>
    <x v="136"/>
  </r>
  <r>
    <x v="137"/>
    <x v="137"/>
    <x v="2"/>
    <x v="14"/>
    <x v="1"/>
    <x v="137"/>
    <x v="134"/>
    <x v="137"/>
    <x v="17"/>
    <x v="7"/>
    <x v="117"/>
    <x v="136"/>
    <x v="6"/>
    <x v="126"/>
    <x v="1"/>
    <x v="0"/>
    <x v="0"/>
    <x v="1"/>
    <x v="1"/>
    <x v="3"/>
    <x v="137"/>
    <x v="137"/>
    <x v="137"/>
    <x v="137"/>
  </r>
  <r>
    <x v="138"/>
    <x v="138"/>
    <x v="2"/>
    <x v="10"/>
    <x v="5"/>
    <x v="138"/>
    <x v="135"/>
    <x v="138"/>
    <x v="5"/>
    <x v="27"/>
    <x v="118"/>
    <x v="137"/>
    <x v="24"/>
    <x v="127"/>
    <x v="1"/>
    <x v="0"/>
    <x v="2"/>
    <x v="1"/>
    <x v="1"/>
    <x v="1"/>
    <x v="138"/>
    <x v="138"/>
    <x v="138"/>
    <x v="138"/>
  </r>
  <r>
    <x v="139"/>
    <x v="139"/>
    <x v="1"/>
    <x v="8"/>
    <x v="3"/>
    <x v="139"/>
    <x v="136"/>
    <x v="139"/>
    <x v="20"/>
    <x v="52"/>
    <x v="31"/>
    <x v="138"/>
    <x v="23"/>
    <x v="128"/>
    <x v="4"/>
    <x v="2"/>
    <x v="1"/>
    <x v="1"/>
    <x v="1"/>
    <x v="1"/>
    <x v="139"/>
    <x v="139"/>
    <x v="139"/>
    <x v="139"/>
  </r>
  <r>
    <x v="140"/>
    <x v="140"/>
    <x v="3"/>
    <x v="13"/>
    <x v="9"/>
    <x v="140"/>
    <x v="137"/>
    <x v="140"/>
    <x v="6"/>
    <x v="20"/>
    <x v="97"/>
    <x v="139"/>
    <x v="10"/>
    <x v="129"/>
    <x v="2"/>
    <x v="1"/>
    <x v="1"/>
    <x v="1"/>
    <x v="1"/>
    <x v="2"/>
    <x v="140"/>
    <x v="140"/>
    <x v="140"/>
    <x v="140"/>
  </r>
  <r>
    <x v="141"/>
    <x v="141"/>
    <x v="0"/>
    <x v="0"/>
    <x v="0"/>
    <x v="141"/>
    <x v="138"/>
    <x v="141"/>
    <x v="11"/>
    <x v="25"/>
    <x v="105"/>
    <x v="140"/>
    <x v="18"/>
    <x v="130"/>
    <x v="1"/>
    <x v="2"/>
    <x v="2"/>
    <x v="1"/>
    <x v="0"/>
    <x v="0"/>
    <x v="141"/>
    <x v="141"/>
    <x v="141"/>
    <x v="141"/>
  </r>
  <r>
    <x v="142"/>
    <x v="142"/>
    <x v="3"/>
    <x v="13"/>
    <x v="0"/>
    <x v="142"/>
    <x v="139"/>
    <x v="142"/>
    <x v="8"/>
    <x v="53"/>
    <x v="119"/>
    <x v="141"/>
    <x v="2"/>
    <x v="131"/>
    <x v="1"/>
    <x v="0"/>
    <x v="1"/>
    <x v="1"/>
    <x v="1"/>
    <x v="3"/>
    <x v="142"/>
    <x v="142"/>
    <x v="142"/>
    <x v="142"/>
  </r>
  <r>
    <x v="143"/>
    <x v="143"/>
    <x v="1"/>
    <x v="2"/>
    <x v="8"/>
    <x v="143"/>
    <x v="140"/>
    <x v="143"/>
    <x v="8"/>
    <x v="5"/>
    <x v="120"/>
    <x v="142"/>
    <x v="2"/>
    <x v="126"/>
    <x v="1"/>
    <x v="1"/>
    <x v="2"/>
    <x v="3"/>
    <x v="1"/>
    <x v="1"/>
    <x v="143"/>
    <x v="143"/>
    <x v="143"/>
    <x v="143"/>
  </r>
  <r>
    <x v="144"/>
    <x v="144"/>
    <x v="3"/>
    <x v="5"/>
    <x v="10"/>
    <x v="144"/>
    <x v="141"/>
    <x v="144"/>
    <x v="23"/>
    <x v="17"/>
    <x v="121"/>
    <x v="143"/>
    <x v="1"/>
    <x v="132"/>
    <x v="3"/>
    <x v="1"/>
    <x v="0"/>
    <x v="3"/>
    <x v="1"/>
    <x v="2"/>
    <x v="144"/>
    <x v="144"/>
    <x v="144"/>
    <x v="144"/>
  </r>
  <r>
    <x v="145"/>
    <x v="145"/>
    <x v="3"/>
    <x v="5"/>
    <x v="4"/>
    <x v="145"/>
    <x v="142"/>
    <x v="145"/>
    <x v="10"/>
    <x v="54"/>
    <x v="122"/>
    <x v="144"/>
    <x v="22"/>
    <x v="124"/>
    <x v="4"/>
    <x v="4"/>
    <x v="2"/>
    <x v="1"/>
    <x v="1"/>
    <x v="3"/>
    <x v="145"/>
    <x v="145"/>
    <x v="145"/>
    <x v="145"/>
  </r>
  <r>
    <x v="146"/>
    <x v="146"/>
    <x v="3"/>
    <x v="13"/>
    <x v="9"/>
    <x v="146"/>
    <x v="143"/>
    <x v="146"/>
    <x v="8"/>
    <x v="3"/>
    <x v="10"/>
    <x v="145"/>
    <x v="16"/>
    <x v="81"/>
    <x v="5"/>
    <x v="1"/>
    <x v="1"/>
    <x v="1"/>
    <x v="1"/>
    <x v="1"/>
    <x v="146"/>
    <x v="146"/>
    <x v="146"/>
    <x v="146"/>
  </r>
  <r>
    <x v="147"/>
    <x v="147"/>
    <x v="1"/>
    <x v="8"/>
    <x v="4"/>
    <x v="147"/>
    <x v="144"/>
    <x v="147"/>
    <x v="6"/>
    <x v="10"/>
    <x v="123"/>
    <x v="146"/>
    <x v="18"/>
    <x v="133"/>
    <x v="2"/>
    <x v="2"/>
    <x v="1"/>
    <x v="3"/>
    <x v="1"/>
    <x v="2"/>
    <x v="147"/>
    <x v="147"/>
    <x v="147"/>
    <x v="147"/>
  </r>
  <r>
    <x v="148"/>
    <x v="148"/>
    <x v="0"/>
    <x v="12"/>
    <x v="1"/>
    <x v="148"/>
    <x v="145"/>
    <x v="148"/>
    <x v="9"/>
    <x v="25"/>
    <x v="124"/>
    <x v="147"/>
    <x v="10"/>
    <x v="134"/>
    <x v="0"/>
    <x v="4"/>
    <x v="0"/>
    <x v="3"/>
    <x v="1"/>
    <x v="2"/>
    <x v="148"/>
    <x v="148"/>
    <x v="148"/>
    <x v="148"/>
  </r>
  <r>
    <x v="149"/>
    <x v="149"/>
    <x v="2"/>
    <x v="3"/>
    <x v="5"/>
    <x v="149"/>
    <x v="146"/>
    <x v="149"/>
    <x v="10"/>
    <x v="55"/>
    <x v="7"/>
    <x v="148"/>
    <x v="5"/>
    <x v="135"/>
    <x v="4"/>
    <x v="4"/>
    <x v="0"/>
    <x v="2"/>
    <x v="1"/>
    <x v="3"/>
    <x v="149"/>
    <x v="149"/>
    <x v="149"/>
    <x v="149"/>
  </r>
  <r>
    <x v="150"/>
    <x v="150"/>
    <x v="2"/>
    <x v="10"/>
    <x v="4"/>
    <x v="150"/>
    <x v="147"/>
    <x v="150"/>
    <x v="10"/>
    <x v="56"/>
    <x v="125"/>
    <x v="149"/>
    <x v="22"/>
    <x v="136"/>
    <x v="1"/>
    <x v="4"/>
    <x v="2"/>
    <x v="2"/>
    <x v="1"/>
    <x v="2"/>
    <x v="150"/>
    <x v="150"/>
    <x v="150"/>
    <x v="150"/>
  </r>
  <r>
    <x v="151"/>
    <x v="151"/>
    <x v="3"/>
    <x v="5"/>
    <x v="9"/>
    <x v="151"/>
    <x v="148"/>
    <x v="151"/>
    <x v="10"/>
    <x v="24"/>
    <x v="46"/>
    <x v="150"/>
    <x v="2"/>
    <x v="137"/>
    <x v="1"/>
    <x v="3"/>
    <x v="0"/>
    <x v="1"/>
    <x v="1"/>
    <x v="1"/>
    <x v="151"/>
    <x v="151"/>
    <x v="151"/>
    <x v="151"/>
  </r>
  <r>
    <x v="152"/>
    <x v="152"/>
    <x v="3"/>
    <x v="4"/>
    <x v="8"/>
    <x v="152"/>
    <x v="149"/>
    <x v="152"/>
    <x v="2"/>
    <x v="9"/>
    <x v="126"/>
    <x v="151"/>
    <x v="25"/>
    <x v="138"/>
    <x v="4"/>
    <x v="3"/>
    <x v="1"/>
    <x v="1"/>
    <x v="0"/>
    <x v="0"/>
    <x v="152"/>
    <x v="152"/>
    <x v="152"/>
    <x v="152"/>
  </r>
  <r>
    <x v="153"/>
    <x v="153"/>
    <x v="1"/>
    <x v="2"/>
    <x v="8"/>
    <x v="153"/>
    <x v="150"/>
    <x v="153"/>
    <x v="2"/>
    <x v="57"/>
    <x v="104"/>
    <x v="152"/>
    <x v="8"/>
    <x v="139"/>
    <x v="1"/>
    <x v="1"/>
    <x v="0"/>
    <x v="3"/>
    <x v="1"/>
    <x v="2"/>
    <x v="153"/>
    <x v="153"/>
    <x v="153"/>
    <x v="153"/>
  </r>
  <r>
    <x v="154"/>
    <x v="154"/>
    <x v="1"/>
    <x v="8"/>
    <x v="8"/>
    <x v="154"/>
    <x v="151"/>
    <x v="154"/>
    <x v="5"/>
    <x v="48"/>
    <x v="69"/>
    <x v="153"/>
    <x v="5"/>
    <x v="140"/>
    <x v="3"/>
    <x v="2"/>
    <x v="2"/>
    <x v="0"/>
    <x v="1"/>
    <x v="1"/>
    <x v="154"/>
    <x v="154"/>
    <x v="154"/>
    <x v="154"/>
  </r>
  <r>
    <x v="155"/>
    <x v="155"/>
    <x v="2"/>
    <x v="14"/>
    <x v="2"/>
    <x v="155"/>
    <x v="152"/>
    <x v="155"/>
    <x v="20"/>
    <x v="3"/>
    <x v="117"/>
    <x v="154"/>
    <x v="8"/>
    <x v="141"/>
    <x v="4"/>
    <x v="0"/>
    <x v="1"/>
    <x v="2"/>
    <x v="1"/>
    <x v="1"/>
    <x v="155"/>
    <x v="155"/>
    <x v="155"/>
    <x v="155"/>
  </r>
  <r>
    <x v="156"/>
    <x v="156"/>
    <x v="2"/>
    <x v="10"/>
    <x v="1"/>
    <x v="156"/>
    <x v="153"/>
    <x v="156"/>
    <x v="18"/>
    <x v="58"/>
    <x v="52"/>
    <x v="155"/>
    <x v="13"/>
    <x v="142"/>
    <x v="3"/>
    <x v="0"/>
    <x v="0"/>
    <x v="3"/>
    <x v="1"/>
    <x v="1"/>
    <x v="156"/>
    <x v="156"/>
    <x v="156"/>
    <x v="156"/>
  </r>
  <r>
    <x v="157"/>
    <x v="157"/>
    <x v="1"/>
    <x v="8"/>
    <x v="0"/>
    <x v="157"/>
    <x v="154"/>
    <x v="157"/>
    <x v="14"/>
    <x v="59"/>
    <x v="82"/>
    <x v="156"/>
    <x v="8"/>
    <x v="143"/>
    <x v="5"/>
    <x v="1"/>
    <x v="2"/>
    <x v="3"/>
    <x v="0"/>
    <x v="0"/>
    <x v="157"/>
    <x v="157"/>
    <x v="157"/>
    <x v="157"/>
  </r>
  <r>
    <x v="158"/>
    <x v="158"/>
    <x v="1"/>
    <x v="2"/>
    <x v="1"/>
    <x v="158"/>
    <x v="155"/>
    <x v="158"/>
    <x v="3"/>
    <x v="46"/>
    <x v="127"/>
    <x v="157"/>
    <x v="1"/>
    <x v="25"/>
    <x v="2"/>
    <x v="4"/>
    <x v="0"/>
    <x v="1"/>
    <x v="1"/>
    <x v="3"/>
    <x v="158"/>
    <x v="158"/>
    <x v="158"/>
    <x v="158"/>
  </r>
  <r>
    <x v="159"/>
    <x v="159"/>
    <x v="4"/>
    <x v="6"/>
    <x v="11"/>
    <x v="159"/>
    <x v="156"/>
    <x v="159"/>
    <x v="0"/>
    <x v="17"/>
    <x v="128"/>
    <x v="158"/>
    <x v="23"/>
    <x v="144"/>
    <x v="2"/>
    <x v="4"/>
    <x v="2"/>
    <x v="2"/>
    <x v="1"/>
    <x v="1"/>
    <x v="159"/>
    <x v="159"/>
    <x v="159"/>
    <x v="159"/>
  </r>
  <r>
    <x v="160"/>
    <x v="160"/>
    <x v="2"/>
    <x v="3"/>
    <x v="9"/>
    <x v="160"/>
    <x v="157"/>
    <x v="160"/>
    <x v="10"/>
    <x v="7"/>
    <x v="129"/>
    <x v="159"/>
    <x v="12"/>
    <x v="145"/>
    <x v="1"/>
    <x v="2"/>
    <x v="1"/>
    <x v="2"/>
    <x v="1"/>
    <x v="3"/>
    <x v="160"/>
    <x v="160"/>
    <x v="160"/>
    <x v="160"/>
  </r>
  <r>
    <x v="161"/>
    <x v="161"/>
    <x v="1"/>
    <x v="8"/>
    <x v="7"/>
    <x v="161"/>
    <x v="158"/>
    <x v="161"/>
    <x v="5"/>
    <x v="31"/>
    <x v="60"/>
    <x v="160"/>
    <x v="17"/>
    <x v="9"/>
    <x v="3"/>
    <x v="0"/>
    <x v="2"/>
    <x v="0"/>
    <x v="1"/>
    <x v="2"/>
    <x v="161"/>
    <x v="161"/>
    <x v="161"/>
    <x v="161"/>
  </r>
  <r>
    <x v="162"/>
    <x v="162"/>
    <x v="4"/>
    <x v="7"/>
    <x v="2"/>
    <x v="162"/>
    <x v="159"/>
    <x v="162"/>
    <x v="19"/>
    <x v="60"/>
    <x v="130"/>
    <x v="161"/>
    <x v="2"/>
    <x v="146"/>
    <x v="2"/>
    <x v="4"/>
    <x v="2"/>
    <x v="3"/>
    <x v="0"/>
    <x v="0"/>
    <x v="162"/>
    <x v="162"/>
    <x v="162"/>
    <x v="162"/>
  </r>
  <r>
    <x v="163"/>
    <x v="163"/>
    <x v="3"/>
    <x v="5"/>
    <x v="8"/>
    <x v="163"/>
    <x v="160"/>
    <x v="163"/>
    <x v="4"/>
    <x v="3"/>
    <x v="116"/>
    <x v="162"/>
    <x v="25"/>
    <x v="147"/>
    <x v="2"/>
    <x v="2"/>
    <x v="0"/>
    <x v="2"/>
    <x v="1"/>
    <x v="3"/>
    <x v="163"/>
    <x v="163"/>
    <x v="163"/>
    <x v="163"/>
  </r>
  <r>
    <x v="164"/>
    <x v="164"/>
    <x v="3"/>
    <x v="13"/>
    <x v="6"/>
    <x v="164"/>
    <x v="161"/>
    <x v="164"/>
    <x v="20"/>
    <x v="14"/>
    <x v="131"/>
    <x v="163"/>
    <x v="10"/>
    <x v="148"/>
    <x v="2"/>
    <x v="3"/>
    <x v="1"/>
    <x v="1"/>
    <x v="1"/>
    <x v="3"/>
    <x v="164"/>
    <x v="164"/>
    <x v="164"/>
    <x v="164"/>
  </r>
  <r>
    <x v="165"/>
    <x v="165"/>
    <x v="3"/>
    <x v="5"/>
    <x v="10"/>
    <x v="165"/>
    <x v="162"/>
    <x v="165"/>
    <x v="8"/>
    <x v="6"/>
    <x v="132"/>
    <x v="164"/>
    <x v="2"/>
    <x v="149"/>
    <x v="4"/>
    <x v="2"/>
    <x v="0"/>
    <x v="1"/>
    <x v="1"/>
    <x v="2"/>
    <x v="165"/>
    <x v="165"/>
    <x v="165"/>
    <x v="165"/>
  </r>
  <r>
    <x v="166"/>
    <x v="166"/>
    <x v="2"/>
    <x v="10"/>
    <x v="6"/>
    <x v="166"/>
    <x v="163"/>
    <x v="166"/>
    <x v="1"/>
    <x v="14"/>
    <x v="133"/>
    <x v="165"/>
    <x v="6"/>
    <x v="150"/>
    <x v="2"/>
    <x v="3"/>
    <x v="0"/>
    <x v="3"/>
    <x v="1"/>
    <x v="3"/>
    <x v="166"/>
    <x v="166"/>
    <x v="166"/>
    <x v="166"/>
  </r>
  <r>
    <x v="167"/>
    <x v="167"/>
    <x v="2"/>
    <x v="3"/>
    <x v="8"/>
    <x v="167"/>
    <x v="164"/>
    <x v="167"/>
    <x v="20"/>
    <x v="30"/>
    <x v="134"/>
    <x v="166"/>
    <x v="25"/>
    <x v="151"/>
    <x v="3"/>
    <x v="3"/>
    <x v="1"/>
    <x v="1"/>
    <x v="1"/>
    <x v="1"/>
    <x v="167"/>
    <x v="167"/>
    <x v="167"/>
    <x v="167"/>
  </r>
  <r>
    <x v="168"/>
    <x v="168"/>
    <x v="2"/>
    <x v="10"/>
    <x v="9"/>
    <x v="168"/>
    <x v="165"/>
    <x v="168"/>
    <x v="10"/>
    <x v="27"/>
    <x v="13"/>
    <x v="167"/>
    <x v="20"/>
    <x v="152"/>
    <x v="2"/>
    <x v="2"/>
    <x v="2"/>
    <x v="3"/>
    <x v="1"/>
    <x v="3"/>
    <x v="168"/>
    <x v="168"/>
    <x v="168"/>
    <x v="168"/>
  </r>
  <r>
    <x v="169"/>
    <x v="169"/>
    <x v="4"/>
    <x v="6"/>
    <x v="6"/>
    <x v="169"/>
    <x v="166"/>
    <x v="169"/>
    <x v="8"/>
    <x v="10"/>
    <x v="135"/>
    <x v="168"/>
    <x v="15"/>
    <x v="153"/>
    <x v="0"/>
    <x v="0"/>
    <x v="0"/>
    <x v="0"/>
    <x v="1"/>
    <x v="2"/>
    <x v="169"/>
    <x v="169"/>
    <x v="169"/>
    <x v="169"/>
  </r>
  <r>
    <x v="170"/>
    <x v="170"/>
    <x v="1"/>
    <x v="2"/>
    <x v="2"/>
    <x v="170"/>
    <x v="167"/>
    <x v="170"/>
    <x v="10"/>
    <x v="32"/>
    <x v="136"/>
    <x v="169"/>
    <x v="9"/>
    <x v="154"/>
    <x v="1"/>
    <x v="1"/>
    <x v="0"/>
    <x v="1"/>
    <x v="1"/>
    <x v="1"/>
    <x v="170"/>
    <x v="170"/>
    <x v="170"/>
    <x v="170"/>
  </r>
  <r>
    <x v="171"/>
    <x v="171"/>
    <x v="0"/>
    <x v="9"/>
    <x v="11"/>
    <x v="171"/>
    <x v="168"/>
    <x v="171"/>
    <x v="11"/>
    <x v="48"/>
    <x v="137"/>
    <x v="170"/>
    <x v="10"/>
    <x v="155"/>
    <x v="0"/>
    <x v="0"/>
    <x v="0"/>
    <x v="2"/>
    <x v="1"/>
    <x v="3"/>
    <x v="171"/>
    <x v="171"/>
    <x v="171"/>
    <x v="171"/>
  </r>
  <r>
    <x v="172"/>
    <x v="172"/>
    <x v="2"/>
    <x v="10"/>
    <x v="9"/>
    <x v="172"/>
    <x v="169"/>
    <x v="172"/>
    <x v="1"/>
    <x v="10"/>
    <x v="138"/>
    <x v="171"/>
    <x v="0"/>
    <x v="156"/>
    <x v="5"/>
    <x v="3"/>
    <x v="0"/>
    <x v="2"/>
    <x v="1"/>
    <x v="3"/>
    <x v="172"/>
    <x v="172"/>
    <x v="172"/>
    <x v="172"/>
  </r>
  <r>
    <x v="173"/>
    <x v="173"/>
    <x v="4"/>
    <x v="11"/>
    <x v="2"/>
    <x v="173"/>
    <x v="170"/>
    <x v="173"/>
    <x v="7"/>
    <x v="13"/>
    <x v="66"/>
    <x v="172"/>
    <x v="16"/>
    <x v="157"/>
    <x v="5"/>
    <x v="4"/>
    <x v="2"/>
    <x v="0"/>
    <x v="1"/>
    <x v="3"/>
    <x v="173"/>
    <x v="173"/>
    <x v="173"/>
    <x v="173"/>
  </r>
  <r>
    <x v="174"/>
    <x v="174"/>
    <x v="0"/>
    <x v="15"/>
    <x v="4"/>
    <x v="174"/>
    <x v="171"/>
    <x v="174"/>
    <x v="5"/>
    <x v="24"/>
    <x v="139"/>
    <x v="173"/>
    <x v="16"/>
    <x v="158"/>
    <x v="1"/>
    <x v="3"/>
    <x v="1"/>
    <x v="2"/>
    <x v="1"/>
    <x v="3"/>
    <x v="174"/>
    <x v="174"/>
    <x v="174"/>
    <x v="174"/>
  </r>
  <r>
    <x v="175"/>
    <x v="175"/>
    <x v="3"/>
    <x v="5"/>
    <x v="1"/>
    <x v="175"/>
    <x v="172"/>
    <x v="175"/>
    <x v="0"/>
    <x v="3"/>
    <x v="140"/>
    <x v="174"/>
    <x v="4"/>
    <x v="159"/>
    <x v="2"/>
    <x v="3"/>
    <x v="1"/>
    <x v="0"/>
    <x v="1"/>
    <x v="1"/>
    <x v="175"/>
    <x v="175"/>
    <x v="175"/>
    <x v="175"/>
  </r>
  <r>
    <x v="176"/>
    <x v="176"/>
    <x v="1"/>
    <x v="8"/>
    <x v="1"/>
    <x v="176"/>
    <x v="173"/>
    <x v="176"/>
    <x v="13"/>
    <x v="10"/>
    <x v="141"/>
    <x v="175"/>
    <x v="7"/>
    <x v="160"/>
    <x v="0"/>
    <x v="2"/>
    <x v="2"/>
    <x v="3"/>
    <x v="1"/>
    <x v="3"/>
    <x v="176"/>
    <x v="176"/>
    <x v="176"/>
    <x v="176"/>
  </r>
  <r>
    <x v="177"/>
    <x v="177"/>
    <x v="1"/>
    <x v="1"/>
    <x v="4"/>
    <x v="177"/>
    <x v="174"/>
    <x v="177"/>
    <x v="7"/>
    <x v="55"/>
    <x v="142"/>
    <x v="176"/>
    <x v="24"/>
    <x v="118"/>
    <x v="1"/>
    <x v="2"/>
    <x v="0"/>
    <x v="2"/>
    <x v="1"/>
    <x v="3"/>
    <x v="177"/>
    <x v="177"/>
    <x v="177"/>
    <x v="177"/>
  </r>
  <r>
    <x v="178"/>
    <x v="178"/>
    <x v="1"/>
    <x v="8"/>
    <x v="10"/>
    <x v="178"/>
    <x v="175"/>
    <x v="178"/>
    <x v="7"/>
    <x v="6"/>
    <x v="143"/>
    <x v="177"/>
    <x v="12"/>
    <x v="161"/>
    <x v="1"/>
    <x v="2"/>
    <x v="1"/>
    <x v="3"/>
    <x v="1"/>
    <x v="1"/>
    <x v="178"/>
    <x v="178"/>
    <x v="178"/>
    <x v="178"/>
  </r>
  <r>
    <x v="179"/>
    <x v="179"/>
    <x v="3"/>
    <x v="4"/>
    <x v="1"/>
    <x v="179"/>
    <x v="176"/>
    <x v="179"/>
    <x v="7"/>
    <x v="42"/>
    <x v="144"/>
    <x v="178"/>
    <x v="14"/>
    <x v="162"/>
    <x v="0"/>
    <x v="0"/>
    <x v="0"/>
    <x v="0"/>
    <x v="1"/>
    <x v="2"/>
    <x v="179"/>
    <x v="179"/>
    <x v="179"/>
    <x v="179"/>
  </r>
  <r>
    <x v="180"/>
    <x v="180"/>
    <x v="3"/>
    <x v="5"/>
    <x v="1"/>
    <x v="180"/>
    <x v="177"/>
    <x v="180"/>
    <x v="5"/>
    <x v="3"/>
    <x v="109"/>
    <x v="179"/>
    <x v="19"/>
    <x v="129"/>
    <x v="5"/>
    <x v="0"/>
    <x v="0"/>
    <x v="3"/>
    <x v="1"/>
    <x v="2"/>
    <x v="180"/>
    <x v="180"/>
    <x v="180"/>
    <x v="180"/>
  </r>
  <r>
    <x v="181"/>
    <x v="181"/>
    <x v="2"/>
    <x v="14"/>
    <x v="6"/>
    <x v="181"/>
    <x v="178"/>
    <x v="181"/>
    <x v="22"/>
    <x v="25"/>
    <x v="145"/>
    <x v="180"/>
    <x v="1"/>
    <x v="140"/>
    <x v="1"/>
    <x v="3"/>
    <x v="1"/>
    <x v="0"/>
    <x v="1"/>
    <x v="3"/>
    <x v="181"/>
    <x v="181"/>
    <x v="181"/>
    <x v="181"/>
  </r>
  <r>
    <x v="182"/>
    <x v="182"/>
    <x v="0"/>
    <x v="15"/>
    <x v="2"/>
    <x v="182"/>
    <x v="179"/>
    <x v="182"/>
    <x v="10"/>
    <x v="8"/>
    <x v="146"/>
    <x v="181"/>
    <x v="6"/>
    <x v="77"/>
    <x v="0"/>
    <x v="2"/>
    <x v="1"/>
    <x v="1"/>
    <x v="1"/>
    <x v="1"/>
    <x v="182"/>
    <x v="182"/>
    <x v="182"/>
    <x v="182"/>
  </r>
  <r>
    <x v="183"/>
    <x v="183"/>
    <x v="3"/>
    <x v="5"/>
    <x v="8"/>
    <x v="183"/>
    <x v="180"/>
    <x v="183"/>
    <x v="1"/>
    <x v="10"/>
    <x v="147"/>
    <x v="182"/>
    <x v="8"/>
    <x v="163"/>
    <x v="1"/>
    <x v="0"/>
    <x v="2"/>
    <x v="3"/>
    <x v="1"/>
    <x v="2"/>
    <x v="183"/>
    <x v="183"/>
    <x v="183"/>
    <x v="183"/>
  </r>
  <r>
    <x v="184"/>
    <x v="184"/>
    <x v="2"/>
    <x v="3"/>
    <x v="9"/>
    <x v="184"/>
    <x v="181"/>
    <x v="184"/>
    <x v="9"/>
    <x v="17"/>
    <x v="118"/>
    <x v="183"/>
    <x v="23"/>
    <x v="164"/>
    <x v="3"/>
    <x v="3"/>
    <x v="2"/>
    <x v="0"/>
    <x v="1"/>
    <x v="2"/>
    <x v="184"/>
    <x v="184"/>
    <x v="184"/>
    <x v="184"/>
  </r>
  <r>
    <x v="185"/>
    <x v="185"/>
    <x v="2"/>
    <x v="10"/>
    <x v="7"/>
    <x v="185"/>
    <x v="182"/>
    <x v="185"/>
    <x v="1"/>
    <x v="61"/>
    <x v="148"/>
    <x v="184"/>
    <x v="8"/>
    <x v="107"/>
    <x v="3"/>
    <x v="2"/>
    <x v="2"/>
    <x v="0"/>
    <x v="1"/>
    <x v="3"/>
    <x v="185"/>
    <x v="185"/>
    <x v="185"/>
    <x v="185"/>
  </r>
  <r>
    <x v="186"/>
    <x v="186"/>
    <x v="3"/>
    <x v="4"/>
    <x v="2"/>
    <x v="186"/>
    <x v="183"/>
    <x v="186"/>
    <x v="3"/>
    <x v="17"/>
    <x v="141"/>
    <x v="185"/>
    <x v="22"/>
    <x v="165"/>
    <x v="4"/>
    <x v="0"/>
    <x v="1"/>
    <x v="3"/>
    <x v="1"/>
    <x v="1"/>
    <x v="186"/>
    <x v="186"/>
    <x v="186"/>
    <x v="186"/>
  </r>
  <r>
    <x v="187"/>
    <x v="187"/>
    <x v="2"/>
    <x v="10"/>
    <x v="0"/>
    <x v="187"/>
    <x v="184"/>
    <x v="187"/>
    <x v="1"/>
    <x v="19"/>
    <x v="149"/>
    <x v="186"/>
    <x v="11"/>
    <x v="166"/>
    <x v="4"/>
    <x v="0"/>
    <x v="1"/>
    <x v="3"/>
    <x v="1"/>
    <x v="1"/>
    <x v="187"/>
    <x v="187"/>
    <x v="187"/>
    <x v="187"/>
  </r>
  <r>
    <x v="188"/>
    <x v="188"/>
    <x v="1"/>
    <x v="8"/>
    <x v="8"/>
    <x v="188"/>
    <x v="185"/>
    <x v="188"/>
    <x v="8"/>
    <x v="32"/>
    <x v="150"/>
    <x v="187"/>
    <x v="19"/>
    <x v="167"/>
    <x v="2"/>
    <x v="3"/>
    <x v="1"/>
    <x v="1"/>
    <x v="1"/>
    <x v="3"/>
    <x v="188"/>
    <x v="188"/>
    <x v="188"/>
    <x v="188"/>
  </r>
  <r>
    <x v="189"/>
    <x v="189"/>
    <x v="4"/>
    <x v="6"/>
    <x v="9"/>
    <x v="189"/>
    <x v="186"/>
    <x v="189"/>
    <x v="20"/>
    <x v="62"/>
    <x v="151"/>
    <x v="188"/>
    <x v="16"/>
    <x v="150"/>
    <x v="0"/>
    <x v="0"/>
    <x v="0"/>
    <x v="3"/>
    <x v="1"/>
    <x v="1"/>
    <x v="189"/>
    <x v="189"/>
    <x v="189"/>
    <x v="189"/>
  </r>
  <r>
    <x v="190"/>
    <x v="190"/>
    <x v="3"/>
    <x v="13"/>
    <x v="5"/>
    <x v="190"/>
    <x v="187"/>
    <x v="190"/>
    <x v="17"/>
    <x v="63"/>
    <x v="152"/>
    <x v="189"/>
    <x v="1"/>
    <x v="87"/>
    <x v="4"/>
    <x v="2"/>
    <x v="2"/>
    <x v="2"/>
    <x v="1"/>
    <x v="3"/>
    <x v="190"/>
    <x v="190"/>
    <x v="190"/>
    <x v="190"/>
  </r>
  <r>
    <x v="191"/>
    <x v="191"/>
    <x v="0"/>
    <x v="0"/>
    <x v="0"/>
    <x v="191"/>
    <x v="188"/>
    <x v="191"/>
    <x v="13"/>
    <x v="14"/>
    <x v="153"/>
    <x v="190"/>
    <x v="14"/>
    <x v="168"/>
    <x v="2"/>
    <x v="3"/>
    <x v="2"/>
    <x v="2"/>
    <x v="1"/>
    <x v="2"/>
    <x v="191"/>
    <x v="191"/>
    <x v="191"/>
    <x v="191"/>
  </r>
  <r>
    <x v="192"/>
    <x v="192"/>
    <x v="2"/>
    <x v="10"/>
    <x v="3"/>
    <x v="192"/>
    <x v="189"/>
    <x v="192"/>
    <x v="23"/>
    <x v="17"/>
    <x v="154"/>
    <x v="191"/>
    <x v="19"/>
    <x v="169"/>
    <x v="2"/>
    <x v="0"/>
    <x v="1"/>
    <x v="0"/>
    <x v="1"/>
    <x v="1"/>
    <x v="192"/>
    <x v="192"/>
    <x v="192"/>
    <x v="192"/>
  </r>
  <r>
    <x v="193"/>
    <x v="193"/>
    <x v="4"/>
    <x v="6"/>
    <x v="11"/>
    <x v="193"/>
    <x v="190"/>
    <x v="193"/>
    <x v="1"/>
    <x v="55"/>
    <x v="155"/>
    <x v="192"/>
    <x v="12"/>
    <x v="170"/>
    <x v="1"/>
    <x v="1"/>
    <x v="0"/>
    <x v="2"/>
    <x v="1"/>
    <x v="2"/>
    <x v="193"/>
    <x v="193"/>
    <x v="193"/>
    <x v="193"/>
  </r>
  <r>
    <x v="194"/>
    <x v="194"/>
    <x v="0"/>
    <x v="15"/>
    <x v="2"/>
    <x v="194"/>
    <x v="191"/>
    <x v="194"/>
    <x v="17"/>
    <x v="20"/>
    <x v="111"/>
    <x v="193"/>
    <x v="13"/>
    <x v="171"/>
    <x v="1"/>
    <x v="3"/>
    <x v="0"/>
    <x v="1"/>
    <x v="1"/>
    <x v="3"/>
    <x v="194"/>
    <x v="194"/>
    <x v="194"/>
    <x v="194"/>
  </r>
  <r>
    <x v="195"/>
    <x v="195"/>
    <x v="4"/>
    <x v="11"/>
    <x v="4"/>
    <x v="195"/>
    <x v="192"/>
    <x v="195"/>
    <x v="2"/>
    <x v="1"/>
    <x v="156"/>
    <x v="194"/>
    <x v="16"/>
    <x v="172"/>
    <x v="0"/>
    <x v="4"/>
    <x v="2"/>
    <x v="1"/>
    <x v="1"/>
    <x v="2"/>
    <x v="195"/>
    <x v="195"/>
    <x v="195"/>
    <x v="195"/>
  </r>
  <r>
    <x v="196"/>
    <x v="196"/>
    <x v="0"/>
    <x v="0"/>
    <x v="2"/>
    <x v="196"/>
    <x v="193"/>
    <x v="196"/>
    <x v="0"/>
    <x v="40"/>
    <x v="157"/>
    <x v="195"/>
    <x v="21"/>
    <x v="45"/>
    <x v="5"/>
    <x v="4"/>
    <x v="2"/>
    <x v="0"/>
    <x v="1"/>
    <x v="3"/>
    <x v="196"/>
    <x v="196"/>
    <x v="196"/>
    <x v="196"/>
  </r>
  <r>
    <x v="197"/>
    <x v="197"/>
    <x v="3"/>
    <x v="4"/>
    <x v="5"/>
    <x v="197"/>
    <x v="194"/>
    <x v="197"/>
    <x v="1"/>
    <x v="30"/>
    <x v="158"/>
    <x v="196"/>
    <x v="3"/>
    <x v="173"/>
    <x v="1"/>
    <x v="4"/>
    <x v="1"/>
    <x v="1"/>
    <x v="1"/>
    <x v="3"/>
    <x v="197"/>
    <x v="197"/>
    <x v="197"/>
    <x v="197"/>
  </r>
  <r>
    <x v="198"/>
    <x v="198"/>
    <x v="2"/>
    <x v="14"/>
    <x v="1"/>
    <x v="198"/>
    <x v="195"/>
    <x v="198"/>
    <x v="8"/>
    <x v="59"/>
    <x v="44"/>
    <x v="197"/>
    <x v="7"/>
    <x v="174"/>
    <x v="5"/>
    <x v="1"/>
    <x v="1"/>
    <x v="2"/>
    <x v="1"/>
    <x v="2"/>
    <x v="198"/>
    <x v="198"/>
    <x v="198"/>
    <x v="198"/>
  </r>
  <r>
    <x v="199"/>
    <x v="199"/>
    <x v="4"/>
    <x v="7"/>
    <x v="10"/>
    <x v="199"/>
    <x v="196"/>
    <x v="199"/>
    <x v="3"/>
    <x v="6"/>
    <x v="159"/>
    <x v="198"/>
    <x v="16"/>
    <x v="175"/>
    <x v="1"/>
    <x v="0"/>
    <x v="0"/>
    <x v="2"/>
    <x v="1"/>
    <x v="3"/>
    <x v="199"/>
    <x v="199"/>
    <x v="199"/>
    <x v="199"/>
  </r>
  <r>
    <x v="200"/>
    <x v="200"/>
    <x v="3"/>
    <x v="4"/>
    <x v="10"/>
    <x v="200"/>
    <x v="197"/>
    <x v="200"/>
    <x v="5"/>
    <x v="14"/>
    <x v="160"/>
    <x v="199"/>
    <x v="7"/>
    <x v="97"/>
    <x v="4"/>
    <x v="1"/>
    <x v="1"/>
    <x v="2"/>
    <x v="1"/>
    <x v="2"/>
    <x v="200"/>
    <x v="200"/>
    <x v="200"/>
    <x v="200"/>
  </r>
  <r>
    <x v="201"/>
    <x v="201"/>
    <x v="0"/>
    <x v="0"/>
    <x v="5"/>
    <x v="201"/>
    <x v="198"/>
    <x v="201"/>
    <x v="13"/>
    <x v="19"/>
    <x v="17"/>
    <x v="200"/>
    <x v="24"/>
    <x v="46"/>
    <x v="4"/>
    <x v="1"/>
    <x v="0"/>
    <x v="3"/>
    <x v="0"/>
    <x v="0"/>
    <x v="201"/>
    <x v="201"/>
    <x v="201"/>
    <x v="201"/>
  </r>
  <r>
    <x v="202"/>
    <x v="202"/>
    <x v="1"/>
    <x v="8"/>
    <x v="1"/>
    <x v="202"/>
    <x v="199"/>
    <x v="202"/>
    <x v="20"/>
    <x v="31"/>
    <x v="161"/>
    <x v="201"/>
    <x v="8"/>
    <x v="176"/>
    <x v="1"/>
    <x v="4"/>
    <x v="2"/>
    <x v="1"/>
    <x v="1"/>
    <x v="2"/>
    <x v="202"/>
    <x v="202"/>
    <x v="202"/>
    <x v="202"/>
  </r>
  <r>
    <x v="203"/>
    <x v="203"/>
    <x v="2"/>
    <x v="3"/>
    <x v="11"/>
    <x v="203"/>
    <x v="200"/>
    <x v="203"/>
    <x v="7"/>
    <x v="9"/>
    <x v="76"/>
    <x v="202"/>
    <x v="12"/>
    <x v="177"/>
    <x v="5"/>
    <x v="1"/>
    <x v="2"/>
    <x v="3"/>
    <x v="1"/>
    <x v="1"/>
    <x v="203"/>
    <x v="203"/>
    <x v="203"/>
    <x v="203"/>
  </r>
  <r>
    <x v="204"/>
    <x v="204"/>
    <x v="4"/>
    <x v="7"/>
    <x v="3"/>
    <x v="204"/>
    <x v="201"/>
    <x v="204"/>
    <x v="10"/>
    <x v="14"/>
    <x v="162"/>
    <x v="203"/>
    <x v="24"/>
    <x v="121"/>
    <x v="5"/>
    <x v="3"/>
    <x v="2"/>
    <x v="1"/>
    <x v="1"/>
    <x v="1"/>
    <x v="204"/>
    <x v="204"/>
    <x v="204"/>
    <x v="204"/>
  </r>
  <r>
    <x v="205"/>
    <x v="205"/>
    <x v="1"/>
    <x v="8"/>
    <x v="5"/>
    <x v="205"/>
    <x v="202"/>
    <x v="205"/>
    <x v="5"/>
    <x v="47"/>
    <x v="86"/>
    <x v="204"/>
    <x v="13"/>
    <x v="178"/>
    <x v="1"/>
    <x v="0"/>
    <x v="2"/>
    <x v="1"/>
    <x v="1"/>
    <x v="3"/>
    <x v="205"/>
    <x v="205"/>
    <x v="205"/>
    <x v="205"/>
  </r>
  <r>
    <x v="206"/>
    <x v="206"/>
    <x v="0"/>
    <x v="0"/>
    <x v="2"/>
    <x v="206"/>
    <x v="79"/>
    <x v="206"/>
    <x v="13"/>
    <x v="64"/>
    <x v="23"/>
    <x v="205"/>
    <x v="7"/>
    <x v="179"/>
    <x v="5"/>
    <x v="4"/>
    <x v="2"/>
    <x v="2"/>
    <x v="0"/>
    <x v="0"/>
    <x v="206"/>
    <x v="206"/>
    <x v="206"/>
    <x v="206"/>
  </r>
  <r>
    <x v="207"/>
    <x v="207"/>
    <x v="4"/>
    <x v="11"/>
    <x v="11"/>
    <x v="207"/>
    <x v="203"/>
    <x v="207"/>
    <x v="3"/>
    <x v="25"/>
    <x v="163"/>
    <x v="206"/>
    <x v="10"/>
    <x v="180"/>
    <x v="0"/>
    <x v="2"/>
    <x v="2"/>
    <x v="0"/>
    <x v="0"/>
    <x v="0"/>
    <x v="207"/>
    <x v="207"/>
    <x v="207"/>
    <x v="207"/>
  </r>
  <r>
    <x v="208"/>
    <x v="208"/>
    <x v="0"/>
    <x v="12"/>
    <x v="10"/>
    <x v="208"/>
    <x v="204"/>
    <x v="208"/>
    <x v="18"/>
    <x v="55"/>
    <x v="164"/>
    <x v="207"/>
    <x v="2"/>
    <x v="181"/>
    <x v="0"/>
    <x v="4"/>
    <x v="1"/>
    <x v="0"/>
    <x v="0"/>
    <x v="0"/>
    <x v="208"/>
    <x v="208"/>
    <x v="208"/>
    <x v="208"/>
  </r>
  <r>
    <x v="209"/>
    <x v="209"/>
    <x v="3"/>
    <x v="13"/>
    <x v="3"/>
    <x v="209"/>
    <x v="205"/>
    <x v="209"/>
    <x v="10"/>
    <x v="6"/>
    <x v="94"/>
    <x v="208"/>
    <x v="24"/>
    <x v="182"/>
    <x v="4"/>
    <x v="4"/>
    <x v="2"/>
    <x v="1"/>
    <x v="1"/>
    <x v="1"/>
    <x v="209"/>
    <x v="209"/>
    <x v="209"/>
    <x v="209"/>
  </r>
  <r>
    <x v="210"/>
    <x v="210"/>
    <x v="3"/>
    <x v="13"/>
    <x v="9"/>
    <x v="210"/>
    <x v="206"/>
    <x v="210"/>
    <x v="13"/>
    <x v="65"/>
    <x v="165"/>
    <x v="209"/>
    <x v="24"/>
    <x v="141"/>
    <x v="3"/>
    <x v="1"/>
    <x v="2"/>
    <x v="2"/>
    <x v="1"/>
    <x v="3"/>
    <x v="210"/>
    <x v="210"/>
    <x v="210"/>
    <x v="210"/>
  </r>
  <r>
    <x v="211"/>
    <x v="211"/>
    <x v="2"/>
    <x v="14"/>
    <x v="11"/>
    <x v="211"/>
    <x v="207"/>
    <x v="211"/>
    <x v="16"/>
    <x v="5"/>
    <x v="166"/>
    <x v="210"/>
    <x v="6"/>
    <x v="183"/>
    <x v="1"/>
    <x v="2"/>
    <x v="1"/>
    <x v="0"/>
    <x v="1"/>
    <x v="1"/>
    <x v="211"/>
    <x v="211"/>
    <x v="211"/>
    <x v="211"/>
  </r>
  <r>
    <x v="212"/>
    <x v="212"/>
    <x v="3"/>
    <x v="13"/>
    <x v="10"/>
    <x v="212"/>
    <x v="208"/>
    <x v="212"/>
    <x v="15"/>
    <x v="8"/>
    <x v="167"/>
    <x v="211"/>
    <x v="9"/>
    <x v="184"/>
    <x v="0"/>
    <x v="0"/>
    <x v="2"/>
    <x v="0"/>
    <x v="1"/>
    <x v="3"/>
    <x v="212"/>
    <x v="212"/>
    <x v="212"/>
    <x v="212"/>
  </r>
  <r>
    <x v="213"/>
    <x v="213"/>
    <x v="0"/>
    <x v="9"/>
    <x v="0"/>
    <x v="213"/>
    <x v="209"/>
    <x v="213"/>
    <x v="8"/>
    <x v="27"/>
    <x v="168"/>
    <x v="212"/>
    <x v="17"/>
    <x v="185"/>
    <x v="4"/>
    <x v="0"/>
    <x v="1"/>
    <x v="1"/>
    <x v="1"/>
    <x v="1"/>
    <x v="213"/>
    <x v="213"/>
    <x v="213"/>
    <x v="213"/>
  </r>
  <r>
    <x v="214"/>
    <x v="214"/>
    <x v="1"/>
    <x v="1"/>
    <x v="6"/>
    <x v="214"/>
    <x v="210"/>
    <x v="214"/>
    <x v="17"/>
    <x v="66"/>
    <x v="169"/>
    <x v="213"/>
    <x v="8"/>
    <x v="186"/>
    <x v="4"/>
    <x v="4"/>
    <x v="0"/>
    <x v="3"/>
    <x v="1"/>
    <x v="2"/>
    <x v="214"/>
    <x v="214"/>
    <x v="214"/>
    <x v="214"/>
  </r>
  <r>
    <x v="215"/>
    <x v="215"/>
    <x v="1"/>
    <x v="1"/>
    <x v="11"/>
    <x v="215"/>
    <x v="211"/>
    <x v="215"/>
    <x v="20"/>
    <x v="24"/>
    <x v="170"/>
    <x v="214"/>
    <x v="21"/>
    <x v="187"/>
    <x v="3"/>
    <x v="1"/>
    <x v="2"/>
    <x v="2"/>
    <x v="1"/>
    <x v="2"/>
    <x v="215"/>
    <x v="215"/>
    <x v="215"/>
    <x v="215"/>
  </r>
  <r>
    <x v="216"/>
    <x v="216"/>
    <x v="0"/>
    <x v="12"/>
    <x v="2"/>
    <x v="216"/>
    <x v="212"/>
    <x v="216"/>
    <x v="1"/>
    <x v="5"/>
    <x v="171"/>
    <x v="215"/>
    <x v="3"/>
    <x v="188"/>
    <x v="2"/>
    <x v="2"/>
    <x v="0"/>
    <x v="3"/>
    <x v="0"/>
    <x v="0"/>
    <x v="216"/>
    <x v="216"/>
    <x v="216"/>
    <x v="216"/>
  </r>
  <r>
    <x v="217"/>
    <x v="217"/>
    <x v="4"/>
    <x v="6"/>
    <x v="8"/>
    <x v="217"/>
    <x v="213"/>
    <x v="217"/>
    <x v="3"/>
    <x v="29"/>
    <x v="36"/>
    <x v="216"/>
    <x v="14"/>
    <x v="189"/>
    <x v="0"/>
    <x v="2"/>
    <x v="1"/>
    <x v="0"/>
    <x v="1"/>
    <x v="3"/>
    <x v="217"/>
    <x v="217"/>
    <x v="217"/>
    <x v="217"/>
  </r>
  <r>
    <x v="218"/>
    <x v="218"/>
    <x v="0"/>
    <x v="12"/>
    <x v="9"/>
    <x v="218"/>
    <x v="214"/>
    <x v="218"/>
    <x v="4"/>
    <x v="28"/>
    <x v="95"/>
    <x v="217"/>
    <x v="8"/>
    <x v="190"/>
    <x v="1"/>
    <x v="4"/>
    <x v="2"/>
    <x v="3"/>
    <x v="1"/>
    <x v="2"/>
    <x v="218"/>
    <x v="218"/>
    <x v="218"/>
    <x v="218"/>
  </r>
  <r>
    <x v="219"/>
    <x v="219"/>
    <x v="0"/>
    <x v="9"/>
    <x v="10"/>
    <x v="219"/>
    <x v="215"/>
    <x v="219"/>
    <x v="11"/>
    <x v="13"/>
    <x v="172"/>
    <x v="218"/>
    <x v="11"/>
    <x v="26"/>
    <x v="4"/>
    <x v="3"/>
    <x v="0"/>
    <x v="3"/>
    <x v="1"/>
    <x v="1"/>
    <x v="219"/>
    <x v="219"/>
    <x v="219"/>
    <x v="219"/>
  </r>
  <r>
    <x v="220"/>
    <x v="220"/>
    <x v="4"/>
    <x v="7"/>
    <x v="10"/>
    <x v="220"/>
    <x v="216"/>
    <x v="220"/>
    <x v="4"/>
    <x v="22"/>
    <x v="173"/>
    <x v="219"/>
    <x v="22"/>
    <x v="191"/>
    <x v="1"/>
    <x v="0"/>
    <x v="0"/>
    <x v="3"/>
    <x v="1"/>
    <x v="3"/>
    <x v="220"/>
    <x v="220"/>
    <x v="220"/>
    <x v="220"/>
  </r>
  <r>
    <x v="221"/>
    <x v="221"/>
    <x v="4"/>
    <x v="7"/>
    <x v="10"/>
    <x v="221"/>
    <x v="217"/>
    <x v="221"/>
    <x v="15"/>
    <x v="67"/>
    <x v="174"/>
    <x v="220"/>
    <x v="19"/>
    <x v="8"/>
    <x v="0"/>
    <x v="0"/>
    <x v="0"/>
    <x v="1"/>
    <x v="1"/>
    <x v="2"/>
    <x v="221"/>
    <x v="221"/>
    <x v="221"/>
    <x v="221"/>
  </r>
  <r>
    <x v="222"/>
    <x v="222"/>
    <x v="2"/>
    <x v="3"/>
    <x v="11"/>
    <x v="222"/>
    <x v="218"/>
    <x v="222"/>
    <x v="4"/>
    <x v="23"/>
    <x v="175"/>
    <x v="221"/>
    <x v="22"/>
    <x v="192"/>
    <x v="4"/>
    <x v="0"/>
    <x v="0"/>
    <x v="3"/>
    <x v="1"/>
    <x v="1"/>
    <x v="222"/>
    <x v="222"/>
    <x v="222"/>
    <x v="222"/>
  </r>
  <r>
    <x v="223"/>
    <x v="223"/>
    <x v="3"/>
    <x v="5"/>
    <x v="2"/>
    <x v="223"/>
    <x v="219"/>
    <x v="223"/>
    <x v="3"/>
    <x v="68"/>
    <x v="176"/>
    <x v="222"/>
    <x v="4"/>
    <x v="193"/>
    <x v="1"/>
    <x v="1"/>
    <x v="0"/>
    <x v="2"/>
    <x v="1"/>
    <x v="2"/>
    <x v="223"/>
    <x v="223"/>
    <x v="223"/>
    <x v="223"/>
  </r>
  <r>
    <x v="224"/>
    <x v="224"/>
    <x v="2"/>
    <x v="10"/>
    <x v="4"/>
    <x v="224"/>
    <x v="220"/>
    <x v="224"/>
    <x v="8"/>
    <x v="24"/>
    <x v="26"/>
    <x v="223"/>
    <x v="2"/>
    <x v="194"/>
    <x v="5"/>
    <x v="2"/>
    <x v="1"/>
    <x v="0"/>
    <x v="1"/>
    <x v="2"/>
    <x v="224"/>
    <x v="224"/>
    <x v="224"/>
    <x v="224"/>
  </r>
  <r>
    <x v="225"/>
    <x v="225"/>
    <x v="1"/>
    <x v="2"/>
    <x v="4"/>
    <x v="225"/>
    <x v="221"/>
    <x v="225"/>
    <x v="11"/>
    <x v="45"/>
    <x v="74"/>
    <x v="224"/>
    <x v="20"/>
    <x v="126"/>
    <x v="4"/>
    <x v="1"/>
    <x v="1"/>
    <x v="0"/>
    <x v="1"/>
    <x v="1"/>
    <x v="225"/>
    <x v="225"/>
    <x v="225"/>
    <x v="225"/>
  </r>
  <r>
    <x v="226"/>
    <x v="226"/>
    <x v="3"/>
    <x v="4"/>
    <x v="11"/>
    <x v="226"/>
    <x v="222"/>
    <x v="226"/>
    <x v="7"/>
    <x v="38"/>
    <x v="177"/>
    <x v="225"/>
    <x v="14"/>
    <x v="195"/>
    <x v="2"/>
    <x v="1"/>
    <x v="2"/>
    <x v="3"/>
    <x v="1"/>
    <x v="1"/>
    <x v="226"/>
    <x v="226"/>
    <x v="226"/>
    <x v="226"/>
  </r>
  <r>
    <x v="227"/>
    <x v="227"/>
    <x v="4"/>
    <x v="7"/>
    <x v="9"/>
    <x v="227"/>
    <x v="223"/>
    <x v="227"/>
    <x v="4"/>
    <x v="39"/>
    <x v="178"/>
    <x v="226"/>
    <x v="7"/>
    <x v="196"/>
    <x v="1"/>
    <x v="0"/>
    <x v="0"/>
    <x v="1"/>
    <x v="1"/>
    <x v="2"/>
    <x v="227"/>
    <x v="227"/>
    <x v="227"/>
    <x v="227"/>
  </r>
  <r>
    <x v="228"/>
    <x v="228"/>
    <x v="0"/>
    <x v="9"/>
    <x v="7"/>
    <x v="228"/>
    <x v="224"/>
    <x v="228"/>
    <x v="4"/>
    <x v="40"/>
    <x v="179"/>
    <x v="227"/>
    <x v="0"/>
    <x v="197"/>
    <x v="1"/>
    <x v="3"/>
    <x v="1"/>
    <x v="2"/>
    <x v="1"/>
    <x v="3"/>
    <x v="228"/>
    <x v="228"/>
    <x v="228"/>
    <x v="228"/>
  </r>
  <r>
    <x v="229"/>
    <x v="229"/>
    <x v="0"/>
    <x v="15"/>
    <x v="3"/>
    <x v="229"/>
    <x v="225"/>
    <x v="229"/>
    <x v="9"/>
    <x v="24"/>
    <x v="134"/>
    <x v="228"/>
    <x v="14"/>
    <x v="198"/>
    <x v="3"/>
    <x v="2"/>
    <x v="0"/>
    <x v="3"/>
    <x v="1"/>
    <x v="3"/>
    <x v="229"/>
    <x v="229"/>
    <x v="229"/>
    <x v="229"/>
  </r>
  <r>
    <x v="230"/>
    <x v="230"/>
    <x v="1"/>
    <x v="1"/>
    <x v="2"/>
    <x v="230"/>
    <x v="226"/>
    <x v="230"/>
    <x v="2"/>
    <x v="10"/>
    <x v="68"/>
    <x v="229"/>
    <x v="14"/>
    <x v="199"/>
    <x v="3"/>
    <x v="3"/>
    <x v="0"/>
    <x v="3"/>
    <x v="1"/>
    <x v="2"/>
    <x v="230"/>
    <x v="230"/>
    <x v="230"/>
    <x v="230"/>
  </r>
  <r>
    <x v="231"/>
    <x v="231"/>
    <x v="3"/>
    <x v="4"/>
    <x v="6"/>
    <x v="231"/>
    <x v="227"/>
    <x v="231"/>
    <x v="2"/>
    <x v="31"/>
    <x v="180"/>
    <x v="230"/>
    <x v="17"/>
    <x v="200"/>
    <x v="5"/>
    <x v="1"/>
    <x v="0"/>
    <x v="1"/>
    <x v="1"/>
    <x v="3"/>
    <x v="231"/>
    <x v="231"/>
    <x v="231"/>
    <x v="231"/>
  </r>
  <r>
    <x v="232"/>
    <x v="232"/>
    <x v="1"/>
    <x v="8"/>
    <x v="7"/>
    <x v="232"/>
    <x v="228"/>
    <x v="232"/>
    <x v="10"/>
    <x v="69"/>
    <x v="181"/>
    <x v="231"/>
    <x v="3"/>
    <x v="95"/>
    <x v="1"/>
    <x v="4"/>
    <x v="0"/>
    <x v="0"/>
    <x v="1"/>
    <x v="3"/>
    <x v="232"/>
    <x v="232"/>
    <x v="232"/>
    <x v="232"/>
  </r>
  <r>
    <x v="233"/>
    <x v="233"/>
    <x v="4"/>
    <x v="7"/>
    <x v="9"/>
    <x v="233"/>
    <x v="3"/>
    <x v="233"/>
    <x v="6"/>
    <x v="69"/>
    <x v="53"/>
    <x v="232"/>
    <x v="21"/>
    <x v="201"/>
    <x v="2"/>
    <x v="3"/>
    <x v="2"/>
    <x v="2"/>
    <x v="1"/>
    <x v="1"/>
    <x v="233"/>
    <x v="233"/>
    <x v="233"/>
    <x v="233"/>
  </r>
  <r>
    <x v="234"/>
    <x v="234"/>
    <x v="3"/>
    <x v="4"/>
    <x v="0"/>
    <x v="234"/>
    <x v="229"/>
    <x v="234"/>
    <x v="2"/>
    <x v="24"/>
    <x v="182"/>
    <x v="233"/>
    <x v="9"/>
    <x v="202"/>
    <x v="5"/>
    <x v="2"/>
    <x v="0"/>
    <x v="1"/>
    <x v="0"/>
    <x v="0"/>
    <x v="234"/>
    <x v="234"/>
    <x v="234"/>
    <x v="234"/>
  </r>
  <r>
    <x v="235"/>
    <x v="235"/>
    <x v="0"/>
    <x v="0"/>
    <x v="11"/>
    <x v="235"/>
    <x v="230"/>
    <x v="235"/>
    <x v="18"/>
    <x v="54"/>
    <x v="42"/>
    <x v="234"/>
    <x v="21"/>
    <x v="203"/>
    <x v="1"/>
    <x v="0"/>
    <x v="0"/>
    <x v="2"/>
    <x v="1"/>
    <x v="2"/>
    <x v="235"/>
    <x v="235"/>
    <x v="235"/>
    <x v="235"/>
  </r>
  <r>
    <x v="236"/>
    <x v="236"/>
    <x v="0"/>
    <x v="15"/>
    <x v="9"/>
    <x v="236"/>
    <x v="231"/>
    <x v="236"/>
    <x v="8"/>
    <x v="30"/>
    <x v="183"/>
    <x v="235"/>
    <x v="22"/>
    <x v="204"/>
    <x v="4"/>
    <x v="2"/>
    <x v="2"/>
    <x v="1"/>
    <x v="1"/>
    <x v="1"/>
    <x v="236"/>
    <x v="236"/>
    <x v="236"/>
    <x v="236"/>
  </r>
  <r>
    <x v="237"/>
    <x v="237"/>
    <x v="1"/>
    <x v="1"/>
    <x v="7"/>
    <x v="237"/>
    <x v="232"/>
    <x v="237"/>
    <x v="23"/>
    <x v="70"/>
    <x v="184"/>
    <x v="236"/>
    <x v="12"/>
    <x v="205"/>
    <x v="2"/>
    <x v="2"/>
    <x v="1"/>
    <x v="0"/>
    <x v="0"/>
    <x v="0"/>
    <x v="237"/>
    <x v="237"/>
    <x v="237"/>
    <x v="237"/>
  </r>
  <r>
    <x v="238"/>
    <x v="238"/>
    <x v="1"/>
    <x v="1"/>
    <x v="10"/>
    <x v="238"/>
    <x v="233"/>
    <x v="238"/>
    <x v="13"/>
    <x v="10"/>
    <x v="185"/>
    <x v="237"/>
    <x v="1"/>
    <x v="38"/>
    <x v="2"/>
    <x v="0"/>
    <x v="0"/>
    <x v="1"/>
    <x v="1"/>
    <x v="2"/>
    <x v="238"/>
    <x v="238"/>
    <x v="238"/>
    <x v="238"/>
  </r>
  <r>
    <x v="239"/>
    <x v="239"/>
    <x v="1"/>
    <x v="2"/>
    <x v="6"/>
    <x v="239"/>
    <x v="234"/>
    <x v="239"/>
    <x v="9"/>
    <x v="34"/>
    <x v="24"/>
    <x v="238"/>
    <x v="7"/>
    <x v="206"/>
    <x v="0"/>
    <x v="0"/>
    <x v="0"/>
    <x v="1"/>
    <x v="1"/>
    <x v="2"/>
    <x v="239"/>
    <x v="239"/>
    <x v="239"/>
    <x v="239"/>
  </r>
  <r>
    <x v="240"/>
    <x v="240"/>
    <x v="1"/>
    <x v="1"/>
    <x v="5"/>
    <x v="240"/>
    <x v="235"/>
    <x v="240"/>
    <x v="7"/>
    <x v="47"/>
    <x v="6"/>
    <x v="239"/>
    <x v="25"/>
    <x v="207"/>
    <x v="0"/>
    <x v="2"/>
    <x v="0"/>
    <x v="3"/>
    <x v="1"/>
    <x v="1"/>
    <x v="240"/>
    <x v="240"/>
    <x v="240"/>
    <x v="240"/>
  </r>
  <r>
    <x v="241"/>
    <x v="241"/>
    <x v="1"/>
    <x v="2"/>
    <x v="10"/>
    <x v="241"/>
    <x v="236"/>
    <x v="241"/>
    <x v="9"/>
    <x v="71"/>
    <x v="186"/>
    <x v="240"/>
    <x v="21"/>
    <x v="208"/>
    <x v="4"/>
    <x v="4"/>
    <x v="2"/>
    <x v="2"/>
    <x v="1"/>
    <x v="3"/>
    <x v="241"/>
    <x v="241"/>
    <x v="241"/>
    <x v="241"/>
  </r>
  <r>
    <x v="242"/>
    <x v="242"/>
    <x v="4"/>
    <x v="6"/>
    <x v="5"/>
    <x v="242"/>
    <x v="237"/>
    <x v="242"/>
    <x v="9"/>
    <x v="20"/>
    <x v="187"/>
    <x v="241"/>
    <x v="12"/>
    <x v="209"/>
    <x v="1"/>
    <x v="1"/>
    <x v="0"/>
    <x v="0"/>
    <x v="1"/>
    <x v="3"/>
    <x v="242"/>
    <x v="242"/>
    <x v="242"/>
    <x v="242"/>
  </r>
  <r>
    <x v="243"/>
    <x v="243"/>
    <x v="2"/>
    <x v="10"/>
    <x v="2"/>
    <x v="243"/>
    <x v="238"/>
    <x v="243"/>
    <x v="17"/>
    <x v="16"/>
    <x v="188"/>
    <x v="242"/>
    <x v="15"/>
    <x v="210"/>
    <x v="1"/>
    <x v="4"/>
    <x v="2"/>
    <x v="3"/>
    <x v="1"/>
    <x v="1"/>
    <x v="243"/>
    <x v="243"/>
    <x v="243"/>
    <x v="243"/>
  </r>
  <r>
    <x v="244"/>
    <x v="244"/>
    <x v="2"/>
    <x v="3"/>
    <x v="5"/>
    <x v="244"/>
    <x v="239"/>
    <x v="244"/>
    <x v="1"/>
    <x v="9"/>
    <x v="189"/>
    <x v="243"/>
    <x v="1"/>
    <x v="211"/>
    <x v="4"/>
    <x v="2"/>
    <x v="1"/>
    <x v="1"/>
    <x v="1"/>
    <x v="2"/>
    <x v="244"/>
    <x v="244"/>
    <x v="244"/>
    <x v="244"/>
  </r>
  <r>
    <x v="245"/>
    <x v="245"/>
    <x v="2"/>
    <x v="14"/>
    <x v="6"/>
    <x v="245"/>
    <x v="240"/>
    <x v="245"/>
    <x v="10"/>
    <x v="25"/>
    <x v="190"/>
    <x v="244"/>
    <x v="14"/>
    <x v="212"/>
    <x v="1"/>
    <x v="3"/>
    <x v="2"/>
    <x v="3"/>
    <x v="1"/>
    <x v="2"/>
    <x v="245"/>
    <x v="245"/>
    <x v="245"/>
    <x v="245"/>
  </r>
  <r>
    <x v="246"/>
    <x v="246"/>
    <x v="1"/>
    <x v="1"/>
    <x v="10"/>
    <x v="246"/>
    <x v="241"/>
    <x v="246"/>
    <x v="17"/>
    <x v="34"/>
    <x v="191"/>
    <x v="245"/>
    <x v="0"/>
    <x v="213"/>
    <x v="4"/>
    <x v="4"/>
    <x v="2"/>
    <x v="1"/>
    <x v="1"/>
    <x v="1"/>
    <x v="246"/>
    <x v="246"/>
    <x v="246"/>
    <x v="246"/>
  </r>
  <r>
    <x v="247"/>
    <x v="247"/>
    <x v="4"/>
    <x v="6"/>
    <x v="5"/>
    <x v="247"/>
    <x v="242"/>
    <x v="247"/>
    <x v="22"/>
    <x v="20"/>
    <x v="105"/>
    <x v="246"/>
    <x v="6"/>
    <x v="111"/>
    <x v="1"/>
    <x v="1"/>
    <x v="1"/>
    <x v="1"/>
    <x v="1"/>
    <x v="3"/>
    <x v="247"/>
    <x v="247"/>
    <x v="247"/>
    <x v="247"/>
  </r>
  <r>
    <x v="248"/>
    <x v="248"/>
    <x v="0"/>
    <x v="0"/>
    <x v="11"/>
    <x v="248"/>
    <x v="243"/>
    <x v="248"/>
    <x v="13"/>
    <x v="7"/>
    <x v="47"/>
    <x v="247"/>
    <x v="22"/>
    <x v="214"/>
    <x v="0"/>
    <x v="2"/>
    <x v="2"/>
    <x v="3"/>
    <x v="1"/>
    <x v="3"/>
    <x v="248"/>
    <x v="248"/>
    <x v="248"/>
    <x v="248"/>
  </r>
  <r>
    <x v="249"/>
    <x v="249"/>
    <x v="1"/>
    <x v="2"/>
    <x v="1"/>
    <x v="249"/>
    <x v="244"/>
    <x v="249"/>
    <x v="10"/>
    <x v="72"/>
    <x v="1"/>
    <x v="248"/>
    <x v="4"/>
    <x v="215"/>
    <x v="5"/>
    <x v="3"/>
    <x v="0"/>
    <x v="2"/>
    <x v="1"/>
    <x v="3"/>
    <x v="249"/>
    <x v="249"/>
    <x v="249"/>
    <x v="249"/>
  </r>
  <r>
    <x v="250"/>
    <x v="250"/>
    <x v="3"/>
    <x v="5"/>
    <x v="8"/>
    <x v="250"/>
    <x v="245"/>
    <x v="250"/>
    <x v="4"/>
    <x v="17"/>
    <x v="192"/>
    <x v="249"/>
    <x v="14"/>
    <x v="195"/>
    <x v="2"/>
    <x v="2"/>
    <x v="1"/>
    <x v="1"/>
    <x v="0"/>
    <x v="0"/>
    <x v="250"/>
    <x v="250"/>
    <x v="250"/>
    <x v="250"/>
  </r>
  <r>
    <x v="251"/>
    <x v="251"/>
    <x v="2"/>
    <x v="14"/>
    <x v="11"/>
    <x v="251"/>
    <x v="246"/>
    <x v="251"/>
    <x v="9"/>
    <x v="6"/>
    <x v="116"/>
    <x v="250"/>
    <x v="2"/>
    <x v="216"/>
    <x v="3"/>
    <x v="1"/>
    <x v="0"/>
    <x v="2"/>
    <x v="1"/>
    <x v="2"/>
    <x v="251"/>
    <x v="251"/>
    <x v="251"/>
    <x v="251"/>
  </r>
  <r>
    <x v="252"/>
    <x v="252"/>
    <x v="2"/>
    <x v="3"/>
    <x v="6"/>
    <x v="252"/>
    <x v="247"/>
    <x v="252"/>
    <x v="13"/>
    <x v="24"/>
    <x v="11"/>
    <x v="251"/>
    <x v="3"/>
    <x v="217"/>
    <x v="2"/>
    <x v="0"/>
    <x v="2"/>
    <x v="1"/>
    <x v="1"/>
    <x v="3"/>
    <x v="252"/>
    <x v="252"/>
    <x v="252"/>
    <x v="252"/>
  </r>
  <r>
    <x v="253"/>
    <x v="253"/>
    <x v="3"/>
    <x v="4"/>
    <x v="6"/>
    <x v="253"/>
    <x v="248"/>
    <x v="253"/>
    <x v="9"/>
    <x v="24"/>
    <x v="193"/>
    <x v="252"/>
    <x v="7"/>
    <x v="218"/>
    <x v="3"/>
    <x v="4"/>
    <x v="0"/>
    <x v="1"/>
    <x v="1"/>
    <x v="1"/>
    <x v="253"/>
    <x v="253"/>
    <x v="253"/>
    <x v="253"/>
  </r>
  <r>
    <x v="254"/>
    <x v="254"/>
    <x v="4"/>
    <x v="7"/>
    <x v="4"/>
    <x v="254"/>
    <x v="249"/>
    <x v="254"/>
    <x v="15"/>
    <x v="25"/>
    <x v="194"/>
    <x v="253"/>
    <x v="23"/>
    <x v="219"/>
    <x v="5"/>
    <x v="0"/>
    <x v="2"/>
    <x v="0"/>
    <x v="0"/>
    <x v="0"/>
    <x v="254"/>
    <x v="254"/>
    <x v="254"/>
    <x v="254"/>
  </r>
  <r>
    <x v="255"/>
    <x v="255"/>
    <x v="1"/>
    <x v="8"/>
    <x v="4"/>
    <x v="255"/>
    <x v="250"/>
    <x v="255"/>
    <x v="10"/>
    <x v="73"/>
    <x v="170"/>
    <x v="254"/>
    <x v="19"/>
    <x v="220"/>
    <x v="1"/>
    <x v="1"/>
    <x v="1"/>
    <x v="1"/>
    <x v="1"/>
    <x v="2"/>
    <x v="255"/>
    <x v="255"/>
    <x v="255"/>
    <x v="255"/>
  </r>
  <r>
    <x v="256"/>
    <x v="256"/>
    <x v="1"/>
    <x v="2"/>
    <x v="11"/>
    <x v="256"/>
    <x v="251"/>
    <x v="256"/>
    <x v="10"/>
    <x v="74"/>
    <x v="195"/>
    <x v="255"/>
    <x v="24"/>
    <x v="221"/>
    <x v="5"/>
    <x v="3"/>
    <x v="1"/>
    <x v="1"/>
    <x v="1"/>
    <x v="2"/>
    <x v="256"/>
    <x v="256"/>
    <x v="256"/>
    <x v="256"/>
  </r>
  <r>
    <x v="257"/>
    <x v="257"/>
    <x v="0"/>
    <x v="12"/>
    <x v="4"/>
    <x v="257"/>
    <x v="252"/>
    <x v="257"/>
    <x v="2"/>
    <x v="20"/>
    <x v="196"/>
    <x v="256"/>
    <x v="3"/>
    <x v="222"/>
    <x v="5"/>
    <x v="2"/>
    <x v="0"/>
    <x v="2"/>
    <x v="1"/>
    <x v="1"/>
    <x v="257"/>
    <x v="257"/>
    <x v="257"/>
    <x v="257"/>
  </r>
  <r>
    <x v="258"/>
    <x v="258"/>
    <x v="2"/>
    <x v="3"/>
    <x v="10"/>
    <x v="258"/>
    <x v="253"/>
    <x v="258"/>
    <x v="9"/>
    <x v="73"/>
    <x v="197"/>
    <x v="257"/>
    <x v="6"/>
    <x v="2"/>
    <x v="2"/>
    <x v="0"/>
    <x v="2"/>
    <x v="3"/>
    <x v="1"/>
    <x v="3"/>
    <x v="258"/>
    <x v="258"/>
    <x v="258"/>
    <x v="258"/>
  </r>
  <r>
    <x v="259"/>
    <x v="259"/>
    <x v="2"/>
    <x v="3"/>
    <x v="4"/>
    <x v="259"/>
    <x v="254"/>
    <x v="259"/>
    <x v="11"/>
    <x v="38"/>
    <x v="198"/>
    <x v="258"/>
    <x v="3"/>
    <x v="223"/>
    <x v="4"/>
    <x v="0"/>
    <x v="0"/>
    <x v="1"/>
    <x v="1"/>
    <x v="3"/>
    <x v="259"/>
    <x v="259"/>
    <x v="259"/>
    <x v="259"/>
  </r>
  <r>
    <x v="260"/>
    <x v="260"/>
    <x v="3"/>
    <x v="4"/>
    <x v="3"/>
    <x v="260"/>
    <x v="255"/>
    <x v="260"/>
    <x v="2"/>
    <x v="3"/>
    <x v="199"/>
    <x v="259"/>
    <x v="23"/>
    <x v="224"/>
    <x v="1"/>
    <x v="2"/>
    <x v="1"/>
    <x v="2"/>
    <x v="1"/>
    <x v="3"/>
    <x v="260"/>
    <x v="260"/>
    <x v="260"/>
    <x v="260"/>
  </r>
  <r>
    <x v="261"/>
    <x v="261"/>
    <x v="2"/>
    <x v="14"/>
    <x v="4"/>
    <x v="261"/>
    <x v="256"/>
    <x v="261"/>
    <x v="15"/>
    <x v="31"/>
    <x v="84"/>
    <x v="260"/>
    <x v="10"/>
    <x v="225"/>
    <x v="1"/>
    <x v="4"/>
    <x v="2"/>
    <x v="3"/>
    <x v="1"/>
    <x v="2"/>
    <x v="261"/>
    <x v="261"/>
    <x v="261"/>
    <x v="261"/>
  </r>
  <r>
    <x v="262"/>
    <x v="262"/>
    <x v="2"/>
    <x v="3"/>
    <x v="6"/>
    <x v="262"/>
    <x v="257"/>
    <x v="262"/>
    <x v="21"/>
    <x v="6"/>
    <x v="200"/>
    <x v="261"/>
    <x v="21"/>
    <x v="226"/>
    <x v="4"/>
    <x v="0"/>
    <x v="2"/>
    <x v="1"/>
    <x v="1"/>
    <x v="2"/>
    <x v="262"/>
    <x v="262"/>
    <x v="262"/>
    <x v="262"/>
  </r>
  <r>
    <x v="263"/>
    <x v="263"/>
    <x v="0"/>
    <x v="0"/>
    <x v="5"/>
    <x v="263"/>
    <x v="258"/>
    <x v="263"/>
    <x v="13"/>
    <x v="1"/>
    <x v="193"/>
    <x v="262"/>
    <x v="21"/>
    <x v="227"/>
    <x v="2"/>
    <x v="1"/>
    <x v="0"/>
    <x v="1"/>
    <x v="1"/>
    <x v="3"/>
    <x v="263"/>
    <x v="263"/>
    <x v="263"/>
    <x v="263"/>
  </r>
  <r>
    <x v="264"/>
    <x v="264"/>
    <x v="4"/>
    <x v="11"/>
    <x v="4"/>
    <x v="264"/>
    <x v="259"/>
    <x v="264"/>
    <x v="2"/>
    <x v="3"/>
    <x v="75"/>
    <x v="263"/>
    <x v="0"/>
    <x v="228"/>
    <x v="3"/>
    <x v="2"/>
    <x v="0"/>
    <x v="3"/>
    <x v="1"/>
    <x v="3"/>
    <x v="264"/>
    <x v="264"/>
    <x v="264"/>
    <x v="264"/>
  </r>
  <r>
    <x v="265"/>
    <x v="265"/>
    <x v="0"/>
    <x v="12"/>
    <x v="1"/>
    <x v="265"/>
    <x v="260"/>
    <x v="265"/>
    <x v="18"/>
    <x v="2"/>
    <x v="4"/>
    <x v="264"/>
    <x v="20"/>
    <x v="229"/>
    <x v="1"/>
    <x v="1"/>
    <x v="1"/>
    <x v="3"/>
    <x v="0"/>
    <x v="0"/>
    <x v="265"/>
    <x v="265"/>
    <x v="265"/>
    <x v="265"/>
  </r>
  <r>
    <x v="266"/>
    <x v="266"/>
    <x v="4"/>
    <x v="11"/>
    <x v="5"/>
    <x v="266"/>
    <x v="261"/>
    <x v="266"/>
    <x v="12"/>
    <x v="33"/>
    <x v="131"/>
    <x v="265"/>
    <x v="3"/>
    <x v="230"/>
    <x v="1"/>
    <x v="2"/>
    <x v="2"/>
    <x v="2"/>
    <x v="1"/>
    <x v="1"/>
    <x v="266"/>
    <x v="266"/>
    <x v="266"/>
    <x v="266"/>
  </r>
  <r>
    <x v="267"/>
    <x v="267"/>
    <x v="2"/>
    <x v="10"/>
    <x v="9"/>
    <x v="267"/>
    <x v="262"/>
    <x v="267"/>
    <x v="5"/>
    <x v="11"/>
    <x v="201"/>
    <x v="266"/>
    <x v="9"/>
    <x v="231"/>
    <x v="2"/>
    <x v="4"/>
    <x v="2"/>
    <x v="0"/>
    <x v="1"/>
    <x v="2"/>
    <x v="267"/>
    <x v="267"/>
    <x v="267"/>
    <x v="267"/>
  </r>
  <r>
    <x v="268"/>
    <x v="268"/>
    <x v="0"/>
    <x v="0"/>
    <x v="7"/>
    <x v="268"/>
    <x v="263"/>
    <x v="268"/>
    <x v="9"/>
    <x v="5"/>
    <x v="202"/>
    <x v="267"/>
    <x v="3"/>
    <x v="232"/>
    <x v="4"/>
    <x v="4"/>
    <x v="0"/>
    <x v="0"/>
    <x v="1"/>
    <x v="2"/>
    <x v="268"/>
    <x v="268"/>
    <x v="268"/>
    <x v="268"/>
  </r>
  <r>
    <x v="269"/>
    <x v="269"/>
    <x v="4"/>
    <x v="11"/>
    <x v="11"/>
    <x v="269"/>
    <x v="100"/>
    <x v="269"/>
    <x v="10"/>
    <x v="75"/>
    <x v="97"/>
    <x v="268"/>
    <x v="18"/>
    <x v="233"/>
    <x v="0"/>
    <x v="4"/>
    <x v="0"/>
    <x v="0"/>
    <x v="1"/>
    <x v="3"/>
    <x v="269"/>
    <x v="269"/>
    <x v="269"/>
    <x v="269"/>
  </r>
  <r>
    <x v="270"/>
    <x v="270"/>
    <x v="4"/>
    <x v="6"/>
    <x v="3"/>
    <x v="270"/>
    <x v="264"/>
    <x v="270"/>
    <x v="10"/>
    <x v="40"/>
    <x v="203"/>
    <x v="269"/>
    <x v="25"/>
    <x v="234"/>
    <x v="5"/>
    <x v="4"/>
    <x v="0"/>
    <x v="2"/>
    <x v="1"/>
    <x v="2"/>
    <x v="270"/>
    <x v="270"/>
    <x v="270"/>
    <x v="270"/>
  </r>
  <r>
    <x v="271"/>
    <x v="271"/>
    <x v="1"/>
    <x v="8"/>
    <x v="1"/>
    <x v="271"/>
    <x v="265"/>
    <x v="271"/>
    <x v="4"/>
    <x v="33"/>
    <x v="204"/>
    <x v="270"/>
    <x v="0"/>
    <x v="235"/>
    <x v="1"/>
    <x v="3"/>
    <x v="0"/>
    <x v="1"/>
    <x v="1"/>
    <x v="2"/>
    <x v="271"/>
    <x v="271"/>
    <x v="271"/>
    <x v="271"/>
  </r>
  <r>
    <x v="272"/>
    <x v="272"/>
    <x v="2"/>
    <x v="10"/>
    <x v="2"/>
    <x v="272"/>
    <x v="266"/>
    <x v="272"/>
    <x v="6"/>
    <x v="30"/>
    <x v="205"/>
    <x v="271"/>
    <x v="8"/>
    <x v="236"/>
    <x v="1"/>
    <x v="3"/>
    <x v="0"/>
    <x v="2"/>
    <x v="1"/>
    <x v="1"/>
    <x v="272"/>
    <x v="272"/>
    <x v="272"/>
    <x v="272"/>
  </r>
  <r>
    <x v="273"/>
    <x v="273"/>
    <x v="4"/>
    <x v="6"/>
    <x v="0"/>
    <x v="273"/>
    <x v="267"/>
    <x v="273"/>
    <x v="6"/>
    <x v="7"/>
    <x v="137"/>
    <x v="272"/>
    <x v="13"/>
    <x v="226"/>
    <x v="1"/>
    <x v="1"/>
    <x v="2"/>
    <x v="1"/>
    <x v="1"/>
    <x v="3"/>
    <x v="273"/>
    <x v="273"/>
    <x v="273"/>
    <x v="273"/>
  </r>
  <r>
    <x v="274"/>
    <x v="274"/>
    <x v="3"/>
    <x v="4"/>
    <x v="3"/>
    <x v="274"/>
    <x v="268"/>
    <x v="274"/>
    <x v="9"/>
    <x v="19"/>
    <x v="206"/>
    <x v="273"/>
    <x v="21"/>
    <x v="237"/>
    <x v="3"/>
    <x v="2"/>
    <x v="2"/>
    <x v="3"/>
    <x v="1"/>
    <x v="3"/>
    <x v="274"/>
    <x v="274"/>
    <x v="274"/>
    <x v="274"/>
  </r>
  <r>
    <x v="275"/>
    <x v="275"/>
    <x v="3"/>
    <x v="4"/>
    <x v="7"/>
    <x v="275"/>
    <x v="269"/>
    <x v="275"/>
    <x v="19"/>
    <x v="76"/>
    <x v="207"/>
    <x v="274"/>
    <x v="13"/>
    <x v="191"/>
    <x v="3"/>
    <x v="4"/>
    <x v="1"/>
    <x v="2"/>
    <x v="1"/>
    <x v="3"/>
    <x v="275"/>
    <x v="275"/>
    <x v="275"/>
    <x v="275"/>
  </r>
  <r>
    <x v="276"/>
    <x v="276"/>
    <x v="0"/>
    <x v="0"/>
    <x v="2"/>
    <x v="276"/>
    <x v="270"/>
    <x v="276"/>
    <x v="15"/>
    <x v="30"/>
    <x v="208"/>
    <x v="275"/>
    <x v="13"/>
    <x v="238"/>
    <x v="3"/>
    <x v="3"/>
    <x v="2"/>
    <x v="2"/>
    <x v="1"/>
    <x v="3"/>
    <x v="276"/>
    <x v="276"/>
    <x v="276"/>
    <x v="276"/>
  </r>
  <r>
    <x v="277"/>
    <x v="277"/>
    <x v="0"/>
    <x v="0"/>
    <x v="2"/>
    <x v="277"/>
    <x v="271"/>
    <x v="277"/>
    <x v="11"/>
    <x v="9"/>
    <x v="3"/>
    <x v="32"/>
    <x v="2"/>
    <x v="145"/>
    <x v="2"/>
    <x v="4"/>
    <x v="1"/>
    <x v="1"/>
    <x v="1"/>
    <x v="1"/>
    <x v="277"/>
    <x v="277"/>
    <x v="277"/>
    <x v="277"/>
  </r>
  <r>
    <x v="278"/>
    <x v="278"/>
    <x v="2"/>
    <x v="14"/>
    <x v="10"/>
    <x v="278"/>
    <x v="272"/>
    <x v="278"/>
    <x v="3"/>
    <x v="11"/>
    <x v="81"/>
    <x v="276"/>
    <x v="2"/>
    <x v="226"/>
    <x v="0"/>
    <x v="2"/>
    <x v="2"/>
    <x v="0"/>
    <x v="1"/>
    <x v="2"/>
    <x v="278"/>
    <x v="278"/>
    <x v="278"/>
    <x v="278"/>
  </r>
  <r>
    <x v="279"/>
    <x v="279"/>
    <x v="1"/>
    <x v="1"/>
    <x v="7"/>
    <x v="279"/>
    <x v="273"/>
    <x v="279"/>
    <x v="2"/>
    <x v="27"/>
    <x v="153"/>
    <x v="277"/>
    <x v="20"/>
    <x v="209"/>
    <x v="2"/>
    <x v="1"/>
    <x v="0"/>
    <x v="1"/>
    <x v="1"/>
    <x v="2"/>
    <x v="279"/>
    <x v="279"/>
    <x v="279"/>
    <x v="279"/>
  </r>
  <r>
    <x v="280"/>
    <x v="280"/>
    <x v="1"/>
    <x v="2"/>
    <x v="8"/>
    <x v="280"/>
    <x v="274"/>
    <x v="280"/>
    <x v="16"/>
    <x v="6"/>
    <x v="209"/>
    <x v="278"/>
    <x v="7"/>
    <x v="104"/>
    <x v="5"/>
    <x v="4"/>
    <x v="2"/>
    <x v="3"/>
    <x v="1"/>
    <x v="3"/>
    <x v="280"/>
    <x v="280"/>
    <x v="280"/>
    <x v="280"/>
  </r>
  <r>
    <x v="281"/>
    <x v="281"/>
    <x v="0"/>
    <x v="9"/>
    <x v="7"/>
    <x v="281"/>
    <x v="275"/>
    <x v="281"/>
    <x v="17"/>
    <x v="30"/>
    <x v="210"/>
    <x v="279"/>
    <x v="6"/>
    <x v="239"/>
    <x v="2"/>
    <x v="0"/>
    <x v="2"/>
    <x v="2"/>
    <x v="1"/>
    <x v="3"/>
    <x v="281"/>
    <x v="281"/>
    <x v="281"/>
    <x v="281"/>
  </r>
  <r>
    <x v="282"/>
    <x v="282"/>
    <x v="2"/>
    <x v="14"/>
    <x v="3"/>
    <x v="282"/>
    <x v="276"/>
    <x v="282"/>
    <x v="4"/>
    <x v="14"/>
    <x v="211"/>
    <x v="280"/>
    <x v="3"/>
    <x v="240"/>
    <x v="4"/>
    <x v="3"/>
    <x v="1"/>
    <x v="3"/>
    <x v="1"/>
    <x v="1"/>
    <x v="282"/>
    <x v="282"/>
    <x v="282"/>
    <x v="282"/>
  </r>
  <r>
    <x v="283"/>
    <x v="283"/>
    <x v="1"/>
    <x v="1"/>
    <x v="9"/>
    <x v="283"/>
    <x v="277"/>
    <x v="283"/>
    <x v="1"/>
    <x v="30"/>
    <x v="212"/>
    <x v="281"/>
    <x v="9"/>
    <x v="241"/>
    <x v="1"/>
    <x v="4"/>
    <x v="2"/>
    <x v="2"/>
    <x v="1"/>
    <x v="2"/>
    <x v="283"/>
    <x v="283"/>
    <x v="283"/>
    <x v="283"/>
  </r>
  <r>
    <x v="284"/>
    <x v="284"/>
    <x v="4"/>
    <x v="7"/>
    <x v="9"/>
    <x v="284"/>
    <x v="278"/>
    <x v="284"/>
    <x v="1"/>
    <x v="31"/>
    <x v="213"/>
    <x v="282"/>
    <x v="18"/>
    <x v="242"/>
    <x v="1"/>
    <x v="3"/>
    <x v="0"/>
    <x v="1"/>
    <x v="1"/>
    <x v="1"/>
    <x v="284"/>
    <x v="284"/>
    <x v="284"/>
    <x v="284"/>
  </r>
  <r>
    <x v="285"/>
    <x v="285"/>
    <x v="2"/>
    <x v="3"/>
    <x v="7"/>
    <x v="285"/>
    <x v="279"/>
    <x v="285"/>
    <x v="1"/>
    <x v="18"/>
    <x v="154"/>
    <x v="283"/>
    <x v="24"/>
    <x v="243"/>
    <x v="1"/>
    <x v="0"/>
    <x v="1"/>
    <x v="0"/>
    <x v="1"/>
    <x v="2"/>
    <x v="285"/>
    <x v="285"/>
    <x v="285"/>
    <x v="285"/>
  </r>
  <r>
    <x v="286"/>
    <x v="286"/>
    <x v="2"/>
    <x v="14"/>
    <x v="4"/>
    <x v="286"/>
    <x v="280"/>
    <x v="286"/>
    <x v="20"/>
    <x v="18"/>
    <x v="214"/>
    <x v="284"/>
    <x v="25"/>
    <x v="117"/>
    <x v="0"/>
    <x v="4"/>
    <x v="2"/>
    <x v="3"/>
    <x v="1"/>
    <x v="3"/>
    <x v="286"/>
    <x v="286"/>
    <x v="286"/>
    <x v="286"/>
  </r>
  <r>
    <x v="287"/>
    <x v="287"/>
    <x v="3"/>
    <x v="5"/>
    <x v="2"/>
    <x v="287"/>
    <x v="281"/>
    <x v="287"/>
    <x v="9"/>
    <x v="65"/>
    <x v="180"/>
    <x v="285"/>
    <x v="11"/>
    <x v="5"/>
    <x v="1"/>
    <x v="3"/>
    <x v="1"/>
    <x v="3"/>
    <x v="1"/>
    <x v="2"/>
    <x v="287"/>
    <x v="287"/>
    <x v="287"/>
    <x v="287"/>
  </r>
  <r>
    <x v="288"/>
    <x v="288"/>
    <x v="2"/>
    <x v="14"/>
    <x v="7"/>
    <x v="288"/>
    <x v="282"/>
    <x v="288"/>
    <x v="6"/>
    <x v="16"/>
    <x v="215"/>
    <x v="286"/>
    <x v="2"/>
    <x v="244"/>
    <x v="2"/>
    <x v="2"/>
    <x v="2"/>
    <x v="0"/>
    <x v="1"/>
    <x v="3"/>
    <x v="288"/>
    <x v="288"/>
    <x v="288"/>
    <x v="288"/>
  </r>
  <r>
    <x v="289"/>
    <x v="289"/>
    <x v="4"/>
    <x v="6"/>
    <x v="8"/>
    <x v="289"/>
    <x v="283"/>
    <x v="289"/>
    <x v="23"/>
    <x v="77"/>
    <x v="216"/>
    <x v="287"/>
    <x v="9"/>
    <x v="245"/>
    <x v="0"/>
    <x v="0"/>
    <x v="0"/>
    <x v="3"/>
    <x v="1"/>
    <x v="1"/>
    <x v="289"/>
    <x v="289"/>
    <x v="289"/>
    <x v="289"/>
  </r>
  <r>
    <x v="290"/>
    <x v="290"/>
    <x v="2"/>
    <x v="10"/>
    <x v="1"/>
    <x v="290"/>
    <x v="284"/>
    <x v="290"/>
    <x v="3"/>
    <x v="78"/>
    <x v="41"/>
    <x v="288"/>
    <x v="8"/>
    <x v="43"/>
    <x v="4"/>
    <x v="1"/>
    <x v="0"/>
    <x v="1"/>
    <x v="1"/>
    <x v="1"/>
    <x v="290"/>
    <x v="290"/>
    <x v="290"/>
    <x v="290"/>
  </r>
  <r>
    <x v="291"/>
    <x v="291"/>
    <x v="3"/>
    <x v="13"/>
    <x v="11"/>
    <x v="291"/>
    <x v="285"/>
    <x v="291"/>
    <x v="7"/>
    <x v="23"/>
    <x v="217"/>
    <x v="289"/>
    <x v="9"/>
    <x v="246"/>
    <x v="1"/>
    <x v="2"/>
    <x v="1"/>
    <x v="3"/>
    <x v="1"/>
    <x v="3"/>
    <x v="291"/>
    <x v="291"/>
    <x v="291"/>
    <x v="291"/>
  </r>
  <r>
    <x v="292"/>
    <x v="292"/>
    <x v="3"/>
    <x v="13"/>
    <x v="5"/>
    <x v="292"/>
    <x v="286"/>
    <x v="292"/>
    <x v="8"/>
    <x v="15"/>
    <x v="218"/>
    <x v="290"/>
    <x v="14"/>
    <x v="174"/>
    <x v="4"/>
    <x v="1"/>
    <x v="2"/>
    <x v="3"/>
    <x v="1"/>
    <x v="3"/>
    <x v="292"/>
    <x v="292"/>
    <x v="292"/>
    <x v="292"/>
  </r>
  <r>
    <x v="293"/>
    <x v="293"/>
    <x v="1"/>
    <x v="1"/>
    <x v="9"/>
    <x v="293"/>
    <x v="287"/>
    <x v="293"/>
    <x v="3"/>
    <x v="79"/>
    <x v="171"/>
    <x v="291"/>
    <x v="12"/>
    <x v="247"/>
    <x v="3"/>
    <x v="4"/>
    <x v="2"/>
    <x v="0"/>
    <x v="1"/>
    <x v="1"/>
    <x v="293"/>
    <x v="293"/>
    <x v="293"/>
    <x v="293"/>
  </r>
  <r>
    <x v="294"/>
    <x v="294"/>
    <x v="0"/>
    <x v="0"/>
    <x v="1"/>
    <x v="294"/>
    <x v="288"/>
    <x v="294"/>
    <x v="2"/>
    <x v="45"/>
    <x v="173"/>
    <x v="292"/>
    <x v="16"/>
    <x v="248"/>
    <x v="4"/>
    <x v="0"/>
    <x v="0"/>
    <x v="1"/>
    <x v="1"/>
    <x v="2"/>
    <x v="294"/>
    <x v="294"/>
    <x v="294"/>
    <x v="294"/>
  </r>
  <r>
    <x v="295"/>
    <x v="295"/>
    <x v="4"/>
    <x v="6"/>
    <x v="6"/>
    <x v="295"/>
    <x v="289"/>
    <x v="295"/>
    <x v="10"/>
    <x v="3"/>
    <x v="183"/>
    <x v="293"/>
    <x v="18"/>
    <x v="249"/>
    <x v="5"/>
    <x v="0"/>
    <x v="1"/>
    <x v="3"/>
    <x v="1"/>
    <x v="2"/>
    <x v="295"/>
    <x v="295"/>
    <x v="295"/>
    <x v="295"/>
  </r>
  <r>
    <x v="296"/>
    <x v="296"/>
    <x v="4"/>
    <x v="11"/>
    <x v="8"/>
    <x v="296"/>
    <x v="290"/>
    <x v="296"/>
    <x v="20"/>
    <x v="80"/>
    <x v="219"/>
    <x v="294"/>
    <x v="21"/>
    <x v="250"/>
    <x v="4"/>
    <x v="4"/>
    <x v="2"/>
    <x v="3"/>
    <x v="0"/>
    <x v="0"/>
    <x v="296"/>
    <x v="296"/>
    <x v="296"/>
    <x v="296"/>
  </r>
  <r>
    <x v="297"/>
    <x v="297"/>
    <x v="2"/>
    <x v="10"/>
    <x v="0"/>
    <x v="297"/>
    <x v="291"/>
    <x v="297"/>
    <x v="8"/>
    <x v="0"/>
    <x v="55"/>
    <x v="295"/>
    <x v="12"/>
    <x v="206"/>
    <x v="2"/>
    <x v="3"/>
    <x v="0"/>
    <x v="0"/>
    <x v="1"/>
    <x v="2"/>
    <x v="297"/>
    <x v="297"/>
    <x v="297"/>
    <x v="297"/>
  </r>
  <r>
    <x v="298"/>
    <x v="298"/>
    <x v="4"/>
    <x v="7"/>
    <x v="9"/>
    <x v="298"/>
    <x v="292"/>
    <x v="298"/>
    <x v="13"/>
    <x v="63"/>
    <x v="220"/>
    <x v="296"/>
    <x v="11"/>
    <x v="68"/>
    <x v="1"/>
    <x v="3"/>
    <x v="0"/>
    <x v="2"/>
    <x v="1"/>
    <x v="2"/>
    <x v="298"/>
    <x v="298"/>
    <x v="298"/>
    <x v="298"/>
  </r>
  <r>
    <x v="299"/>
    <x v="299"/>
    <x v="2"/>
    <x v="14"/>
    <x v="7"/>
    <x v="299"/>
    <x v="43"/>
    <x v="299"/>
    <x v="5"/>
    <x v="20"/>
    <x v="117"/>
    <x v="297"/>
    <x v="19"/>
    <x v="154"/>
    <x v="5"/>
    <x v="2"/>
    <x v="0"/>
    <x v="1"/>
    <x v="1"/>
    <x v="2"/>
    <x v="299"/>
    <x v="299"/>
    <x v="299"/>
    <x v="299"/>
  </r>
  <r>
    <x v="300"/>
    <x v="300"/>
    <x v="3"/>
    <x v="4"/>
    <x v="3"/>
    <x v="300"/>
    <x v="293"/>
    <x v="300"/>
    <x v="2"/>
    <x v="7"/>
    <x v="115"/>
    <x v="298"/>
    <x v="9"/>
    <x v="251"/>
    <x v="1"/>
    <x v="1"/>
    <x v="1"/>
    <x v="2"/>
    <x v="1"/>
    <x v="3"/>
    <x v="300"/>
    <x v="300"/>
    <x v="300"/>
    <x v="300"/>
  </r>
  <r>
    <x v="301"/>
    <x v="301"/>
    <x v="4"/>
    <x v="7"/>
    <x v="0"/>
    <x v="301"/>
    <x v="240"/>
    <x v="301"/>
    <x v="5"/>
    <x v="81"/>
    <x v="105"/>
    <x v="299"/>
    <x v="16"/>
    <x v="252"/>
    <x v="5"/>
    <x v="3"/>
    <x v="0"/>
    <x v="3"/>
    <x v="1"/>
    <x v="1"/>
    <x v="301"/>
    <x v="301"/>
    <x v="301"/>
    <x v="301"/>
  </r>
  <r>
    <x v="302"/>
    <x v="302"/>
    <x v="4"/>
    <x v="7"/>
    <x v="8"/>
    <x v="302"/>
    <x v="294"/>
    <x v="302"/>
    <x v="10"/>
    <x v="45"/>
    <x v="138"/>
    <x v="300"/>
    <x v="7"/>
    <x v="253"/>
    <x v="1"/>
    <x v="2"/>
    <x v="0"/>
    <x v="1"/>
    <x v="1"/>
    <x v="1"/>
    <x v="302"/>
    <x v="302"/>
    <x v="302"/>
    <x v="302"/>
  </r>
  <r>
    <x v="303"/>
    <x v="303"/>
    <x v="3"/>
    <x v="5"/>
    <x v="6"/>
    <x v="303"/>
    <x v="295"/>
    <x v="303"/>
    <x v="5"/>
    <x v="6"/>
    <x v="98"/>
    <x v="301"/>
    <x v="9"/>
    <x v="254"/>
    <x v="3"/>
    <x v="0"/>
    <x v="2"/>
    <x v="0"/>
    <x v="1"/>
    <x v="1"/>
    <x v="303"/>
    <x v="303"/>
    <x v="303"/>
    <x v="303"/>
  </r>
  <r>
    <x v="304"/>
    <x v="304"/>
    <x v="4"/>
    <x v="11"/>
    <x v="7"/>
    <x v="304"/>
    <x v="296"/>
    <x v="304"/>
    <x v="13"/>
    <x v="46"/>
    <x v="48"/>
    <x v="302"/>
    <x v="2"/>
    <x v="197"/>
    <x v="5"/>
    <x v="2"/>
    <x v="0"/>
    <x v="3"/>
    <x v="1"/>
    <x v="1"/>
    <x v="304"/>
    <x v="304"/>
    <x v="304"/>
    <x v="304"/>
  </r>
  <r>
    <x v="305"/>
    <x v="305"/>
    <x v="2"/>
    <x v="3"/>
    <x v="6"/>
    <x v="305"/>
    <x v="295"/>
    <x v="305"/>
    <x v="14"/>
    <x v="32"/>
    <x v="221"/>
    <x v="303"/>
    <x v="13"/>
    <x v="255"/>
    <x v="4"/>
    <x v="1"/>
    <x v="2"/>
    <x v="0"/>
    <x v="0"/>
    <x v="0"/>
    <x v="305"/>
    <x v="305"/>
    <x v="305"/>
    <x v="305"/>
  </r>
  <r>
    <x v="306"/>
    <x v="306"/>
    <x v="3"/>
    <x v="5"/>
    <x v="10"/>
    <x v="306"/>
    <x v="297"/>
    <x v="306"/>
    <x v="11"/>
    <x v="79"/>
    <x v="97"/>
    <x v="304"/>
    <x v="10"/>
    <x v="256"/>
    <x v="3"/>
    <x v="0"/>
    <x v="0"/>
    <x v="0"/>
    <x v="1"/>
    <x v="2"/>
    <x v="306"/>
    <x v="306"/>
    <x v="306"/>
    <x v="306"/>
  </r>
  <r>
    <x v="307"/>
    <x v="307"/>
    <x v="0"/>
    <x v="15"/>
    <x v="10"/>
    <x v="307"/>
    <x v="265"/>
    <x v="307"/>
    <x v="8"/>
    <x v="16"/>
    <x v="222"/>
    <x v="305"/>
    <x v="18"/>
    <x v="257"/>
    <x v="5"/>
    <x v="0"/>
    <x v="0"/>
    <x v="1"/>
    <x v="1"/>
    <x v="1"/>
    <x v="307"/>
    <x v="307"/>
    <x v="307"/>
    <x v="307"/>
  </r>
  <r>
    <x v="308"/>
    <x v="308"/>
    <x v="0"/>
    <x v="9"/>
    <x v="2"/>
    <x v="308"/>
    <x v="298"/>
    <x v="308"/>
    <x v="15"/>
    <x v="82"/>
    <x v="218"/>
    <x v="306"/>
    <x v="14"/>
    <x v="76"/>
    <x v="2"/>
    <x v="1"/>
    <x v="2"/>
    <x v="0"/>
    <x v="1"/>
    <x v="3"/>
    <x v="308"/>
    <x v="308"/>
    <x v="308"/>
    <x v="308"/>
  </r>
  <r>
    <x v="309"/>
    <x v="309"/>
    <x v="4"/>
    <x v="6"/>
    <x v="3"/>
    <x v="309"/>
    <x v="299"/>
    <x v="309"/>
    <x v="1"/>
    <x v="13"/>
    <x v="92"/>
    <x v="307"/>
    <x v="8"/>
    <x v="33"/>
    <x v="0"/>
    <x v="0"/>
    <x v="1"/>
    <x v="1"/>
    <x v="1"/>
    <x v="3"/>
    <x v="309"/>
    <x v="309"/>
    <x v="309"/>
    <x v="309"/>
  </r>
  <r>
    <x v="310"/>
    <x v="310"/>
    <x v="4"/>
    <x v="11"/>
    <x v="3"/>
    <x v="310"/>
    <x v="300"/>
    <x v="310"/>
    <x v="7"/>
    <x v="40"/>
    <x v="119"/>
    <x v="308"/>
    <x v="3"/>
    <x v="258"/>
    <x v="4"/>
    <x v="0"/>
    <x v="1"/>
    <x v="2"/>
    <x v="1"/>
    <x v="2"/>
    <x v="310"/>
    <x v="310"/>
    <x v="310"/>
    <x v="310"/>
  </r>
  <r>
    <x v="311"/>
    <x v="311"/>
    <x v="3"/>
    <x v="13"/>
    <x v="3"/>
    <x v="311"/>
    <x v="301"/>
    <x v="311"/>
    <x v="17"/>
    <x v="72"/>
    <x v="223"/>
    <x v="309"/>
    <x v="25"/>
    <x v="259"/>
    <x v="2"/>
    <x v="0"/>
    <x v="1"/>
    <x v="3"/>
    <x v="1"/>
    <x v="3"/>
    <x v="311"/>
    <x v="311"/>
    <x v="311"/>
    <x v="311"/>
  </r>
  <r>
    <x v="312"/>
    <x v="312"/>
    <x v="3"/>
    <x v="4"/>
    <x v="6"/>
    <x v="312"/>
    <x v="302"/>
    <x v="312"/>
    <x v="9"/>
    <x v="52"/>
    <x v="224"/>
    <x v="310"/>
    <x v="15"/>
    <x v="260"/>
    <x v="3"/>
    <x v="3"/>
    <x v="1"/>
    <x v="3"/>
    <x v="1"/>
    <x v="1"/>
    <x v="312"/>
    <x v="312"/>
    <x v="312"/>
    <x v="312"/>
  </r>
  <r>
    <x v="313"/>
    <x v="313"/>
    <x v="4"/>
    <x v="6"/>
    <x v="8"/>
    <x v="313"/>
    <x v="303"/>
    <x v="313"/>
    <x v="4"/>
    <x v="15"/>
    <x v="225"/>
    <x v="311"/>
    <x v="14"/>
    <x v="261"/>
    <x v="1"/>
    <x v="0"/>
    <x v="1"/>
    <x v="0"/>
    <x v="1"/>
    <x v="1"/>
    <x v="313"/>
    <x v="313"/>
    <x v="313"/>
    <x v="313"/>
  </r>
  <r>
    <x v="314"/>
    <x v="314"/>
    <x v="1"/>
    <x v="8"/>
    <x v="2"/>
    <x v="314"/>
    <x v="304"/>
    <x v="314"/>
    <x v="20"/>
    <x v="24"/>
    <x v="226"/>
    <x v="312"/>
    <x v="22"/>
    <x v="4"/>
    <x v="4"/>
    <x v="0"/>
    <x v="0"/>
    <x v="0"/>
    <x v="1"/>
    <x v="2"/>
    <x v="314"/>
    <x v="314"/>
    <x v="314"/>
    <x v="314"/>
  </r>
  <r>
    <x v="315"/>
    <x v="315"/>
    <x v="2"/>
    <x v="14"/>
    <x v="8"/>
    <x v="315"/>
    <x v="305"/>
    <x v="315"/>
    <x v="13"/>
    <x v="14"/>
    <x v="221"/>
    <x v="313"/>
    <x v="21"/>
    <x v="10"/>
    <x v="3"/>
    <x v="0"/>
    <x v="2"/>
    <x v="1"/>
    <x v="1"/>
    <x v="1"/>
    <x v="315"/>
    <x v="315"/>
    <x v="315"/>
    <x v="315"/>
  </r>
  <r>
    <x v="316"/>
    <x v="316"/>
    <x v="4"/>
    <x v="7"/>
    <x v="2"/>
    <x v="316"/>
    <x v="306"/>
    <x v="316"/>
    <x v="20"/>
    <x v="30"/>
    <x v="56"/>
    <x v="314"/>
    <x v="5"/>
    <x v="262"/>
    <x v="0"/>
    <x v="0"/>
    <x v="0"/>
    <x v="1"/>
    <x v="1"/>
    <x v="2"/>
    <x v="316"/>
    <x v="316"/>
    <x v="316"/>
    <x v="316"/>
  </r>
  <r>
    <x v="317"/>
    <x v="317"/>
    <x v="2"/>
    <x v="3"/>
    <x v="8"/>
    <x v="317"/>
    <x v="307"/>
    <x v="317"/>
    <x v="19"/>
    <x v="0"/>
    <x v="85"/>
    <x v="315"/>
    <x v="23"/>
    <x v="200"/>
    <x v="3"/>
    <x v="1"/>
    <x v="1"/>
    <x v="0"/>
    <x v="1"/>
    <x v="3"/>
    <x v="317"/>
    <x v="317"/>
    <x v="317"/>
    <x v="317"/>
  </r>
  <r>
    <x v="318"/>
    <x v="318"/>
    <x v="2"/>
    <x v="3"/>
    <x v="1"/>
    <x v="318"/>
    <x v="308"/>
    <x v="318"/>
    <x v="13"/>
    <x v="18"/>
    <x v="227"/>
    <x v="316"/>
    <x v="19"/>
    <x v="263"/>
    <x v="4"/>
    <x v="4"/>
    <x v="1"/>
    <x v="2"/>
    <x v="1"/>
    <x v="3"/>
    <x v="318"/>
    <x v="318"/>
    <x v="318"/>
    <x v="318"/>
  </r>
  <r>
    <x v="319"/>
    <x v="319"/>
    <x v="3"/>
    <x v="13"/>
    <x v="5"/>
    <x v="319"/>
    <x v="309"/>
    <x v="319"/>
    <x v="1"/>
    <x v="19"/>
    <x v="228"/>
    <x v="317"/>
    <x v="22"/>
    <x v="264"/>
    <x v="1"/>
    <x v="0"/>
    <x v="2"/>
    <x v="2"/>
    <x v="1"/>
    <x v="2"/>
    <x v="319"/>
    <x v="319"/>
    <x v="319"/>
    <x v="319"/>
  </r>
  <r>
    <x v="320"/>
    <x v="320"/>
    <x v="4"/>
    <x v="7"/>
    <x v="8"/>
    <x v="320"/>
    <x v="310"/>
    <x v="320"/>
    <x v="20"/>
    <x v="40"/>
    <x v="229"/>
    <x v="318"/>
    <x v="20"/>
    <x v="265"/>
    <x v="4"/>
    <x v="1"/>
    <x v="2"/>
    <x v="0"/>
    <x v="1"/>
    <x v="3"/>
    <x v="320"/>
    <x v="320"/>
    <x v="320"/>
    <x v="320"/>
  </r>
  <r>
    <x v="321"/>
    <x v="321"/>
    <x v="1"/>
    <x v="2"/>
    <x v="10"/>
    <x v="321"/>
    <x v="311"/>
    <x v="321"/>
    <x v="1"/>
    <x v="28"/>
    <x v="26"/>
    <x v="319"/>
    <x v="11"/>
    <x v="58"/>
    <x v="5"/>
    <x v="4"/>
    <x v="1"/>
    <x v="3"/>
    <x v="1"/>
    <x v="2"/>
    <x v="321"/>
    <x v="321"/>
    <x v="321"/>
    <x v="321"/>
  </r>
  <r>
    <x v="322"/>
    <x v="322"/>
    <x v="4"/>
    <x v="7"/>
    <x v="5"/>
    <x v="322"/>
    <x v="312"/>
    <x v="322"/>
    <x v="5"/>
    <x v="29"/>
    <x v="230"/>
    <x v="320"/>
    <x v="24"/>
    <x v="266"/>
    <x v="3"/>
    <x v="3"/>
    <x v="1"/>
    <x v="2"/>
    <x v="1"/>
    <x v="1"/>
    <x v="322"/>
    <x v="322"/>
    <x v="322"/>
    <x v="322"/>
  </r>
  <r>
    <x v="323"/>
    <x v="323"/>
    <x v="3"/>
    <x v="5"/>
    <x v="7"/>
    <x v="323"/>
    <x v="313"/>
    <x v="323"/>
    <x v="11"/>
    <x v="83"/>
    <x v="231"/>
    <x v="321"/>
    <x v="12"/>
    <x v="267"/>
    <x v="3"/>
    <x v="3"/>
    <x v="0"/>
    <x v="0"/>
    <x v="1"/>
    <x v="2"/>
    <x v="323"/>
    <x v="323"/>
    <x v="323"/>
    <x v="323"/>
  </r>
  <r>
    <x v="324"/>
    <x v="324"/>
    <x v="4"/>
    <x v="7"/>
    <x v="9"/>
    <x v="324"/>
    <x v="314"/>
    <x v="324"/>
    <x v="10"/>
    <x v="30"/>
    <x v="232"/>
    <x v="322"/>
    <x v="1"/>
    <x v="268"/>
    <x v="1"/>
    <x v="3"/>
    <x v="0"/>
    <x v="3"/>
    <x v="1"/>
    <x v="3"/>
    <x v="324"/>
    <x v="324"/>
    <x v="324"/>
    <x v="324"/>
  </r>
  <r>
    <x v="325"/>
    <x v="325"/>
    <x v="0"/>
    <x v="0"/>
    <x v="6"/>
    <x v="325"/>
    <x v="315"/>
    <x v="325"/>
    <x v="18"/>
    <x v="84"/>
    <x v="233"/>
    <x v="323"/>
    <x v="25"/>
    <x v="269"/>
    <x v="3"/>
    <x v="1"/>
    <x v="2"/>
    <x v="1"/>
    <x v="1"/>
    <x v="3"/>
    <x v="325"/>
    <x v="325"/>
    <x v="325"/>
    <x v="325"/>
  </r>
  <r>
    <x v="326"/>
    <x v="326"/>
    <x v="3"/>
    <x v="4"/>
    <x v="5"/>
    <x v="326"/>
    <x v="316"/>
    <x v="326"/>
    <x v="20"/>
    <x v="3"/>
    <x v="234"/>
    <x v="324"/>
    <x v="24"/>
    <x v="270"/>
    <x v="2"/>
    <x v="3"/>
    <x v="0"/>
    <x v="0"/>
    <x v="1"/>
    <x v="2"/>
    <x v="326"/>
    <x v="326"/>
    <x v="326"/>
    <x v="326"/>
  </r>
  <r>
    <x v="327"/>
    <x v="327"/>
    <x v="3"/>
    <x v="5"/>
    <x v="10"/>
    <x v="327"/>
    <x v="317"/>
    <x v="327"/>
    <x v="7"/>
    <x v="52"/>
    <x v="10"/>
    <x v="325"/>
    <x v="15"/>
    <x v="219"/>
    <x v="5"/>
    <x v="2"/>
    <x v="2"/>
    <x v="0"/>
    <x v="1"/>
    <x v="3"/>
    <x v="327"/>
    <x v="327"/>
    <x v="327"/>
    <x v="327"/>
  </r>
  <r>
    <x v="328"/>
    <x v="328"/>
    <x v="2"/>
    <x v="3"/>
    <x v="5"/>
    <x v="328"/>
    <x v="318"/>
    <x v="328"/>
    <x v="9"/>
    <x v="67"/>
    <x v="29"/>
    <x v="326"/>
    <x v="17"/>
    <x v="271"/>
    <x v="1"/>
    <x v="3"/>
    <x v="0"/>
    <x v="0"/>
    <x v="1"/>
    <x v="1"/>
    <x v="328"/>
    <x v="328"/>
    <x v="328"/>
    <x v="328"/>
  </r>
  <r>
    <x v="329"/>
    <x v="329"/>
    <x v="3"/>
    <x v="5"/>
    <x v="7"/>
    <x v="329"/>
    <x v="319"/>
    <x v="329"/>
    <x v="10"/>
    <x v="8"/>
    <x v="148"/>
    <x v="327"/>
    <x v="23"/>
    <x v="261"/>
    <x v="3"/>
    <x v="2"/>
    <x v="2"/>
    <x v="0"/>
    <x v="1"/>
    <x v="3"/>
    <x v="329"/>
    <x v="329"/>
    <x v="329"/>
    <x v="329"/>
  </r>
  <r>
    <x v="330"/>
    <x v="330"/>
    <x v="1"/>
    <x v="2"/>
    <x v="1"/>
    <x v="330"/>
    <x v="320"/>
    <x v="330"/>
    <x v="1"/>
    <x v="1"/>
    <x v="194"/>
    <x v="328"/>
    <x v="9"/>
    <x v="272"/>
    <x v="5"/>
    <x v="0"/>
    <x v="2"/>
    <x v="2"/>
    <x v="1"/>
    <x v="2"/>
    <x v="330"/>
    <x v="330"/>
    <x v="330"/>
    <x v="330"/>
  </r>
  <r>
    <x v="331"/>
    <x v="331"/>
    <x v="1"/>
    <x v="1"/>
    <x v="7"/>
    <x v="331"/>
    <x v="321"/>
    <x v="331"/>
    <x v="8"/>
    <x v="85"/>
    <x v="4"/>
    <x v="329"/>
    <x v="7"/>
    <x v="273"/>
    <x v="0"/>
    <x v="4"/>
    <x v="0"/>
    <x v="1"/>
    <x v="1"/>
    <x v="1"/>
    <x v="331"/>
    <x v="331"/>
    <x v="331"/>
    <x v="331"/>
  </r>
  <r>
    <x v="332"/>
    <x v="332"/>
    <x v="0"/>
    <x v="15"/>
    <x v="5"/>
    <x v="332"/>
    <x v="322"/>
    <x v="332"/>
    <x v="5"/>
    <x v="24"/>
    <x v="4"/>
    <x v="330"/>
    <x v="8"/>
    <x v="274"/>
    <x v="5"/>
    <x v="2"/>
    <x v="2"/>
    <x v="0"/>
    <x v="0"/>
    <x v="0"/>
    <x v="332"/>
    <x v="332"/>
    <x v="332"/>
    <x v="332"/>
  </r>
  <r>
    <x v="333"/>
    <x v="333"/>
    <x v="3"/>
    <x v="4"/>
    <x v="7"/>
    <x v="333"/>
    <x v="323"/>
    <x v="333"/>
    <x v="11"/>
    <x v="1"/>
    <x v="181"/>
    <x v="331"/>
    <x v="7"/>
    <x v="213"/>
    <x v="1"/>
    <x v="3"/>
    <x v="1"/>
    <x v="3"/>
    <x v="1"/>
    <x v="2"/>
    <x v="333"/>
    <x v="333"/>
    <x v="333"/>
    <x v="333"/>
  </r>
  <r>
    <x v="334"/>
    <x v="334"/>
    <x v="1"/>
    <x v="2"/>
    <x v="2"/>
    <x v="334"/>
    <x v="324"/>
    <x v="334"/>
    <x v="7"/>
    <x v="86"/>
    <x v="130"/>
    <x v="332"/>
    <x v="18"/>
    <x v="275"/>
    <x v="1"/>
    <x v="3"/>
    <x v="0"/>
    <x v="0"/>
    <x v="1"/>
    <x v="3"/>
    <x v="334"/>
    <x v="334"/>
    <x v="334"/>
    <x v="334"/>
  </r>
  <r>
    <x v="335"/>
    <x v="335"/>
    <x v="2"/>
    <x v="3"/>
    <x v="10"/>
    <x v="335"/>
    <x v="325"/>
    <x v="335"/>
    <x v="1"/>
    <x v="48"/>
    <x v="235"/>
    <x v="333"/>
    <x v="21"/>
    <x v="276"/>
    <x v="4"/>
    <x v="2"/>
    <x v="1"/>
    <x v="2"/>
    <x v="1"/>
    <x v="2"/>
    <x v="335"/>
    <x v="335"/>
    <x v="335"/>
    <x v="335"/>
  </r>
  <r>
    <x v="336"/>
    <x v="336"/>
    <x v="0"/>
    <x v="0"/>
    <x v="9"/>
    <x v="336"/>
    <x v="326"/>
    <x v="336"/>
    <x v="3"/>
    <x v="11"/>
    <x v="236"/>
    <x v="334"/>
    <x v="18"/>
    <x v="159"/>
    <x v="1"/>
    <x v="4"/>
    <x v="0"/>
    <x v="0"/>
    <x v="1"/>
    <x v="1"/>
    <x v="336"/>
    <x v="336"/>
    <x v="336"/>
    <x v="336"/>
  </r>
  <r>
    <x v="337"/>
    <x v="337"/>
    <x v="2"/>
    <x v="14"/>
    <x v="9"/>
    <x v="337"/>
    <x v="327"/>
    <x v="337"/>
    <x v="12"/>
    <x v="29"/>
    <x v="235"/>
    <x v="335"/>
    <x v="1"/>
    <x v="277"/>
    <x v="1"/>
    <x v="1"/>
    <x v="1"/>
    <x v="2"/>
    <x v="1"/>
    <x v="3"/>
    <x v="337"/>
    <x v="337"/>
    <x v="337"/>
    <x v="337"/>
  </r>
  <r>
    <x v="338"/>
    <x v="338"/>
    <x v="1"/>
    <x v="8"/>
    <x v="0"/>
    <x v="338"/>
    <x v="328"/>
    <x v="338"/>
    <x v="1"/>
    <x v="10"/>
    <x v="237"/>
    <x v="336"/>
    <x v="25"/>
    <x v="278"/>
    <x v="4"/>
    <x v="1"/>
    <x v="1"/>
    <x v="1"/>
    <x v="0"/>
    <x v="0"/>
    <x v="338"/>
    <x v="338"/>
    <x v="338"/>
    <x v="338"/>
  </r>
  <r>
    <x v="339"/>
    <x v="339"/>
    <x v="0"/>
    <x v="12"/>
    <x v="9"/>
    <x v="339"/>
    <x v="329"/>
    <x v="339"/>
    <x v="10"/>
    <x v="86"/>
    <x v="138"/>
    <x v="337"/>
    <x v="23"/>
    <x v="38"/>
    <x v="3"/>
    <x v="4"/>
    <x v="0"/>
    <x v="3"/>
    <x v="1"/>
    <x v="3"/>
    <x v="339"/>
    <x v="339"/>
    <x v="339"/>
    <x v="339"/>
  </r>
  <r>
    <x v="340"/>
    <x v="340"/>
    <x v="3"/>
    <x v="5"/>
    <x v="7"/>
    <x v="340"/>
    <x v="330"/>
    <x v="340"/>
    <x v="4"/>
    <x v="9"/>
    <x v="96"/>
    <x v="338"/>
    <x v="25"/>
    <x v="279"/>
    <x v="0"/>
    <x v="0"/>
    <x v="1"/>
    <x v="0"/>
    <x v="1"/>
    <x v="3"/>
    <x v="340"/>
    <x v="340"/>
    <x v="340"/>
    <x v="340"/>
  </r>
  <r>
    <x v="341"/>
    <x v="341"/>
    <x v="4"/>
    <x v="6"/>
    <x v="1"/>
    <x v="341"/>
    <x v="331"/>
    <x v="341"/>
    <x v="16"/>
    <x v="19"/>
    <x v="238"/>
    <x v="339"/>
    <x v="15"/>
    <x v="280"/>
    <x v="1"/>
    <x v="4"/>
    <x v="2"/>
    <x v="2"/>
    <x v="1"/>
    <x v="3"/>
    <x v="341"/>
    <x v="341"/>
    <x v="341"/>
    <x v="341"/>
  </r>
  <r>
    <x v="342"/>
    <x v="342"/>
    <x v="1"/>
    <x v="1"/>
    <x v="1"/>
    <x v="342"/>
    <x v="332"/>
    <x v="342"/>
    <x v="13"/>
    <x v="45"/>
    <x v="57"/>
    <x v="340"/>
    <x v="7"/>
    <x v="281"/>
    <x v="5"/>
    <x v="0"/>
    <x v="0"/>
    <x v="1"/>
    <x v="1"/>
    <x v="1"/>
    <x v="342"/>
    <x v="342"/>
    <x v="342"/>
    <x v="342"/>
  </r>
  <r>
    <x v="343"/>
    <x v="343"/>
    <x v="3"/>
    <x v="4"/>
    <x v="11"/>
    <x v="343"/>
    <x v="333"/>
    <x v="343"/>
    <x v="1"/>
    <x v="55"/>
    <x v="222"/>
    <x v="341"/>
    <x v="12"/>
    <x v="282"/>
    <x v="3"/>
    <x v="3"/>
    <x v="1"/>
    <x v="0"/>
    <x v="1"/>
    <x v="1"/>
    <x v="343"/>
    <x v="343"/>
    <x v="343"/>
    <x v="343"/>
  </r>
  <r>
    <x v="344"/>
    <x v="344"/>
    <x v="0"/>
    <x v="9"/>
    <x v="10"/>
    <x v="344"/>
    <x v="334"/>
    <x v="344"/>
    <x v="0"/>
    <x v="28"/>
    <x v="59"/>
    <x v="342"/>
    <x v="12"/>
    <x v="283"/>
    <x v="4"/>
    <x v="0"/>
    <x v="1"/>
    <x v="3"/>
    <x v="1"/>
    <x v="2"/>
    <x v="344"/>
    <x v="344"/>
    <x v="344"/>
    <x v="344"/>
  </r>
  <r>
    <x v="345"/>
    <x v="345"/>
    <x v="3"/>
    <x v="5"/>
    <x v="4"/>
    <x v="345"/>
    <x v="317"/>
    <x v="345"/>
    <x v="12"/>
    <x v="6"/>
    <x v="239"/>
    <x v="343"/>
    <x v="12"/>
    <x v="284"/>
    <x v="0"/>
    <x v="2"/>
    <x v="1"/>
    <x v="2"/>
    <x v="1"/>
    <x v="3"/>
    <x v="345"/>
    <x v="345"/>
    <x v="345"/>
    <x v="345"/>
  </r>
  <r>
    <x v="346"/>
    <x v="346"/>
    <x v="0"/>
    <x v="9"/>
    <x v="10"/>
    <x v="346"/>
    <x v="93"/>
    <x v="346"/>
    <x v="5"/>
    <x v="6"/>
    <x v="240"/>
    <x v="141"/>
    <x v="16"/>
    <x v="191"/>
    <x v="3"/>
    <x v="4"/>
    <x v="0"/>
    <x v="0"/>
    <x v="1"/>
    <x v="2"/>
    <x v="346"/>
    <x v="346"/>
    <x v="346"/>
    <x v="346"/>
  </r>
  <r>
    <x v="347"/>
    <x v="347"/>
    <x v="4"/>
    <x v="6"/>
    <x v="7"/>
    <x v="347"/>
    <x v="335"/>
    <x v="347"/>
    <x v="21"/>
    <x v="17"/>
    <x v="54"/>
    <x v="344"/>
    <x v="10"/>
    <x v="285"/>
    <x v="4"/>
    <x v="1"/>
    <x v="0"/>
    <x v="1"/>
    <x v="1"/>
    <x v="3"/>
    <x v="347"/>
    <x v="347"/>
    <x v="347"/>
    <x v="347"/>
  </r>
  <r>
    <x v="348"/>
    <x v="348"/>
    <x v="3"/>
    <x v="13"/>
    <x v="9"/>
    <x v="348"/>
    <x v="336"/>
    <x v="348"/>
    <x v="13"/>
    <x v="11"/>
    <x v="50"/>
    <x v="345"/>
    <x v="2"/>
    <x v="286"/>
    <x v="0"/>
    <x v="4"/>
    <x v="2"/>
    <x v="1"/>
    <x v="1"/>
    <x v="3"/>
    <x v="348"/>
    <x v="348"/>
    <x v="348"/>
    <x v="348"/>
  </r>
  <r>
    <x v="349"/>
    <x v="349"/>
    <x v="4"/>
    <x v="11"/>
    <x v="3"/>
    <x v="349"/>
    <x v="337"/>
    <x v="349"/>
    <x v="13"/>
    <x v="11"/>
    <x v="228"/>
    <x v="346"/>
    <x v="3"/>
    <x v="287"/>
    <x v="3"/>
    <x v="1"/>
    <x v="2"/>
    <x v="2"/>
    <x v="1"/>
    <x v="1"/>
    <x v="349"/>
    <x v="349"/>
    <x v="349"/>
    <x v="349"/>
  </r>
  <r>
    <x v="350"/>
    <x v="350"/>
    <x v="0"/>
    <x v="15"/>
    <x v="4"/>
    <x v="350"/>
    <x v="338"/>
    <x v="350"/>
    <x v="18"/>
    <x v="3"/>
    <x v="17"/>
    <x v="347"/>
    <x v="21"/>
    <x v="288"/>
    <x v="0"/>
    <x v="4"/>
    <x v="1"/>
    <x v="1"/>
    <x v="1"/>
    <x v="2"/>
    <x v="350"/>
    <x v="350"/>
    <x v="350"/>
    <x v="350"/>
  </r>
  <r>
    <x v="351"/>
    <x v="351"/>
    <x v="3"/>
    <x v="4"/>
    <x v="0"/>
    <x v="351"/>
    <x v="339"/>
    <x v="351"/>
    <x v="21"/>
    <x v="14"/>
    <x v="241"/>
    <x v="348"/>
    <x v="15"/>
    <x v="88"/>
    <x v="5"/>
    <x v="2"/>
    <x v="1"/>
    <x v="0"/>
    <x v="1"/>
    <x v="2"/>
    <x v="351"/>
    <x v="351"/>
    <x v="351"/>
    <x v="351"/>
  </r>
  <r>
    <x v="352"/>
    <x v="352"/>
    <x v="4"/>
    <x v="7"/>
    <x v="7"/>
    <x v="352"/>
    <x v="340"/>
    <x v="352"/>
    <x v="7"/>
    <x v="14"/>
    <x v="192"/>
    <x v="349"/>
    <x v="0"/>
    <x v="289"/>
    <x v="1"/>
    <x v="2"/>
    <x v="1"/>
    <x v="0"/>
    <x v="1"/>
    <x v="1"/>
    <x v="352"/>
    <x v="352"/>
    <x v="352"/>
    <x v="352"/>
  </r>
  <r>
    <x v="353"/>
    <x v="353"/>
    <x v="2"/>
    <x v="14"/>
    <x v="0"/>
    <x v="353"/>
    <x v="341"/>
    <x v="353"/>
    <x v="3"/>
    <x v="7"/>
    <x v="242"/>
    <x v="350"/>
    <x v="1"/>
    <x v="57"/>
    <x v="3"/>
    <x v="2"/>
    <x v="1"/>
    <x v="0"/>
    <x v="1"/>
    <x v="3"/>
    <x v="353"/>
    <x v="353"/>
    <x v="353"/>
    <x v="353"/>
  </r>
  <r>
    <x v="354"/>
    <x v="354"/>
    <x v="0"/>
    <x v="9"/>
    <x v="6"/>
    <x v="354"/>
    <x v="342"/>
    <x v="354"/>
    <x v="4"/>
    <x v="25"/>
    <x v="243"/>
    <x v="351"/>
    <x v="0"/>
    <x v="80"/>
    <x v="1"/>
    <x v="3"/>
    <x v="0"/>
    <x v="2"/>
    <x v="1"/>
    <x v="3"/>
    <x v="354"/>
    <x v="354"/>
    <x v="354"/>
    <x v="354"/>
  </r>
  <r>
    <x v="355"/>
    <x v="355"/>
    <x v="0"/>
    <x v="0"/>
    <x v="4"/>
    <x v="355"/>
    <x v="343"/>
    <x v="355"/>
    <x v="17"/>
    <x v="33"/>
    <x v="87"/>
    <x v="352"/>
    <x v="0"/>
    <x v="290"/>
    <x v="2"/>
    <x v="4"/>
    <x v="1"/>
    <x v="0"/>
    <x v="1"/>
    <x v="1"/>
    <x v="355"/>
    <x v="355"/>
    <x v="355"/>
    <x v="355"/>
  </r>
  <r>
    <x v="356"/>
    <x v="356"/>
    <x v="0"/>
    <x v="9"/>
    <x v="3"/>
    <x v="356"/>
    <x v="344"/>
    <x v="356"/>
    <x v="9"/>
    <x v="27"/>
    <x v="244"/>
    <x v="353"/>
    <x v="2"/>
    <x v="164"/>
    <x v="3"/>
    <x v="4"/>
    <x v="2"/>
    <x v="3"/>
    <x v="1"/>
    <x v="3"/>
    <x v="356"/>
    <x v="356"/>
    <x v="356"/>
    <x v="356"/>
  </r>
  <r>
    <x v="357"/>
    <x v="357"/>
    <x v="3"/>
    <x v="5"/>
    <x v="6"/>
    <x v="357"/>
    <x v="345"/>
    <x v="357"/>
    <x v="6"/>
    <x v="14"/>
    <x v="245"/>
    <x v="354"/>
    <x v="17"/>
    <x v="291"/>
    <x v="3"/>
    <x v="0"/>
    <x v="1"/>
    <x v="1"/>
    <x v="1"/>
    <x v="2"/>
    <x v="357"/>
    <x v="357"/>
    <x v="357"/>
    <x v="357"/>
  </r>
  <r>
    <x v="358"/>
    <x v="358"/>
    <x v="3"/>
    <x v="13"/>
    <x v="7"/>
    <x v="358"/>
    <x v="346"/>
    <x v="358"/>
    <x v="2"/>
    <x v="11"/>
    <x v="181"/>
    <x v="355"/>
    <x v="7"/>
    <x v="238"/>
    <x v="3"/>
    <x v="2"/>
    <x v="2"/>
    <x v="1"/>
    <x v="1"/>
    <x v="1"/>
    <x v="358"/>
    <x v="358"/>
    <x v="358"/>
    <x v="358"/>
  </r>
  <r>
    <x v="359"/>
    <x v="359"/>
    <x v="4"/>
    <x v="6"/>
    <x v="10"/>
    <x v="359"/>
    <x v="347"/>
    <x v="359"/>
    <x v="6"/>
    <x v="35"/>
    <x v="140"/>
    <x v="356"/>
    <x v="18"/>
    <x v="292"/>
    <x v="3"/>
    <x v="3"/>
    <x v="2"/>
    <x v="2"/>
    <x v="1"/>
    <x v="1"/>
    <x v="359"/>
    <x v="359"/>
    <x v="359"/>
    <x v="359"/>
  </r>
  <r>
    <x v="360"/>
    <x v="360"/>
    <x v="1"/>
    <x v="1"/>
    <x v="9"/>
    <x v="360"/>
    <x v="348"/>
    <x v="360"/>
    <x v="7"/>
    <x v="40"/>
    <x v="153"/>
    <x v="357"/>
    <x v="3"/>
    <x v="293"/>
    <x v="4"/>
    <x v="2"/>
    <x v="1"/>
    <x v="0"/>
    <x v="1"/>
    <x v="1"/>
    <x v="360"/>
    <x v="360"/>
    <x v="360"/>
    <x v="360"/>
  </r>
  <r>
    <x v="361"/>
    <x v="361"/>
    <x v="1"/>
    <x v="2"/>
    <x v="1"/>
    <x v="361"/>
    <x v="349"/>
    <x v="361"/>
    <x v="13"/>
    <x v="47"/>
    <x v="246"/>
    <x v="358"/>
    <x v="20"/>
    <x v="294"/>
    <x v="4"/>
    <x v="0"/>
    <x v="0"/>
    <x v="1"/>
    <x v="1"/>
    <x v="3"/>
    <x v="361"/>
    <x v="361"/>
    <x v="361"/>
    <x v="361"/>
  </r>
  <r>
    <x v="362"/>
    <x v="362"/>
    <x v="0"/>
    <x v="9"/>
    <x v="8"/>
    <x v="362"/>
    <x v="350"/>
    <x v="362"/>
    <x v="20"/>
    <x v="31"/>
    <x v="212"/>
    <x v="8"/>
    <x v="6"/>
    <x v="294"/>
    <x v="5"/>
    <x v="3"/>
    <x v="1"/>
    <x v="3"/>
    <x v="1"/>
    <x v="1"/>
    <x v="362"/>
    <x v="362"/>
    <x v="362"/>
    <x v="362"/>
  </r>
  <r>
    <x v="363"/>
    <x v="363"/>
    <x v="4"/>
    <x v="11"/>
    <x v="4"/>
    <x v="363"/>
    <x v="351"/>
    <x v="363"/>
    <x v="13"/>
    <x v="87"/>
    <x v="247"/>
    <x v="359"/>
    <x v="19"/>
    <x v="295"/>
    <x v="4"/>
    <x v="2"/>
    <x v="0"/>
    <x v="2"/>
    <x v="0"/>
    <x v="0"/>
    <x v="363"/>
    <x v="363"/>
    <x v="363"/>
    <x v="363"/>
  </r>
  <r>
    <x v="364"/>
    <x v="364"/>
    <x v="1"/>
    <x v="8"/>
    <x v="6"/>
    <x v="364"/>
    <x v="352"/>
    <x v="364"/>
    <x v="20"/>
    <x v="22"/>
    <x v="248"/>
    <x v="360"/>
    <x v="1"/>
    <x v="296"/>
    <x v="2"/>
    <x v="2"/>
    <x v="1"/>
    <x v="3"/>
    <x v="1"/>
    <x v="3"/>
    <x v="364"/>
    <x v="364"/>
    <x v="364"/>
    <x v="364"/>
  </r>
  <r>
    <x v="365"/>
    <x v="365"/>
    <x v="0"/>
    <x v="0"/>
    <x v="4"/>
    <x v="365"/>
    <x v="353"/>
    <x v="365"/>
    <x v="12"/>
    <x v="23"/>
    <x v="157"/>
    <x v="361"/>
    <x v="17"/>
    <x v="297"/>
    <x v="1"/>
    <x v="2"/>
    <x v="1"/>
    <x v="2"/>
    <x v="1"/>
    <x v="2"/>
    <x v="365"/>
    <x v="365"/>
    <x v="365"/>
    <x v="365"/>
  </r>
  <r>
    <x v="366"/>
    <x v="366"/>
    <x v="4"/>
    <x v="11"/>
    <x v="9"/>
    <x v="366"/>
    <x v="354"/>
    <x v="366"/>
    <x v="6"/>
    <x v="88"/>
    <x v="75"/>
    <x v="362"/>
    <x v="10"/>
    <x v="298"/>
    <x v="1"/>
    <x v="3"/>
    <x v="1"/>
    <x v="1"/>
    <x v="1"/>
    <x v="3"/>
    <x v="366"/>
    <x v="366"/>
    <x v="366"/>
    <x v="366"/>
  </r>
  <r>
    <x v="367"/>
    <x v="367"/>
    <x v="1"/>
    <x v="1"/>
    <x v="5"/>
    <x v="367"/>
    <x v="355"/>
    <x v="367"/>
    <x v="9"/>
    <x v="21"/>
    <x v="249"/>
    <x v="363"/>
    <x v="7"/>
    <x v="299"/>
    <x v="4"/>
    <x v="0"/>
    <x v="2"/>
    <x v="2"/>
    <x v="1"/>
    <x v="1"/>
    <x v="367"/>
    <x v="367"/>
    <x v="367"/>
    <x v="367"/>
  </r>
  <r>
    <x v="368"/>
    <x v="368"/>
    <x v="4"/>
    <x v="11"/>
    <x v="0"/>
    <x v="368"/>
    <x v="356"/>
    <x v="368"/>
    <x v="10"/>
    <x v="33"/>
    <x v="250"/>
    <x v="364"/>
    <x v="21"/>
    <x v="53"/>
    <x v="0"/>
    <x v="4"/>
    <x v="0"/>
    <x v="2"/>
    <x v="1"/>
    <x v="3"/>
    <x v="368"/>
    <x v="368"/>
    <x v="368"/>
    <x v="368"/>
  </r>
  <r>
    <x v="369"/>
    <x v="369"/>
    <x v="1"/>
    <x v="8"/>
    <x v="3"/>
    <x v="369"/>
    <x v="357"/>
    <x v="369"/>
    <x v="16"/>
    <x v="4"/>
    <x v="19"/>
    <x v="365"/>
    <x v="1"/>
    <x v="300"/>
    <x v="3"/>
    <x v="0"/>
    <x v="2"/>
    <x v="2"/>
    <x v="1"/>
    <x v="2"/>
    <x v="369"/>
    <x v="369"/>
    <x v="369"/>
    <x v="369"/>
  </r>
  <r>
    <x v="370"/>
    <x v="370"/>
    <x v="3"/>
    <x v="5"/>
    <x v="6"/>
    <x v="370"/>
    <x v="358"/>
    <x v="370"/>
    <x v="7"/>
    <x v="13"/>
    <x v="251"/>
    <x v="366"/>
    <x v="24"/>
    <x v="194"/>
    <x v="3"/>
    <x v="1"/>
    <x v="1"/>
    <x v="2"/>
    <x v="1"/>
    <x v="2"/>
    <x v="370"/>
    <x v="370"/>
    <x v="370"/>
    <x v="370"/>
  </r>
  <r>
    <x v="371"/>
    <x v="371"/>
    <x v="4"/>
    <x v="6"/>
    <x v="3"/>
    <x v="371"/>
    <x v="359"/>
    <x v="371"/>
    <x v="23"/>
    <x v="23"/>
    <x v="68"/>
    <x v="367"/>
    <x v="0"/>
    <x v="280"/>
    <x v="2"/>
    <x v="1"/>
    <x v="1"/>
    <x v="2"/>
    <x v="1"/>
    <x v="1"/>
    <x v="371"/>
    <x v="371"/>
    <x v="371"/>
    <x v="371"/>
  </r>
  <r>
    <x v="372"/>
    <x v="372"/>
    <x v="4"/>
    <x v="6"/>
    <x v="5"/>
    <x v="372"/>
    <x v="142"/>
    <x v="372"/>
    <x v="3"/>
    <x v="6"/>
    <x v="17"/>
    <x v="368"/>
    <x v="11"/>
    <x v="301"/>
    <x v="3"/>
    <x v="0"/>
    <x v="1"/>
    <x v="0"/>
    <x v="1"/>
    <x v="1"/>
    <x v="372"/>
    <x v="372"/>
    <x v="372"/>
    <x v="372"/>
  </r>
  <r>
    <x v="373"/>
    <x v="373"/>
    <x v="3"/>
    <x v="5"/>
    <x v="0"/>
    <x v="373"/>
    <x v="360"/>
    <x v="373"/>
    <x v="7"/>
    <x v="24"/>
    <x v="252"/>
    <x v="369"/>
    <x v="16"/>
    <x v="302"/>
    <x v="5"/>
    <x v="1"/>
    <x v="1"/>
    <x v="3"/>
    <x v="1"/>
    <x v="1"/>
    <x v="373"/>
    <x v="373"/>
    <x v="373"/>
    <x v="373"/>
  </r>
  <r>
    <x v="374"/>
    <x v="374"/>
    <x v="2"/>
    <x v="3"/>
    <x v="10"/>
    <x v="374"/>
    <x v="361"/>
    <x v="374"/>
    <x v="23"/>
    <x v="1"/>
    <x v="179"/>
    <x v="370"/>
    <x v="10"/>
    <x v="303"/>
    <x v="3"/>
    <x v="4"/>
    <x v="1"/>
    <x v="3"/>
    <x v="1"/>
    <x v="3"/>
    <x v="374"/>
    <x v="374"/>
    <x v="374"/>
    <x v="374"/>
  </r>
  <r>
    <x v="375"/>
    <x v="375"/>
    <x v="0"/>
    <x v="15"/>
    <x v="1"/>
    <x v="375"/>
    <x v="362"/>
    <x v="375"/>
    <x v="11"/>
    <x v="81"/>
    <x v="114"/>
    <x v="371"/>
    <x v="20"/>
    <x v="304"/>
    <x v="3"/>
    <x v="0"/>
    <x v="1"/>
    <x v="3"/>
    <x v="1"/>
    <x v="3"/>
    <x v="375"/>
    <x v="375"/>
    <x v="375"/>
    <x v="375"/>
  </r>
  <r>
    <x v="376"/>
    <x v="376"/>
    <x v="0"/>
    <x v="0"/>
    <x v="9"/>
    <x v="376"/>
    <x v="363"/>
    <x v="376"/>
    <x v="13"/>
    <x v="18"/>
    <x v="5"/>
    <x v="372"/>
    <x v="15"/>
    <x v="82"/>
    <x v="3"/>
    <x v="2"/>
    <x v="2"/>
    <x v="1"/>
    <x v="1"/>
    <x v="2"/>
    <x v="376"/>
    <x v="376"/>
    <x v="376"/>
    <x v="376"/>
  </r>
  <r>
    <x v="377"/>
    <x v="377"/>
    <x v="2"/>
    <x v="10"/>
    <x v="1"/>
    <x v="377"/>
    <x v="364"/>
    <x v="377"/>
    <x v="1"/>
    <x v="10"/>
    <x v="253"/>
    <x v="373"/>
    <x v="7"/>
    <x v="305"/>
    <x v="3"/>
    <x v="1"/>
    <x v="2"/>
    <x v="2"/>
    <x v="0"/>
    <x v="0"/>
    <x v="377"/>
    <x v="377"/>
    <x v="377"/>
    <x v="377"/>
  </r>
  <r>
    <x v="378"/>
    <x v="378"/>
    <x v="3"/>
    <x v="13"/>
    <x v="4"/>
    <x v="378"/>
    <x v="365"/>
    <x v="378"/>
    <x v="5"/>
    <x v="28"/>
    <x v="96"/>
    <x v="374"/>
    <x v="4"/>
    <x v="111"/>
    <x v="2"/>
    <x v="1"/>
    <x v="1"/>
    <x v="0"/>
    <x v="1"/>
    <x v="1"/>
    <x v="378"/>
    <x v="378"/>
    <x v="378"/>
    <x v="378"/>
  </r>
  <r>
    <x v="379"/>
    <x v="379"/>
    <x v="0"/>
    <x v="12"/>
    <x v="5"/>
    <x v="379"/>
    <x v="366"/>
    <x v="379"/>
    <x v="13"/>
    <x v="38"/>
    <x v="85"/>
    <x v="375"/>
    <x v="10"/>
    <x v="306"/>
    <x v="4"/>
    <x v="0"/>
    <x v="1"/>
    <x v="0"/>
    <x v="1"/>
    <x v="3"/>
    <x v="379"/>
    <x v="379"/>
    <x v="379"/>
    <x v="379"/>
  </r>
  <r>
    <x v="380"/>
    <x v="380"/>
    <x v="4"/>
    <x v="11"/>
    <x v="8"/>
    <x v="380"/>
    <x v="367"/>
    <x v="380"/>
    <x v="4"/>
    <x v="13"/>
    <x v="254"/>
    <x v="376"/>
    <x v="22"/>
    <x v="183"/>
    <x v="2"/>
    <x v="0"/>
    <x v="2"/>
    <x v="3"/>
    <x v="1"/>
    <x v="1"/>
    <x v="380"/>
    <x v="380"/>
    <x v="380"/>
    <x v="380"/>
  </r>
  <r>
    <x v="381"/>
    <x v="381"/>
    <x v="2"/>
    <x v="14"/>
    <x v="2"/>
    <x v="381"/>
    <x v="368"/>
    <x v="381"/>
    <x v="4"/>
    <x v="23"/>
    <x v="153"/>
    <x v="377"/>
    <x v="12"/>
    <x v="210"/>
    <x v="3"/>
    <x v="1"/>
    <x v="2"/>
    <x v="3"/>
    <x v="1"/>
    <x v="1"/>
    <x v="381"/>
    <x v="381"/>
    <x v="381"/>
    <x v="381"/>
  </r>
  <r>
    <x v="382"/>
    <x v="382"/>
    <x v="4"/>
    <x v="7"/>
    <x v="1"/>
    <x v="382"/>
    <x v="369"/>
    <x v="382"/>
    <x v="11"/>
    <x v="25"/>
    <x v="220"/>
    <x v="378"/>
    <x v="19"/>
    <x v="307"/>
    <x v="3"/>
    <x v="0"/>
    <x v="2"/>
    <x v="0"/>
    <x v="1"/>
    <x v="3"/>
    <x v="382"/>
    <x v="382"/>
    <x v="382"/>
    <x v="382"/>
  </r>
  <r>
    <x v="383"/>
    <x v="383"/>
    <x v="0"/>
    <x v="0"/>
    <x v="8"/>
    <x v="383"/>
    <x v="370"/>
    <x v="383"/>
    <x v="7"/>
    <x v="11"/>
    <x v="193"/>
    <x v="379"/>
    <x v="7"/>
    <x v="292"/>
    <x v="3"/>
    <x v="0"/>
    <x v="0"/>
    <x v="0"/>
    <x v="1"/>
    <x v="1"/>
    <x v="383"/>
    <x v="383"/>
    <x v="383"/>
    <x v="383"/>
  </r>
  <r>
    <x v="384"/>
    <x v="384"/>
    <x v="1"/>
    <x v="1"/>
    <x v="10"/>
    <x v="384"/>
    <x v="371"/>
    <x v="384"/>
    <x v="8"/>
    <x v="28"/>
    <x v="202"/>
    <x v="380"/>
    <x v="6"/>
    <x v="308"/>
    <x v="4"/>
    <x v="4"/>
    <x v="1"/>
    <x v="3"/>
    <x v="1"/>
    <x v="2"/>
    <x v="384"/>
    <x v="384"/>
    <x v="384"/>
    <x v="384"/>
  </r>
  <r>
    <x v="385"/>
    <x v="385"/>
    <x v="0"/>
    <x v="9"/>
    <x v="5"/>
    <x v="385"/>
    <x v="372"/>
    <x v="385"/>
    <x v="4"/>
    <x v="68"/>
    <x v="255"/>
    <x v="381"/>
    <x v="1"/>
    <x v="283"/>
    <x v="2"/>
    <x v="4"/>
    <x v="1"/>
    <x v="1"/>
    <x v="1"/>
    <x v="3"/>
    <x v="385"/>
    <x v="385"/>
    <x v="385"/>
    <x v="385"/>
  </r>
  <r>
    <x v="386"/>
    <x v="386"/>
    <x v="2"/>
    <x v="10"/>
    <x v="8"/>
    <x v="386"/>
    <x v="373"/>
    <x v="386"/>
    <x v="4"/>
    <x v="47"/>
    <x v="36"/>
    <x v="382"/>
    <x v="9"/>
    <x v="309"/>
    <x v="0"/>
    <x v="4"/>
    <x v="2"/>
    <x v="0"/>
    <x v="1"/>
    <x v="3"/>
    <x v="386"/>
    <x v="386"/>
    <x v="386"/>
    <x v="386"/>
  </r>
  <r>
    <x v="387"/>
    <x v="387"/>
    <x v="2"/>
    <x v="14"/>
    <x v="7"/>
    <x v="387"/>
    <x v="374"/>
    <x v="387"/>
    <x v="10"/>
    <x v="2"/>
    <x v="113"/>
    <x v="383"/>
    <x v="25"/>
    <x v="89"/>
    <x v="0"/>
    <x v="2"/>
    <x v="1"/>
    <x v="3"/>
    <x v="1"/>
    <x v="3"/>
    <x v="387"/>
    <x v="387"/>
    <x v="387"/>
    <x v="387"/>
  </r>
  <r>
    <x v="388"/>
    <x v="388"/>
    <x v="2"/>
    <x v="10"/>
    <x v="6"/>
    <x v="388"/>
    <x v="375"/>
    <x v="388"/>
    <x v="7"/>
    <x v="14"/>
    <x v="66"/>
    <x v="384"/>
    <x v="18"/>
    <x v="310"/>
    <x v="5"/>
    <x v="2"/>
    <x v="1"/>
    <x v="0"/>
    <x v="1"/>
    <x v="1"/>
    <x v="388"/>
    <x v="388"/>
    <x v="388"/>
    <x v="388"/>
  </r>
  <r>
    <x v="389"/>
    <x v="389"/>
    <x v="1"/>
    <x v="1"/>
    <x v="7"/>
    <x v="389"/>
    <x v="376"/>
    <x v="389"/>
    <x v="2"/>
    <x v="7"/>
    <x v="256"/>
    <x v="385"/>
    <x v="10"/>
    <x v="18"/>
    <x v="0"/>
    <x v="0"/>
    <x v="1"/>
    <x v="1"/>
    <x v="0"/>
    <x v="0"/>
    <x v="389"/>
    <x v="389"/>
    <x v="389"/>
    <x v="389"/>
  </r>
  <r>
    <x v="390"/>
    <x v="390"/>
    <x v="3"/>
    <x v="13"/>
    <x v="6"/>
    <x v="390"/>
    <x v="377"/>
    <x v="390"/>
    <x v="2"/>
    <x v="9"/>
    <x v="93"/>
    <x v="386"/>
    <x v="16"/>
    <x v="4"/>
    <x v="5"/>
    <x v="2"/>
    <x v="1"/>
    <x v="3"/>
    <x v="1"/>
    <x v="1"/>
    <x v="390"/>
    <x v="390"/>
    <x v="390"/>
    <x v="390"/>
  </r>
  <r>
    <x v="391"/>
    <x v="391"/>
    <x v="4"/>
    <x v="11"/>
    <x v="0"/>
    <x v="391"/>
    <x v="378"/>
    <x v="391"/>
    <x v="4"/>
    <x v="47"/>
    <x v="257"/>
    <x v="387"/>
    <x v="7"/>
    <x v="255"/>
    <x v="5"/>
    <x v="4"/>
    <x v="2"/>
    <x v="2"/>
    <x v="1"/>
    <x v="1"/>
    <x v="391"/>
    <x v="391"/>
    <x v="391"/>
    <x v="391"/>
  </r>
  <r>
    <x v="392"/>
    <x v="392"/>
    <x v="2"/>
    <x v="14"/>
    <x v="8"/>
    <x v="392"/>
    <x v="379"/>
    <x v="392"/>
    <x v="10"/>
    <x v="6"/>
    <x v="192"/>
    <x v="388"/>
    <x v="24"/>
    <x v="262"/>
    <x v="3"/>
    <x v="1"/>
    <x v="2"/>
    <x v="2"/>
    <x v="1"/>
    <x v="2"/>
    <x v="392"/>
    <x v="392"/>
    <x v="392"/>
    <x v="392"/>
  </r>
  <r>
    <x v="393"/>
    <x v="393"/>
    <x v="2"/>
    <x v="14"/>
    <x v="8"/>
    <x v="393"/>
    <x v="380"/>
    <x v="393"/>
    <x v="2"/>
    <x v="73"/>
    <x v="9"/>
    <x v="389"/>
    <x v="18"/>
    <x v="128"/>
    <x v="3"/>
    <x v="1"/>
    <x v="0"/>
    <x v="3"/>
    <x v="1"/>
    <x v="2"/>
    <x v="393"/>
    <x v="393"/>
    <x v="393"/>
    <x v="393"/>
  </r>
  <r>
    <x v="394"/>
    <x v="394"/>
    <x v="3"/>
    <x v="5"/>
    <x v="10"/>
    <x v="394"/>
    <x v="381"/>
    <x v="394"/>
    <x v="15"/>
    <x v="89"/>
    <x v="258"/>
    <x v="390"/>
    <x v="10"/>
    <x v="281"/>
    <x v="2"/>
    <x v="3"/>
    <x v="2"/>
    <x v="1"/>
    <x v="1"/>
    <x v="2"/>
    <x v="394"/>
    <x v="394"/>
    <x v="394"/>
    <x v="394"/>
  </r>
  <r>
    <x v="395"/>
    <x v="395"/>
    <x v="1"/>
    <x v="2"/>
    <x v="6"/>
    <x v="395"/>
    <x v="382"/>
    <x v="395"/>
    <x v="13"/>
    <x v="13"/>
    <x v="89"/>
    <x v="391"/>
    <x v="8"/>
    <x v="311"/>
    <x v="3"/>
    <x v="3"/>
    <x v="1"/>
    <x v="0"/>
    <x v="1"/>
    <x v="1"/>
    <x v="395"/>
    <x v="395"/>
    <x v="395"/>
    <x v="395"/>
  </r>
  <r>
    <x v="396"/>
    <x v="396"/>
    <x v="0"/>
    <x v="15"/>
    <x v="0"/>
    <x v="396"/>
    <x v="383"/>
    <x v="396"/>
    <x v="7"/>
    <x v="41"/>
    <x v="102"/>
    <x v="392"/>
    <x v="14"/>
    <x v="98"/>
    <x v="1"/>
    <x v="3"/>
    <x v="0"/>
    <x v="3"/>
    <x v="1"/>
    <x v="2"/>
    <x v="396"/>
    <x v="396"/>
    <x v="396"/>
    <x v="396"/>
  </r>
  <r>
    <x v="397"/>
    <x v="397"/>
    <x v="0"/>
    <x v="0"/>
    <x v="4"/>
    <x v="397"/>
    <x v="384"/>
    <x v="397"/>
    <x v="8"/>
    <x v="41"/>
    <x v="259"/>
    <x v="393"/>
    <x v="20"/>
    <x v="312"/>
    <x v="0"/>
    <x v="0"/>
    <x v="2"/>
    <x v="2"/>
    <x v="0"/>
    <x v="0"/>
    <x v="397"/>
    <x v="397"/>
    <x v="397"/>
    <x v="397"/>
  </r>
  <r>
    <x v="398"/>
    <x v="398"/>
    <x v="3"/>
    <x v="5"/>
    <x v="2"/>
    <x v="398"/>
    <x v="62"/>
    <x v="398"/>
    <x v="20"/>
    <x v="90"/>
    <x v="260"/>
    <x v="394"/>
    <x v="6"/>
    <x v="6"/>
    <x v="3"/>
    <x v="1"/>
    <x v="1"/>
    <x v="1"/>
    <x v="1"/>
    <x v="3"/>
    <x v="398"/>
    <x v="398"/>
    <x v="398"/>
    <x v="398"/>
  </r>
  <r>
    <x v="399"/>
    <x v="399"/>
    <x v="4"/>
    <x v="6"/>
    <x v="4"/>
    <x v="399"/>
    <x v="385"/>
    <x v="399"/>
    <x v="10"/>
    <x v="3"/>
    <x v="261"/>
    <x v="395"/>
    <x v="25"/>
    <x v="313"/>
    <x v="5"/>
    <x v="0"/>
    <x v="0"/>
    <x v="0"/>
    <x v="1"/>
    <x v="1"/>
    <x v="399"/>
    <x v="399"/>
    <x v="399"/>
    <x v="399"/>
  </r>
  <r>
    <x v="400"/>
    <x v="400"/>
    <x v="4"/>
    <x v="6"/>
    <x v="6"/>
    <x v="400"/>
    <x v="386"/>
    <x v="400"/>
    <x v="20"/>
    <x v="71"/>
    <x v="262"/>
    <x v="396"/>
    <x v="9"/>
    <x v="106"/>
    <x v="2"/>
    <x v="2"/>
    <x v="0"/>
    <x v="2"/>
    <x v="0"/>
    <x v="0"/>
    <x v="400"/>
    <x v="400"/>
    <x v="400"/>
    <x v="400"/>
  </r>
  <r>
    <x v="267"/>
    <x v="401"/>
    <x v="3"/>
    <x v="13"/>
    <x v="7"/>
    <x v="401"/>
    <x v="387"/>
    <x v="401"/>
    <x v="22"/>
    <x v="17"/>
    <x v="106"/>
    <x v="397"/>
    <x v="25"/>
    <x v="314"/>
    <x v="0"/>
    <x v="0"/>
    <x v="2"/>
    <x v="3"/>
    <x v="1"/>
    <x v="2"/>
    <x v="401"/>
    <x v="401"/>
    <x v="401"/>
    <x v="401"/>
  </r>
  <r>
    <x v="401"/>
    <x v="402"/>
    <x v="0"/>
    <x v="0"/>
    <x v="10"/>
    <x v="402"/>
    <x v="388"/>
    <x v="402"/>
    <x v="9"/>
    <x v="6"/>
    <x v="29"/>
    <x v="398"/>
    <x v="22"/>
    <x v="315"/>
    <x v="5"/>
    <x v="0"/>
    <x v="2"/>
    <x v="0"/>
    <x v="1"/>
    <x v="1"/>
    <x v="402"/>
    <x v="402"/>
    <x v="402"/>
    <x v="402"/>
  </r>
  <r>
    <x v="402"/>
    <x v="403"/>
    <x v="0"/>
    <x v="15"/>
    <x v="2"/>
    <x v="403"/>
    <x v="389"/>
    <x v="403"/>
    <x v="4"/>
    <x v="39"/>
    <x v="263"/>
    <x v="399"/>
    <x v="12"/>
    <x v="23"/>
    <x v="1"/>
    <x v="0"/>
    <x v="1"/>
    <x v="1"/>
    <x v="1"/>
    <x v="2"/>
    <x v="403"/>
    <x v="403"/>
    <x v="403"/>
    <x v="403"/>
  </r>
  <r>
    <x v="403"/>
    <x v="404"/>
    <x v="4"/>
    <x v="11"/>
    <x v="3"/>
    <x v="404"/>
    <x v="390"/>
    <x v="404"/>
    <x v="13"/>
    <x v="25"/>
    <x v="166"/>
    <x v="400"/>
    <x v="11"/>
    <x v="316"/>
    <x v="2"/>
    <x v="4"/>
    <x v="0"/>
    <x v="0"/>
    <x v="1"/>
    <x v="2"/>
    <x v="404"/>
    <x v="404"/>
    <x v="404"/>
    <x v="404"/>
  </r>
  <r>
    <x v="404"/>
    <x v="405"/>
    <x v="2"/>
    <x v="3"/>
    <x v="2"/>
    <x v="405"/>
    <x v="391"/>
    <x v="405"/>
    <x v="19"/>
    <x v="5"/>
    <x v="219"/>
    <x v="401"/>
    <x v="18"/>
    <x v="158"/>
    <x v="4"/>
    <x v="4"/>
    <x v="0"/>
    <x v="1"/>
    <x v="0"/>
    <x v="0"/>
    <x v="405"/>
    <x v="405"/>
    <x v="405"/>
    <x v="405"/>
  </r>
  <r>
    <x v="405"/>
    <x v="406"/>
    <x v="3"/>
    <x v="4"/>
    <x v="0"/>
    <x v="406"/>
    <x v="392"/>
    <x v="406"/>
    <x v="9"/>
    <x v="18"/>
    <x v="264"/>
    <x v="402"/>
    <x v="11"/>
    <x v="239"/>
    <x v="4"/>
    <x v="3"/>
    <x v="0"/>
    <x v="2"/>
    <x v="1"/>
    <x v="2"/>
    <x v="406"/>
    <x v="406"/>
    <x v="406"/>
    <x v="406"/>
  </r>
  <r>
    <x v="406"/>
    <x v="407"/>
    <x v="3"/>
    <x v="5"/>
    <x v="8"/>
    <x v="407"/>
    <x v="393"/>
    <x v="407"/>
    <x v="2"/>
    <x v="11"/>
    <x v="265"/>
    <x v="403"/>
    <x v="24"/>
    <x v="231"/>
    <x v="3"/>
    <x v="2"/>
    <x v="1"/>
    <x v="2"/>
    <x v="0"/>
    <x v="0"/>
    <x v="407"/>
    <x v="407"/>
    <x v="407"/>
    <x v="407"/>
  </r>
  <r>
    <x v="407"/>
    <x v="408"/>
    <x v="1"/>
    <x v="2"/>
    <x v="8"/>
    <x v="408"/>
    <x v="373"/>
    <x v="408"/>
    <x v="0"/>
    <x v="28"/>
    <x v="39"/>
    <x v="404"/>
    <x v="1"/>
    <x v="317"/>
    <x v="4"/>
    <x v="0"/>
    <x v="1"/>
    <x v="2"/>
    <x v="1"/>
    <x v="1"/>
    <x v="408"/>
    <x v="408"/>
    <x v="408"/>
    <x v="408"/>
  </r>
  <r>
    <x v="408"/>
    <x v="409"/>
    <x v="3"/>
    <x v="13"/>
    <x v="2"/>
    <x v="409"/>
    <x v="394"/>
    <x v="409"/>
    <x v="3"/>
    <x v="55"/>
    <x v="28"/>
    <x v="190"/>
    <x v="1"/>
    <x v="188"/>
    <x v="1"/>
    <x v="2"/>
    <x v="2"/>
    <x v="0"/>
    <x v="1"/>
    <x v="2"/>
    <x v="409"/>
    <x v="409"/>
    <x v="409"/>
    <x v="409"/>
  </r>
  <r>
    <x v="409"/>
    <x v="410"/>
    <x v="1"/>
    <x v="8"/>
    <x v="3"/>
    <x v="410"/>
    <x v="395"/>
    <x v="410"/>
    <x v="9"/>
    <x v="19"/>
    <x v="266"/>
    <x v="405"/>
    <x v="7"/>
    <x v="318"/>
    <x v="3"/>
    <x v="1"/>
    <x v="0"/>
    <x v="3"/>
    <x v="1"/>
    <x v="2"/>
    <x v="410"/>
    <x v="410"/>
    <x v="410"/>
    <x v="410"/>
  </r>
  <r>
    <x v="410"/>
    <x v="411"/>
    <x v="3"/>
    <x v="13"/>
    <x v="1"/>
    <x v="411"/>
    <x v="396"/>
    <x v="411"/>
    <x v="3"/>
    <x v="42"/>
    <x v="267"/>
    <x v="406"/>
    <x v="3"/>
    <x v="283"/>
    <x v="3"/>
    <x v="3"/>
    <x v="0"/>
    <x v="3"/>
    <x v="1"/>
    <x v="3"/>
    <x v="411"/>
    <x v="411"/>
    <x v="411"/>
    <x v="411"/>
  </r>
  <r>
    <x v="411"/>
    <x v="412"/>
    <x v="3"/>
    <x v="4"/>
    <x v="6"/>
    <x v="412"/>
    <x v="397"/>
    <x v="412"/>
    <x v="11"/>
    <x v="10"/>
    <x v="92"/>
    <x v="407"/>
    <x v="14"/>
    <x v="319"/>
    <x v="4"/>
    <x v="1"/>
    <x v="2"/>
    <x v="0"/>
    <x v="1"/>
    <x v="3"/>
    <x v="412"/>
    <x v="412"/>
    <x v="412"/>
    <x v="412"/>
  </r>
  <r>
    <x v="412"/>
    <x v="413"/>
    <x v="2"/>
    <x v="3"/>
    <x v="4"/>
    <x v="413"/>
    <x v="398"/>
    <x v="413"/>
    <x v="11"/>
    <x v="33"/>
    <x v="268"/>
    <x v="408"/>
    <x v="5"/>
    <x v="320"/>
    <x v="1"/>
    <x v="3"/>
    <x v="1"/>
    <x v="3"/>
    <x v="1"/>
    <x v="2"/>
    <x v="413"/>
    <x v="413"/>
    <x v="413"/>
    <x v="413"/>
  </r>
  <r>
    <x v="413"/>
    <x v="414"/>
    <x v="2"/>
    <x v="3"/>
    <x v="7"/>
    <x v="414"/>
    <x v="399"/>
    <x v="414"/>
    <x v="20"/>
    <x v="81"/>
    <x v="132"/>
    <x v="409"/>
    <x v="21"/>
    <x v="321"/>
    <x v="0"/>
    <x v="4"/>
    <x v="1"/>
    <x v="2"/>
    <x v="1"/>
    <x v="3"/>
    <x v="414"/>
    <x v="414"/>
    <x v="414"/>
    <x v="414"/>
  </r>
  <r>
    <x v="414"/>
    <x v="415"/>
    <x v="3"/>
    <x v="4"/>
    <x v="4"/>
    <x v="415"/>
    <x v="400"/>
    <x v="415"/>
    <x v="4"/>
    <x v="8"/>
    <x v="85"/>
    <x v="410"/>
    <x v="16"/>
    <x v="322"/>
    <x v="2"/>
    <x v="1"/>
    <x v="1"/>
    <x v="2"/>
    <x v="1"/>
    <x v="1"/>
    <x v="415"/>
    <x v="415"/>
    <x v="415"/>
    <x v="415"/>
  </r>
  <r>
    <x v="415"/>
    <x v="416"/>
    <x v="4"/>
    <x v="11"/>
    <x v="7"/>
    <x v="416"/>
    <x v="401"/>
    <x v="416"/>
    <x v="7"/>
    <x v="18"/>
    <x v="235"/>
    <x v="411"/>
    <x v="24"/>
    <x v="269"/>
    <x v="3"/>
    <x v="2"/>
    <x v="1"/>
    <x v="2"/>
    <x v="1"/>
    <x v="1"/>
    <x v="416"/>
    <x v="416"/>
    <x v="416"/>
    <x v="416"/>
  </r>
  <r>
    <x v="416"/>
    <x v="417"/>
    <x v="2"/>
    <x v="14"/>
    <x v="10"/>
    <x v="417"/>
    <x v="402"/>
    <x v="417"/>
    <x v="6"/>
    <x v="1"/>
    <x v="269"/>
    <x v="412"/>
    <x v="19"/>
    <x v="323"/>
    <x v="2"/>
    <x v="2"/>
    <x v="2"/>
    <x v="3"/>
    <x v="1"/>
    <x v="1"/>
    <x v="417"/>
    <x v="417"/>
    <x v="417"/>
    <x v="417"/>
  </r>
  <r>
    <x v="417"/>
    <x v="418"/>
    <x v="4"/>
    <x v="11"/>
    <x v="7"/>
    <x v="418"/>
    <x v="403"/>
    <x v="418"/>
    <x v="3"/>
    <x v="72"/>
    <x v="270"/>
    <x v="413"/>
    <x v="13"/>
    <x v="324"/>
    <x v="4"/>
    <x v="1"/>
    <x v="1"/>
    <x v="0"/>
    <x v="1"/>
    <x v="2"/>
    <x v="418"/>
    <x v="418"/>
    <x v="418"/>
    <x v="418"/>
  </r>
  <r>
    <x v="418"/>
    <x v="419"/>
    <x v="1"/>
    <x v="2"/>
    <x v="5"/>
    <x v="419"/>
    <x v="379"/>
    <x v="419"/>
    <x v="8"/>
    <x v="8"/>
    <x v="79"/>
    <x v="414"/>
    <x v="16"/>
    <x v="325"/>
    <x v="3"/>
    <x v="0"/>
    <x v="2"/>
    <x v="2"/>
    <x v="1"/>
    <x v="2"/>
    <x v="419"/>
    <x v="419"/>
    <x v="419"/>
    <x v="419"/>
  </r>
  <r>
    <x v="419"/>
    <x v="420"/>
    <x v="1"/>
    <x v="2"/>
    <x v="3"/>
    <x v="420"/>
    <x v="404"/>
    <x v="420"/>
    <x v="17"/>
    <x v="6"/>
    <x v="182"/>
    <x v="415"/>
    <x v="12"/>
    <x v="128"/>
    <x v="4"/>
    <x v="1"/>
    <x v="1"/>
    <x v="0"/>
    <x v="1"/>
    <x v="1"/>
    <x v="420"/>
    <x v="420"/>
    <x v="420"/>
    <x v="420"/>
  </r>
  <r>
    <x v="420"/>
    <x v="421"/>
    <x v="2"/>
    <x v="3"/>
    <x v="5"/>
    <x v="421"/>
    <x v="405"/>
    <x v="421"/>
    <x v="2"/>
    <x v="8"/>
    <x v="65"/>
    <x v="416"/>
    <x v="15"/>
    <x v="326"/>
    <x v="5"/>
    <x v="2"/>
    <x v="1"/>
    <x v="0"/>
    <x v="0"/>
    <x v="0"/>
    <x v="421"/>
    <x v="421"/>
    <x v="421"/>
    <x v="421"/>
  </r>
  <r>
    <x v="421"/>
    <x v="422"/>
    <x v="3"/>
    <x v="13"/>
    <x v="8"/>
    <x v="422"/>
    <x v="406"/>
    <x v="422"/>
    <x v="1"/>
    <x v="11"/>
    <x v="271"/>
    <x v="417"/>
    <x v="0"/>
    <x v="37"/>
    <x v="1"/>
    <x v="1"/>
    <x v="2"/>
    <x v="0"/>
    <x v="1"/>
    <x v="2"/>
    <x v="422"/>
    <x v="422"/>
    <x v="422"/>
    <x v="422"/>
  </r>
  <r>
    <x v="422"/>
    <x v="423"/>
    <x v="1"/>
    <x v="2"/>
    <x v="2"/>
    <x v="423"/>
    <x v="407"/>
    <x v="423"/>
    <x v="4"/>
    <x v="28"/>
    <x v="244"/>
    <x v="418"/>
    <x v="3"/>
    <x v="327"/>
    <x v="3"/>
    <x v="1"/>
    <x v="0"/>
    <x v="1"/>
    <x v="1"/>
    <x v="1"/>
    <x v="423"/>
    <x v="423"/>
    <x v="423"/>
    <x v="423"/>
  </r>
  <r>
    <x v="423"/>
    <x v="424"/>
    <x v="1"/>
    <x v="2"/>
    <x v="9"/>
    <x v="424"/>
    <x v="408"/>
    <x v="424"/>
    <x v="1"/>
    <x v="91"/>
    <x v="272"/>
    <x v="419"/>
    <x v="13"/>
    <x v="328"/>
    <x v="2"/>
    <x v="4"/>
    <x v="2"/>
    <x v="1"/>
    <x v="1"/>
    <x v="2"/>
    <x v="424"/>
    <x v="424"/>
    <x v="424"/>
    <x v="424"/>
  </r>
  <r>
    <x v="424"/>
    <x v="425"/>
    <x v="2"/>
    <x v="3"/>
    <x v="4"/>
    <x v="425"/>
    <x v="409"/>
    <x v="425"/>
    <x v="1"/>
    <x v="31"/>
    <x v="273"/>
    <x v="420"/>
    <x v="19"/>
    <x v="329"/>
    <x v="3"/>
    <x v="1"/>
    <x v="0"/>
    <x v="3"/>
    <x v="1"/>
    <x v="3"/>
    <x v="425"/>
    <x v="425"/>
    <x v="425"/>
    <x v="425"/>
  </r>
  <r>
    <x v="425"/>
    <x v="426"/>
    <x v="0"/>
    <x v="0"/>
    <x v="0"/>
    <x v="426"/>
    <x v="410"/>
    <x v="426"/>
    <x v="6"/>
    <x v="28"/>
    <x v="274"/>
    <x v="421"/>
    <x v="7"/>
    <x v="330"/>
    <x v="3"/>
    <x v="1"/>
    <x v="2"/>
    <x v="2"/>
    <x v="1"/>
    <x v="1"/>
    <x v="426"/>
    <x v="426"/>
    <x v="426"/>
    <x v="426"/>
  </r>
  <r>
    <x v="426"/>
    <x v="427"/>
    <x v="0"/>
    <x v="0"/>
    <x v="6"/>
    <x v="427"/>
    <x v="411"/>
    <x v="427"/>
    <x v="13"/>
    <x v="6"/>
    <x v="197"/>
    <x v="422"/>
    <x v="9"/>
    <x v="122"/>
    <x v="1"/>
    <x v="1"/>
    <x v="2"/>
    <x v="0"/>
    <x v="1"/>
    <x v="3"/>
    <x v="427"/>
    <x v="427"/>
    <x v="427"/>
    <x v="427"/>
  </r>
  <r>
    <x v="427"/>
    <x v="428"/>
    <x v="0"/>
    <x v="0"/>
    <x v="6"/>
    <x v="428"/>
    <x v="412"/>
    <x v="428"/>
    <x v="8"/>
    <x v="14"/>
    <x v="275"/>
    <x v="423"/>
    <x v="8"/>
    <x v="331"/>
    <x v="4"/>
    <x v="3"/>
    <x v="0"/>
    <x v="2"/>
    <x v="1"/>
    <x v="2"/>
    <x v="428"/>
    <x v="428"/>
    <x v="428"/>
    <x v="428"/>
  </r>
  <r>
    <x v="428"/>
    <x v="429"/>
    <x v="0"/>
    <x v="15"/>
    <x v="9"/>
    <x v="429"/>
    <x v="413"/>
    <x v="429"/>
    <x v="2"/>
    <x v="10"/>
    <x v="18"/>
    <x v="424"/>
    <x v="10"/>
    <x v="54"/>
    <x v="1"/>
    <x v="3"/>
    <x v="2"/>
    <x v="3"/>
    <x v="1"/>
    <x v="2"/>
    <x v="429"/>
    <x v="429"/>
    <x v="429"/>
    <x v="429"/>
  </r>
  <r>
    <x v="429"/>
    <x v="430"/>
    <x v="2"/>
    <x v="3"/>
    <x v="8"/>
    <x v="430"/>
    <x v="414"/>
    <x v="430"/>
    <x v="13"/>
    <x v="15"/>
    <x v="26"/>
    <x v="425"/>
    <x v="21"/>
    <x v="270"/>
    <x v="5"/>
    <x v="3"/>
    <x v="1"/>
    <x v="0"/>
    <x v="1"/>
    <x v="1"/>
    <x v="430"/>
    <x v="430"/>
    <x v="430"/>
    <x v="430"/>
  </r>
  <r>
    <x v="430"/>
    <x v="431"/>
    <x v="1"/>
    <x v="1"/>
    <x v="3"/>
    <x v="431"/>
    <x v="415"/>
    <x v="431"/>
    <x v="8"/>
    <x v="80"/>
    <x v="276"/>
    <x v="426"/>
    <x v="8"/>
    <x v="203"/>
    <x v="5"/>
    <x v="4"/>
    <x v="0"/>
    <x v="0"/>
    <x v="1"/>
    <x v="2"/>
    <x v="431"/>
    <x v="431"/>
    <x v="431"/>
    <x v="431"/>
  </r>
  <r>
    <x v="431"/>
    <x v="432"/>
    <x v="4"/>
    <x v="7"/>
    <x v="11"/>
    <x v="432"/>
    <x v="416"/>
    <x v="432"/>
    <x v="16"/>
    <x v="27"/>
    <x v="198"/>
    <x v="427"/>
    <x v="6"/>
    <x v="332"/>
    <x v="1"/>
    <x v="1"/>
    <x v="2"/>
    <x v="2"/>
    <x v="1"/>
    <x v="3"/>
    <x v="432"/>
    <x v="432"/>
    <x v="432"/>
    <x v="432"/>
  </r>
  <r>
    <x v="432"/>
    <x v="433"/>
    <x v="1"/>
    <x v="8"/>
    <x v="3"/>
    <x v="433"/>
    <x v="417"/>
    <x v="433"/>
    <x v="2"/>
    <x v="16"/>
    <x v="277"/>
    <x v="428"/>
    <x v="25"/>
    <x v="333"/>
    <x v="2"/>
    <x v="2"/>
    <x v="0"/>
    <x v="0"/>
    <x v="1"/>
    <x v="1"/>
    <x v="433"/>
    <x v="433"/>
    <x v="433"/>
    <x v="433"/>
  </r>
  <r>
    <x v="433"/>
    <x v="434"/>
    <x v="4"/>
    <x v="7"/>
    <x v="9"/>
    <x v="434"/>
    <x v="418"/>
    <x v="434"/>
    <x v="8"/>
    <x v="92"/>
    <x v="63"/>
    <x v="429"/>
    <x v="17"/>
    <x v="0"/>
    <x v="1"/>
    <x v="4"/>
    <x v="1"/>
    <x v="1"/>
    <x v="1"/>
    <x v="2"/>
    <x v="434"/>
    <x v="434"/>
    <x v="434"/>
    <x v="434"/>
  </r>
  <r>
    <x v="434"/>
    <x v="435"/>
    <x v="2"/>
    <x v="3"/>
    <x v="6"/>
    <x v="435"/>
    <x v="419"/>
    <x v="435"/>
    <x v="16"/>
    <x v="1"/>
    <x v="278"/>
    <x v="430"/>
    <x v="9"/>
    <x v="334"/>
    <x v="5"/>
    <x v="1"/>
    <x v="2"/>
    <x v="2"/>
    <x v="0"/>
    <x v="0"/>
    <x v="435"/>
    <x v="435"/>
    <x v="435"/>
    <x v="435"/>
  </r>
  <r>
    <x v="435"/>
    <x v="436"/>
    <x v="0"/>
    <x v="9"/>
    <x v="10"/>
    <x v="436"/>
    <x v="420"/>
    <x v="436"/>
    <x v="1"/>
    <x v="20"/>
    <x v="279"/>
    <x v="431"/>
    <x v="14"/>
    <x v="242"/>
    <x v="1"/>
    <x v="4"/>
    <x v="2"/>
    <x v="3"/>
    <x v="1"/>
    <x v="3"/>
    <x v="436"/>
    <x v="436"/>
    <x v="436"/>
    <x v="436"/>
  </r>
  <r>
    <x v="436"/>
    <x v="437"/>
    <x v="2"/>
    <x v="3"/>
    <x v="9"/>
    <x v="437"/>
    <x v="421"/>
    <x v="437"/>
    <x v="15"/>
    <x v="48"/>
    <x v="280"/>
    <x v="432"/>
    <x v="19"/>
    <x v="10"/>
    <x v="4"/>
    <x v="1"/>
    <x v="2"/>
    <x v="3"/>
    <x v="1"/>
    <x v="3"/>
    <x v="437"/>
    <x v="437"/>
    <x v="437"/>
    <x v="437"/>
  </r>
  <r>
    <x v="437"/>
    <x v="438"/>
    <x v="1"/>
    <x v="8"/>
    <x v="1"/>
    <x v="438"/>
    <x v="422"/>
    <x v="438"/>
    <x v="15"/>
    <x v="17"/>
    <x v="60"/>
    <x v="433"/>
    <x v="0"/>
    <x v="335"/>
    <x v="5"/>
    <x v="1"/>
    <x v="0"/>
    <x v="1"/>
    <x v="1"/>
    <x v="2"/>
    <x v="438"/>
    <x v="438"/>
    <x v="438"/>
    <x v="438"/>
  </r>
  <r>
    <x v="438"/>
    <x v="439"/>
    <x v="2"/>
    <x v="3"/>
    <x v="9"/>
    <x v="439"/>
    <x v="423"/>
    <x v="439"/>
    <x v="4"/>
    <x v="28"/>
    <x v="254"/>
    <x v="434"/>
    <x v="7"/>
    <x v="291"/>
    <x v="1"/>
    <x v="1"/>
    <x v="2"/>
    <x v="3"/>
    <x v="1"/>
    <x v="2"/>
    <x v="439"/>
    <x v="439"/>
    <x v="439"/>
    <x v="439"/>
  </r>
  <r>
    <x v="439"/>
    <x v="440"/>
    <x v="3"/>
    <x v="4"/>
    <x v="11"/>
    <x v="440"/>
    <x v="424"/>
    <x v="440"/>
    <x v="14"/>
    <x v="17"/>
    <x v="39"/>
    <x v="435"/>
    <x v="14"/>
    <x v="31"/>
    <x v="2"/>
    <x v="1"/>
    <x v="2"/>
    <x v="2"/>
    <x v="1"/>
    <x v="2"/>
    <x v="440"/>
    <x v="440"/>
    <x v="440"/>
    <x v="440"/>
  </r>
  <r>
    <x v="440"/>
    <x v="441"/>
    <x v="3"/>
    <x v="4"/>
    <x v="10"/>
    <x v="441"/>
    <x v="425"/>
    <x v="441"/>
    <x v="3"/>
    <x v="93"/>
    <x v="198"/>
    <x v="436"/>
    <x v="16"/>
    <x v="44"/>
    <x v="1"/>
    <x v="0"/>
    <x v="2"/>
    <x v="1"/>
    <x v="0"/>
    <x v="0"/>
    <x v="441"/>
    <x v="441"/>
    <x v="441"/>
    <x v="441"/>
  </r>
  <r>
    <x v="441"/>
    <x v="442"/>
    <x v="2"/>
    <x v="10"/>
    <x v="2"/>
    <x v="442"/>
    <x v="426"/>
    <x v="442"/>
    <x v="7"/>
    <x v="11"/>
    <x v="281"/>
    <x v="437"/>
    <x v="17"/>
    <x v="264"/>
    <x v="0"/>
    <x v="2"/>
    <x v="1"/>
    <x v="3"/>
    <x v="1"/>
    <x v="3"/>
    <x v="442"/>
    <x v="442"/>
    <x v="442"/>
    <x v="442"/>
  </r>
  <r>
    <x v="442"/>
    <x v="443"/>
    <x v="3"/>
    <x v="5"/>
    <x v="7"/>
    <x v="443"/>
    <x v="427"/>
    <x v="443"/>
    <x v="17"/>
    <x v="7"/>
    <x v="19"/>
    <x v="438"/>
    <x v="25"/>
    <x v="321"/>
    <x v="5"/>
    <x v="1"/>
    <x v="2"/>
    <x v="3"/>
    <x v="1"/>
    <x v="2"/>
    <x v="443"/>
    <x v="443"/>
    <x v="443"/>
    <x v="443"/>
  </r>
  <r>
    <x v="443"/>
    <x v="444"/>
    <x v="1"/>
    <x v="8"/>
    <x v="6"/>
    <x v="444"/>
    <x v="428"/>
    <x v="444"/>
    <x v="19"/>
    <x v="3"/>
    <x v="282"/>
    <x v="439"/>
    <x v="11"/>
    <x v="84"/>
    <x v="1"/>
    <x v="4"/>
    <x v="0"/>
    <x v="3"/>
    <x v="1"/>
    <x v="2"/>
    <x v="444"/>
    <x v="444"/>
    <x v="444"/>
    <x v="444"/>
  </r>
  <r>
    <x v="444"/>
    <x v="445"/>
    <x v="2"/>
    <x v="14"/>
    <x v="6"/>
    <x v="445"/>
    <x v="429"/>
    <x v="445"/>
    <x v="14"/>
    <x v="38"/>
    <x v="283"/>
    <x v="440"/>
    <x v="22"/>
    <x v="6"/>
    <x v="3"/>
    <x v="2"/>
    <x v="0"/>
    <x v="2"/>
    <x v="1"/>
    <x v="2"/>
    <x v="445"/>
    <x v="445"/>
    <x v="445"/>
    <x v="445"/>
  </r>
  <r>
    <x v="445"/>
    <x v="446"/>
    <x v="2"/>
    <x v="3"/>
    <x v="3"/>
    <x v="446"/>
    <x v="430"/>
    <x v="446"/>
    <x v="0"/>
    <x v="94"/>
    <x v="60"/>
    <x v="441"/>
    <x v="16"/>
    <x v="104"/>
    <x v="5"/>
    <x v="3"/>
    <x v="2"/>
    <x v="3"/>
    <x v="1"/>
    <x v="3"/>
    <x v="446"/>
    <x v="446"/>
    <x v="446"/>
    <x v="446"/>
  </r>
  <r>
    <x v="446"/>
    <x v="447"/>
    <x v="4"/>
    <x v="7"/>
    <x v="3"/>
    <x v="447"/>
    <x v="431"/>
    <x v="447"/>
    <x v="0"/>
    <x v="86"/>
    <x v="189"/>
    <x v="442"/>
    <x v="6"/>
    <x v="336"/>
    <x v="3"/>
    <x v="2"/>
    <x v="0"/>
    <x v="1"/>
    <x v="1"/>
    <x v="3"/>
    <x v="447"/>
    <x v="447"/>
    <x v="447"/>
    <x v="447"/>
  </r>
  <r>
    <x v="447"/>
    <x v="448"/>
    <x v="4"/>
    <x v="6"/>
    <x v="0"/>
    <x v="448"/>
    <x v="432"/>
    <x v="448"/>
    <x v="9"/>
    <x v="3"/>
    <x v="284"/>
    <x v="443"/>
    <x v="2"/>
    <x v="276"/>
    <x v="0"/>
    <x v="0"/>
    <x v="0"/>
    <x v="1"/>
    <x v="1"/>
    <x v="2"/>
    <x v="448"/>
    <x v="448"/>
    <x v="448"/>
    <x v="448"/>
  </r>
  <r>
    <x v="448"/>
    <x v="449"/>
    <x v="1"/>
    <x v="8"/>
    <x v="8"/>
    <x v="449"/>
    <x v="44"/>
    <x v="449"/>
    <x v="5"/>
    <x v="40"/>
    <x v="222"/>
    <x v="444"/>
    <x v="19"/>
    <x v="102"/>
    <x v="2"/>
    <x v="0"/>
    <x v="0"/>
    <x v="3"/>
    <x v="1"/>
    <x v="2"/>
    <x v="449"/>
    <x v="449"/>
    <x v="449"/>
    <x v="449"/>
  </r>
  <r>
    <x v="449"/>
    <x v="450"/>
    <x v="1"/>
    <x v="8"/>
    <x v="0"/>
    <x v="450"/>
    <x v="433"/>
    <x v="450"/>
    <x v="20"/>
    <x v="23"/>
    <x v="285"/>
    <x v="445"/>
    <x v="6"/>
    <x v="242"/>
    <x v="4"/>
    <x v="4"/>
    <x v="1"/>
    <x v="0"/>
    <x v="1"/>
    <x v="3"/>
    <x v="450"/>
    <x v="450"/>
    <x v="450"/>
    <x v="450"/>
  </r>
  <r>
    <x v="450"/>
    <x v="451"/>
    <x v="2"/>
    <x v="10"/>
    <x v="1"/>
    <x v="451"/>
    <x v="434"/>
    <x v="451"/>
    <x v="12"/>
    <x v="20"/>
    <x v="51"/>
    <x v="446"/>
    <x v="20"/>
    <x v="337"/>
    <x v="3"/>
    <x v="1"/>
    <x v="2"/>
    <x v="2"/>
    <x v="1"/>
    <x v="3"/>
    <x v="451"/>
    <x v="451"/>
    <x v="451"/>
    <x v="451"/>
  </r>
  <r>
    <x v="451"/>
    <x v="452"/>
    <x v="0"/>
    <x v="15"/>
    <x v="4"/>
    <x v="452"/>
    <x v="435"/>
    <x v="452"/>
    <x v="4"/>
    <x v="28"/>
    <x v="109"/>
    <x v="447"/>
    <x v="24"/>
    <x v="74"/>
    <x v="0"/>
    <x v="2"/>
    <x v="1"/>
    <x v="1"/>
    <x v="1"/>
    <x v="2"/>
    <x v="452"/>
    <x v="452"/>
    <x v="452"/>
    <x v="452"/>
  </r>
  <r>
    <x v="452"/>
    <x v="453"/>
    <x v="1"/>
    <x v="1"/>
    <x v="4"/>
    <x v="453"/>
    <x v="436"/>
    <x v="453"/>
    <x v="11"/>
    <x v="42"/>
    <x v="286"/>
    <x v="448"/>
    <x v="22"/>
    <x v="338"/>
    <x v="0"/>
    <x v="2"/>
    <x v="2"/>
    <x v="3"/>
    <x v="1"/>
    <x v="1"/>
    <x v="453"/>
    <x v="453"/>
    <x v="453"/>
    <x v="453"/>
  </r>
  <r>
    <x v="453"/>
    <x v="454"/>
    <x v="3"/>
    <x v="4"/>
    <x v="1"/>
    <x v="454"/>
    <x v="437"/>
    <x v="454"/>
    <x v="7"/>
    <x v="69"/>
    <x v="287"/>
    <x v="388"/>
    <x v="21"/>
    <x v="339"/>
    <x v="1"/>
    <x v="1"/>
    <x v="1"/>
    <x v="2"/>
    <x v="1"/>
    <x v="2"/>
    <x v="454"/>
    <x v="454"/>
    <x v="454"/>
    <x v="454"/>
  </r>
  <r>
    <x v="454"/>
    <x v="455"/>
    <x v="1"/>
    <x v="8"/>
    <x v="3"/>
    <x v="455"/>
    <x v="438"/>
    <x v="455"/>
    <x v="20"/>
    <x v="81"/>
    <x v="288"/>
    <x v="449"/>
    <x v="25"/>
    <x v="178"/>
    <x v="1"/>
    <x v="3"/>
    <x v="1"/>
    <x v="0"/>
    <x v="1"/>
    <x v="3"/>
    <x v="455"/>
    <x v="455"/>
    <x v="455"/>
    <x v="455"/>
  </r>
  <r>
    <x v="455"/>
    <x v="456"/>
    <x v="4"/>
    <x v="6"/>
    <x v="10"/>
    <x v="456"/>
    <x v="439"/>
    <x v="456"/>
    <x v="20"/>
    <x v="19"/>
    <x v="62"/>
    <x v="450"/>
    <x v="1"/>
    <x v="340"/>
    <x v="1"/>
    <x v="1"/>
    <x v="0"/>
    <x v="2"/>
    <x v="1"/>
    <x v="3"/>
    <x v="456"/>
    <x v="456"/>
    <x v="456"/>
    <x v="456"/>
  </r>
  <r>
    <x v="456"/>
    <x v="457"/>
    <x v="4"/>
    <x v="6"/>
    <x v="2"/>
    <x v="457"/>
    <x v="440"/>
    <x v="457"/>
    <x v="15"/>
    <x v="8"/>
    <x v="258"/>
    <x v="451"/>
    <x v="16"/>
    <x v="341"/>
    <x v="3"/>
    <x v="1"/>
    <x v="1"/>
    <x v="1"/>
    <x v="1"/>
    <x v="1"/>
    <x v="457"/>
    <x v="457"/>
    <x v="457"/>
    <x v="457"/>
  </r>
  <r>
    <x v="457"/>
    <x v="458"/>
    <x v="1"/>
    <x v="2"/>
    <x v="8"/>
    <x v="458"/>
    <x v="441"/>
    <x v="458"/>
    <x v="5"/>
    <x v="17"/>
    <x v="289"/>
    <x v="452"/>
    <x v="17"/>
    <x v="212"/>
    <x v="5"/>
    <x v="2"/>
    <x v="0"/>
    <x v="2"/>
    <x v="1"/>
    <x v="3"/>
    <x v="458"/>
    <x v="458"/>
    <x v="458"/>
    <x v="458"/>
  </r>
  <r>
    <x v="458"/>
    <x v="459"/>
    <x v="3"/>
    <x v="4"/>
    <x v="4"/>
    <x v="459"/>
    <x v="442"/>
    <x v="459"/>
    <x v="8"/>
    <x v="6"/>
    <x v="108"/>
    <x v="453"/>
    <x v="25"/>
    <x v="249"/>
    <x v="5"/>
    <x v="3"/>
    <x v="1"/>
    <x v="3"/>
    <x v="1"/>
    <x v="2"/>
    <x v="459"/>
    <x v="459"/>
    <x v="459"/>
    <x v="459"/>
  </r>
  <r>
    <x v="459"/>
    <x v="460"/>
    <x v="1"/>
    <x v="1"/>
    <x v="5"/>
    <x v="460"/>
    <x v="443"/>
    <x v="460"/>
    <x v="7"/>
    <x v="20"/>
    <x v="172"/>
    <x v="454"/>
    <x v="9"/>
    <x v="342"/>
    <x v="2"/>
    <x v="0"/>
    <x v="2"/>
    <x v="2"/>
    <x v="1"/>
    <x v="1"/>
    <x v="460"/>
    <x v="460"/>
    <x v="460"/>
    <x v="460"/>
  </r>
  <r>
    <x v="460"/>
    <x v="461"/>
    <x v="4"/>
    <x v="6"/>
    <x v="10"/>
    <x v="461"/>
    <x v="444"/>
    <x v="461"/>
    <x v="4"/>
    <x v="28"/>
    <x v="94"/>
    <x v="455"/>
    <x v="2"/>
    <x v="343"/>
    <x v="3"/>
    <x v="4"/>
    <x v="0"/>
    <x v="2"/>
    <x v="1"/>
    <x v="1"/>
    <x v="461"/>
    <x v="461"/>
    <x v="461"/>
    <x v="461"/>
  </r>
  <r>
    <x v="461"/>
    <x v="462"/>
    <x v="4"/>
    <x v="6"/>
    <x v="3"/>
    <x v="462"/>
    <x v="445"/>
    <x v="462"/>
    <x v="4"/>
    <x v="45"/>
    <x v="290"/>
    <x v="456"/>
    <x v="23"/>
    <x v="344"/>
    <x v="2"/>
    <x v="2"/>
    <x v="2"/>
    <x v="0"/>
    <x v="0"/>
    <x v="0"/>
    <x v="462"/>
    <x v="462"/>
    <x v="462"/>
    <x v="462"/>
  </r>
  <r>
    <x v="462"/>
    <x v="463"/>
    <x v="2"/>
    <x v="3"/>
    <x v="10"/>
    <x v="463"/>
    <x v="446"/>
    <x v="463"/>
    <x v="7"/>
    <x v="28"/>
    <x v="291"/>
    <x v="457"/>
    <x v="23"/>
    <x v="197"/>
    <x v="0"/>
    <x v="0"/>
    <x v="0"/>
    <x v="3"/>
    <x v="0"/>
    <x v="0"/>
    <x v="463"/>
    <x v="463"/>
    <x v="463"/>
    <x v="463"/>
  </r>
  <r>
    <x v="463"/>
    <x v="464"/>
    <x v="2"/>
    <x v="10"/>
    <x v="2"/>
    <x v="464"/>
    <x v="447"/>
    <x v="464"/>
    <x v="2"/>
    <x v="16"/>
    <x v="292"/>
    <x v="458"/>
    <x v="20"/>
    <x v="345"/>
    <x v="2"/>
    <x v="3"/>
    <x v="1"/>
    <x v="0"/>
    <x v="1"/>
    <x v="2"/>
    <x v="464"/>
    <x v="464"/>
    <x v="464"/>
    <x v="464"/>
  </r>
  <r>
    <x v="464"/>
    <x v="465"/>
    <x v="0"/>
    <x v="9"/>
    <x v="8"/>
    <x v="465"/>
    <x v="448"/>
    <x v="465"/>
    <x v="11"/>
    <x v="4"/>
    <x v="241"/>
    <x v="459"/>
    <x v="2"/>
    <x v="346"/>
    <x v="1"/>
    <x v="3"/>
    <x v="1"/>
    <x v="3"/>
    <x v="1"/>
    <x v="2"/>
    <x v="465"/>
    <x v="465"/>
    <x v="465"/>
    <x v="465"/>
  </r>
  <r>
    <x v="465"/>
    <x v="466"/>
    <x v="0"/>
    <x v="9"/>
    <x v="1"/>
    <x v="466"/>
    <x v="449"/>
    <x v="466"/>
    <x v="15"/>
    <x v="19"/>
    <x v="132"/>
    <x v="460"/>
    <x v="23"/>
    <x v="347"/>
    <x v="3"/>
    <x v="4"/>
    <x v="1"/>
    <x v="0"/>
    <x v="1"/>
    <x v="3"/>
    <x v="466"/>
    <x v="466"/>
    <x v="466"/>
    <x v="466"/>
  </r>
  <r>
    <x v="466"/>
    <x v="467"/>
    <x v="3"/>
    <x v="4"/>
    <x v="5"/>
    <x v="467"/>
    <x v="450"/>
    <x v="467"/>
    <x v="16"/>
    <x v="31"/>
    <x v="293"/>
    <x v="461"/>
    <x v="11"/>
    <x v="120"/>
    <x v="5"/>
    <x v="2"/>
    <x v="2"/>
    <x v="3"/>
    <x v="1"/>
    <x v="1"/>
    <x v="467"/>
    <x v="467"/>
    <x v="467"/>
    <x v="467"/>
  </r>
  <r>
    <x v="467"/>
    <x v="468"/>
    <x v="2"/>
    <x v="3"/>
    <x v="9"/>
    <x v="468"/>
    <x v="451"/>
    <x v="468"/>
    <x v="19"/>
    <x v="95"/>
    <x v="294"/>
    <x v="462"/>
    <x v="9"/>
    <x v="348"/>
    <x v="1"/>
    <x v="1"/>
    <x v="1"/>
    <x v="0"/>
    <x v="1"/>
    <x v="2"/>
    <x v="468"/>
    <x v="468"/>
    <x v="468"/>
    <x v="468"/>
  </r>
  <r>
    <x v="468"/>
    <x v="469"/>
    <x v="1"/>
    <x v="2"/>
    <x v="0"/>
    <x v="469"/>
    <x v="452"/>
    <x v="469"/>
    <x v="2"/>
    <x v="96"/>
    <x v="295"/>
    <x v="463"/>
    <x v="23"/>
    <x v="349"/>
    <x v="4"/>
    <x v="1"/>
    <x v="0"/>
    <x v="2"/>
    <x v="1"/>
    <x v="2"/>
    <x v="469"/>
    <x v="469"/>
    <x v="469"/>
    <x v="469"/>
  </r>
  <r>
    <x v="469"/>
    <x v="470"/>
    <x v="0"/>
    <x v="15"/>
    <x v="11"/>
    <x v="470"/>
    <x v="453"/>
    <x v="470"/>
    <x v="3"/>
    <x v="23"/>
    <x v="206"/>
    <x v="464"/>
    <x v="19"/>
    <x v="60"/>
    <x v="3"/>
    <x v="4"/>
    <x v="1"/>
    <x v="1"/>
    <x v="1"/>
    <x v="3"/>
    <x v="470"/>
    <x v="470"/>
    <x v="470"/>
    <x v="470"/>
  </r>
  <r>
    <x v="470"/>
    <x v="471"/>
    <x v="2"/>
    <x v="14"/>
    <x v="2"/>
    <x v="471"/>
    <x v="454"/>
    <x v="471"/>
    <x v="7"/>
    <x v="31"/>
    <x v="296"/>
    <x v="465"/>
    <x v="25"/>
    <x v="258"/>
    <x v="4"/>
    <x v="3"/>
    <x v="1"/>
    <x v="1"/>
    <x v="1"/>
    <x v="3"/>
    <x v="471"/>
    <x v="471"/>
    <x v="471"/>
    <x v="471"/>
  </r>
  <r>
    <x v="471"/>
    <x v="472"/>
    <x v="0"/>
    <x v="0"/>
    <x v="3"/>
    <x v="472"/>
    <x v="455"/>
    <x v="472"/>
    <x v="1"/>
    <x v="17"/>
    <x v="297"/>
    <x v="466"/>
    <x v="4"/>
    <x v="350"/>
    <x v="2"/>
    <x v="2"/>
    <x v="2"/>
    <x v="1"/>
    <x v="1"/>
    <x v="2"/>
    <x v="472"/>
    <x v="472"/>
    <x v="472"/>
    <x v="472"/>
  </r>
  <r>
    <x v="472"/>
    <x v="473"/>
    <x v="3"/>
    <x v="5"/>
    <x v="7"/>
    <x v="473"/>
    <x v="456"/>
    <x v="473"/>
    <x v="10"/>
    <x v="44"/>
    <x v="298"/>
    <x v="467"/>
    <x v="16"/>
    <x v="205"/>
    <x v="3"/>
    <x v="2"/>
    <x v="0"/>
    <x v="2"/>
    <x v="1"/>
    <x v="3"/>
    <x v="473"/>
    <x v="473"/>
    <x v="473"/>
    <x v="473"/>
  </r>
  <r>
    <x v="473"/>
    <x v="474"/>
    <x v="0"/>
    <x v="9"/>
    <x v="8"/>
    <x v="474"/>
    <x v="457"/>
    <x v="474"/>
    <x v="13"/>
    <x v="31"/>
    <x v="28"/>
    <x v="468"/>
    <x v="19"/>
    <x v="277"/>
    <x v="3"/>
    <x v="2"/>
    <x v="2"/>
    <x v="0"/>
    <x v="1"/>
    <x v="1"/>
    <x v="474"/>
    <x v="474"/>
    <x v="474"/>
    <x v="474"/>
  </r>
  <r>
    <x v="474"/>
    <x v="475"/>
    <x v="0"/>
    <x v="15"/>
    <x v="5"/>
    <x v="475"/>
    <x v="458"/>
    <x v="475"/>
    <x v="18"/>
    <x v="19"/>
    <x v="299"/>
    <x v="469"/>
    <x v="23"/>
    <x v="61"/>
    <x v="3"/>
    <x v="3"/>
    <x v="2"/>
    <x v="1"/>
    <x v="1"/>
    <x v="2"/>
    <x v="475"/>
    <x v="475"/>
    <x v="475"/>
    <x v="475"/>
  </r>
  <r>
    <x v="475"/>
    <x v="455"/>
    <x v="4"/>
    <x v="11"/>
    <x v="2"/>
    <x v="476"/>
    <x v="266"/>
    <x v="476"/>
    <x v="1"/>
    <x v="17"/>
    <x v="50"/>
    <x v="470"/>
    <x v="0"/>
    <x v="194"/>
    <x v="1"/>
    <x v="2"/>
    <x v="2"/>
    <x v="2"/>
    <x v="1"/>
    <x v="2"/>
    <x v="476"/>
    <x v="476"/>
    <x v="476"/>
    <x v="476"/>
  </r>
  <r>
    <x v="476"/>
    <x v="476"/>
    <x v="3"/>
    <x v="4"/>
    <x v="3"/>
    <x v="477"/>
    <x v="459"/>
    <x v="477"/>
    <x v="6"/>
    <x v="75"/>
    <x v="99"/>
    <x v="471"/>
    <x v="24"/>
    <x v="311"/>
    <x v="4"/>
    <x v="3"/>
    <x v="2"/>
    <x v="1"/>
    <x v="1"/>
    <x v="3"/>
    <x v="477"/>
    <x v="477"/>
    <x v="477"/>
    <x v="477"/>
  </r>
  <r>
    <x v="477"/>
    <x v="477"/>
    <x v="3"/>
    <x v="5"/>
    <x v="4"/>
    <x v="478"/>
    <x v="460"/>
    <x v="478"/>
    <x v="3"/>
    <x v="33"/>
    <x v="300"/>
    <x v="352"/>
    <x v="9"/>
    <x v="351"/>
    <x v="2"/>
    <x v="4"/>
    <x v="2"/>
    <x v="3"/>
    <x v="1"/>
    <x v="1"/>
    <x v="478"/>
    <x v="478"/>
    <x v="478"/>
    <x v="478"/>
  </r>
  <r>
    <x v="478"/>
    <x v="478"/>
    <x v="3"/>
    <x v="13"/>
    <x v="11"/>
    <x v="479"/>
    <x v="461"/>
    <x v="479"/>
    <x v="1"/>
    <x v="97"/>
    <x v="301"/>
    <x v="472"/>
    <x v="11"/>
    <x v="198"/>
    <x v="3"/>
    <x v="2"/>
    <x v="2"/>
    <x v="1"/>
    <x v="1"/>
    <x v="2"/>
    <x v="479"/>
    <x v="479"/>
    <x v="479"/>
    <x v="479"/>
  </r>
  <r>
    <x v="479"/>
    <x v="479"/>
    <x v="4"/>
    <x v="7"/>
    <x v="0"/>
    <x v="480"/>
    <x v="462"/>
    <x v="480"/>
    <x v="20"/>
    <x v="3"/>
    <x v="63"/>
    <x v="473"/>
    <x v="3"/>
    <x v="352"/>
    <x v="5"/>
    <x v="1"/>
    <x v="0"/>
    <x v="0"/>
    <x v="1"/>
    <x v="2"/>
    <x v="480"/>
    <x v="480"/>
    <x v="480"/>
    <x v="480"/>
  </r>
  <r>
    <x v="480"/>
    <x v="480"/>
    <x v="1"/>
    <x v="1"/>
    <x v="3"/>
    <x v="481"/>
    <x v="463"/>
    <x v="481"/>
    <x v="10"/>
    <x v="0"/>
    <x v="302"/>
    <x v="474"/>
    <x v="12"/>
    <x v="269"/>
    <x v="2"/>
    <x v="3"/>
    <x v="0"/>
    <x v="3"/>
    <x v="0"/>
    <x v="0"/>
    <x v="481"/>
    <x v="481"/>
    <x v="481"/>
    <x v="481"/>
  </r>
  <r>
    <x v="481"/>
    <x v="481"/>
    <x v="4"/>
    <x v="7"/>
    <x v="7"/>
    <x v="482"/>
    <x v="464"/>
    <x v="482"/>
    <x v="8"/>
    <x v="16"/>
    <x v="162"/>
    <x v="475"/>
    <x v="12"/>
    <x v="220"/>
    <x v="3"/>
    <x v="3"/>
    <x v="1"/>
    <x v="3"/>
    <x v="1"/>
    <x v="2"/>
    <x v="482"/>
    <x v="482"/>
    <x v="482"/>
    <x v="482"/>
  </r>
  <r>
    <x v="482"/>
    <x v="482"/>
    <x v="1"/>
    <x v="2"/>
    <x v="7"/>
    <x v="483"/>
    <x v="235"/>
    <x v="483"/>
    <x v="17"/>
    <x v="98"/>
    <x v="172"/>
    <x v="476"/>
    <x v="19"/>
    <x v="96"/>
    <x v="0"/>
    <x v="0"/>
    <x v="0"/>
    <x v="1"/>
    <x v="1"/>
    <x v="2"/>
    <x v="483"/>
    <x v="483"/>
    <x v="483"/>
    <x v="483"/>
  </r>
  <r>
    <x v="483"/>
    <x v="483"/>
    <x v="4"/>
    <x v="7"/>
    <x v="6"/>
    <x v="484"/>
    <x v="465"/>
    <x v="484"/>
    <x v="3"/>
    <x v="25"/>
    <x v="303"/>
    <x v="477"/>
    <x v="3"/>
    <x v="44"/>
    <x v="1"/>
    <x v="3"/>
    <x v="0"/>
    <x v="3"/>
    <x v="1"/>
    <x v="1"/>
    <x v="484"/>
    <x v="484"/>
    <x v="484"/>
    <x v="484"/>
  </r>
  <r>
    <x v="484"/>
    <x v="484"/>
    <x v="0"/>
    <x v="9"/>
    <x v="11"/>
    <x v="485"/>
    <x v="466"/>
    <x v="485"/>
    <x v="11"/>
    <x v="40"/>
    <x v="304"/>
    <x v="478"/>
    <x v="9"/>
    <x v="353"/>
    <x v="1"/>
    <x v="3"/>
    <x v="1"/>
    <x v="1"/>
    <x v="1"/>
    <x v="2"/>
    <x v="485"/>
    <x v="485"/>
    <x v="485"/>
    <x v="485"/>
  </r>
  <r>
    <x v="485"/>
    <x v="485"/>
    <x v="3"/>
    <x v="13"/>
    <x v="11"/>
    <x v="486"/>
    <x v="467"/>
    <x v="486"/>
    <x v="6"/>
    <x v="68"/>
    <x v="305"/>
    <x v="479"/>
    <x v="20"/>
    <x v="354"/>
    <x v="4"/>
    <x v="4"/>
    <x v="1"/>
    <x v="2"/>
    <x v="1"/>
    <x v="2"/>
    <x v="486"/>
    <x v="486"/>
    <x v="486"/>
    <x v="486"/>
  </r>
  <r>
    <x v="486"/>
    <x v="486"/>
    <x v="3"/>
    <x v="4"/>
    <x v="10"/>
    <x v="487"/>
    <x v="468"/>
    <x v="487"/>
    <x v="16"/>
    <x v="7"/>
    <x v="182"/>
    <x v="480"/>
    <x v="21"/>
    <x v="355"/>
    <x v="3"/>
    <x v="2"/>
    <x v="2"/>
    <x v="0"/>
    <x v="1"/>
    <x v="2"/>
    <x v="487"/>
    <x v="487"/>
    <x v="487"/>
    <x v="487"/>
  </r>
  <r>
    <x v="487"/>
    <x v="487"/>
    <x v="3"/>
    <x v="13"/>
    <x v="4"/>
    <x v="488"/>
    <x v="469"/>
    <x v="488"/>
    <x v="16"/>
    <x v="19"/>
    <x v="306"/>
    <x v="481"/>
    <x v="10"/>
    <x v="356"/>
    <x v="4"/>
    <x v="2"/>
    <x v="2"/>
    <x v="3"/>
    <x v="1"/>
    <x v="2"/>
    <x v="488"/>
    <x v="488"/>
    <x v="488"/>
    <x v="488"/>
  </r>
  <r>
    <x v="488"/>
    <x v="488"/>
    <x v="0"/>
    <x v="9"/>
    <x v="11"/>
    <x v="489"/>
    <x v="470"/>
    <x v="489"/>
    <x v="9"/>
    <x v="1"/>
    <x v="307"/>
    <x v="482"/>
    <x v="9"/>
    <x v="250"/>
    <x v="4"/>
    <x v="3"/>
    <x v="1"/>
    <x v="1"/>
    <x v="1"/>
    <x v="3"/>
    <x v="489"/>
    <x v="489"/>
    <x v="489"/>
    <x v="489"/>
  </r>
  <r>
    <x v="489"/>
    <x v="489"/>
    <x v="4"/>
    <x v="7"/>
    <x v="3"/>
    <x v="490"/>
    <x v="471"/>
    <x v="490"/>
    <x v="9"/>
    <x v="73"/>
    <x v="88"/>
    <x v="483"/>
    <x v="7"/>
    <x v="133"/>
    <x v="2"/>
    <x v="1"/>
    <x v="0"/>
    <x v="0"/>
    <x v="1"/>
    <x v="1"/>
    <x v="490"/>
    <x v="490"/>
    <x v="490"/>
    <x v="490"/>
  </r>
  <r>
    <x v="490"/>
    <x v="490"/>
    <x v="2"/>
    <x v="3"/>
    <x v="4"/>
    <x v="491"/>
    <x v="472"/>
    <x v="491"/>
    <x v="2"/>
    <x v="16"/>
    <x v="308"/>
    <x v="484"/>
    <x v="23"/>
    <x v="357"/>
    <x v="1"/>
    <x v="2"/>
    <x v="1"/>
    <x v="1"/>
    <x v="1"/>
    <x v="3"/>
    <x v="491"/>
    <x v="491"/>
    <x v="491"/>
    <x v="491"/>
  </r>
  <r>
    <x v="491"/>
    <x v="491"/>
    <x v="4"/>
    <x v="6"/>
    <x v="3"/>
    <x v="492"/>
    <x v="473"/>
    <x v="492"/>
    <x v="18"/>
    <x v="42"/>
    <x v="261"/>
    <x v="485"/>
    <x v="2"/>
    <x v="358"/>
    <x v="2"/>
    <x v="3"/>
    <x v="0"/>
    <x v="1"/>
    <x v="0"/>
    <x v="0"/>
    <x v="492"/>
    <x v="492"/>
    <x v="492"/>
    <x v="492"/>
  </r>
  <r>
    <x v="492"/>
    <x v="492"/>
    <x v="0"/>
    <x v="9"/>
    <x v="2"/>
    <x v="493"/>
    <x v="474"/>
    <x v="493"/>
    <x v="7"/>
    <x v="7"/>
    <x v="309"/>
    <x v="473"/>
    <x v="8"/>
    <x v="190"/>
    <x v="1"/>
    <x v="3"/>
    <x v="0"/>
    <x v="2"/>
    <x v="1"/>
    <x v="3"/>
    <x v="493"/>
    <x v="493"/>
    <x v="493"/>
    <x v="493"/>
  </r>
  <r>
    <x v="493"/>
    <x v="493"/>
    <x v="4"/>
    <x v="7"/>
    <x v="3"/>
    <x v="494"/>
    <x v="475"/>
    <x v="494"/>
    <x v="3"/>
    <x v="25"/>
    <x v="310"/>
    <x v="195"/>
    <x v="23"/>
    <x v="174"/>
    <x v="1"/>
    <x v="4"/>
    <x v="0"/>
    <x v="1"/>
    <x v="1"/>
    <x v="2"/>
    <x v="494"/>
    <x v="494"/>
    <x v="494"/>
    <x v="494"/>
  </r>
  <r>
    <x v="494"/>
    <x v="494"/>
    <x v="4"/>
    <x v="6"/>
    <x v="8"/>
    <x v="495"/>
    <x v="476"/>
    <x v="495"/>
    <x v="5"/>
    <x v="5"/>
    <x v="186"/>
    <x v="486"/>
    <x v="8"/>
    <x v="359"/>
    <x v="4"/>
    <x v="2"/>
    <x v="2"/>
    <x v="0"/>
    <x v="1"/>
    <x v="3"/>
    <x v="495"/>
    <x v="495"/>
    <x v="495"/>
    <x v="495"/>
  </r>
  <r>
    <x v="495"/>
    <x v="495"/>
    <x v="2"/>
    <x v="3"/>
    <x v="6"/>
    <x v="496"/>
    <x v="477"/>
    <x v="496"/>
    <x v="9"/>
    <x v="40"/>
    <x v="311"/>
    <x v="487"/>
    <x v="12"/>
    <x v="360"/>
    <x v="4"/>
    <x v="1"/>
    <x v="0"/>
    <x v="3"/>
    <x v="1"/>
    <x v="3"/>
    <x v="496"/>
    <x v="496"/>
    <x v="496"/>
    <x v="496"/>
  </r>
  <r>
    <x v="496"/>
    <x v="496"/>
    <x v="1"/>
    <x v="2"/>
    <x v="6"/>
    <x v="497"/>
    <x v="478"/>
    <x v="497"/>
    <x v="17"/>
    <x v="1"/>
    <x v="132"/>
    <x v="488"/>
    <x v="0"/>
    <x v="156"/>
    <x v="3"/>
    <x v="4"/>
    <x v="0"/>
    <x v="0"/>
    <x v="1"/>
    <x v="3"/>
    <x v="497"/>
    <x v="497"/>
    <x v="497"/>
    <x v="497"/>
  </r>
  <r>
    <x v="497"/>
    <x v="497"/>
    <x v="2"/>
    <x v="14"/>
    <x v="6"/>
    <x v="498"/>
    <x v="479"/>
    <x v="498"/>
    <x v="6"/>
    <x v="30"/>
    <x v="312"/>
    <x v="489"/>
    <x v="4"/>
    <x v="305"/>
    <x v="4"/>
    <x v="2"/>
    <x v="0"/>
    <x v="3"/>
    <x v="1"/>
    <x v="1"/>
    <x v="498"/>
    <x v="498"/>
    <x v="498"/>
    <x v="498"/>
  </r>
  <r>
    <x v="498"/>
    <x v="498"/>
    <x v="0"/>
    <x v="12"/>
    <x v="4"/>
    <x v="499"/>
    <x v="480"/>
    <x v="499"/>
    <x v="9"/>
    <x v="40"/>
    <x v="233"/>
    <x v="272"/>
    <x v="2"/>
    <x v="361"/>
    <x v="5"/>
    <x v="4"/>
    <x v="2"/>
    <x v="1"/>
    <x v="1"/>
    <x v="1"/>
    <x v="499"/>
    <x v="499"/>
    <x v="499"/>
    <x v="499"/>
  </r>
  <r>
    <x v="499"/>
    <x v="499"/>
    <x v="2"/>
    <x v="10"/>
    <x v="5"/>
    <x v="500"/>
    <x v="481"/>
    <x v="500"/>
    <x v="8"/>
    <x v="40"/>
    <x v="83"/>
    <x v="490"/>
    <x v="22"/>
    <x v="357"/>
    <x v="1"/>
    <x v="0"/>
    <x v="1"/>
    <x v="0"/>
    <x v="1"/>
    <x v="2"/>
    <x v="500"/>
    <x v="500"/>
    <x v="500"/>
    <x v="500"/>
  </r>
  <r>
    <x v="500"/>
    <x v="500"/>
    <x v="0"/>
    <x v="0"/>
    <x v="10"/>
    <x v="501"/>
    <x v="482"/>
    <x v="501"/>
    <x v="8"/>
    <x v="18"/>
    <x v="313"/>
    <x v="491"/>
    <x v="17"/>
    <x v="31"/>
    <x v="3"/>
    <x v="1"/>
    <x v="2"/>
    <x v="2"/>
    <x v="1"/>
    <x v="3"/>
    <x v="501"/>
    <x v="501"/>
    <x v="501"/>
    <x v="501"/>
  </r>
  <r>
    <x v="501"/>
    <x v="501"/>
    <x v="4"/>
    <x v="7"/>
    <x v="8"/>
    <x v="502"/>
    <x v="483"/>
    <x v="502"/>
    <x v="3"/>
    <x v="42"/>
    <x v="314"/>
    <x v="492"/>
    <x v="14"/>
    <x v="127"/>
    <x v="2"/>
    <x v="2"/>
    <x v="2"/>
    <x v="2"/>
    <x v="1"/>
    <x v="2"/>
    <x v="502"/>
    <x v="502"/>
    <x v="502"/>
    <x v="502"/>
  </r>
  <r>
    <x v="502"/>
    <x v="502"/>
    <x v="3"/>
    <x v="4"/>
    <x v="7"/>
    <x v="503"/>
    <x v="484"/>
    <x v="503"/>
    <x v="1"/>
    <x v="97"/>
    <x v="315"/>
    <x v="493"/>
    <x v="25"/>
    <x v="362"/>
    <x v="1"/>
    <x v="3"/>
    <x v="1"/>
    <x v="2"/>
    <x v="1"/>
    <x v="2"/>
    <x v="503"/>
    <x v="503"/>
    <x v="503"/>
    <x v="503"/>
  </r>
  <r>
    <x v="503"/>
    <x v="503"/>
    <x v="1"/>
    <x v="1"/>
    <x v="2"/>
    <x v="504"/>
    <x v="485"/>
    <x v="504"/>
    <x v="3"/>
    <x v="86"/>
    <x v="64"/>
    <x v="494"/>
    <x v="3"/>
    <x v="110"/>
    <x v="3"/>
    <x v="0"/>
    <x v="0"/>
    <x v="1"/>
    <x v="0"/>
    <x v="0"/>
    <x v="504"/>
    <x v="504"/>
    <x v="504"/>
    <x v="504"/>
  </r>
  <r>
    <x v="504"/>
    <x v="504"/>
    <x v="0"/>
    <x v="9"/>
    <x v="11"/>
    <x v="505"/>
    <x v="486"/>
    <x v="505"/>
    <x v="0"/>
    <x v="99"/>
    <x v="316"/>
    <x v="495"/>
    <x v="15"/>
    <x v="363"/>
    <x v="4"/>
    <x v="3"/>
    <x v="2"/>
    <x v="0"/>
    <x v="1"/>
    <x v="3"/>
    <x v="505"/>
    <x v="505"/>
    <x v="505"/>
    <x v="505"/>
  </r>
  <r>
    <x v="505"/>
    <x v="505"/>
    <x v="2"/>
    <x v="14"/>
    <x v="1"/>
    <x v="506"/>
    <x v="487"/>
    <x v="506"/>
    <x v="5"/>
    <x v="27"/>
    <x v="317"/>
    <x v="496"/>
    <x v="25"/>
    <x v="364"/>
    <x v="3"/>
    <x v="1"/>
    <x v="1"/>
    <x v="0"/>
    <x v="1"/>
    <x v="1"/>
    <x v="506"/>
    <x v="506"/>
    <x v="506"/>
    <x v="506"/>
  </r>
  <r>
    <x v="506"/>
    <x v="506"/>
    <x v="4"/>
    <x v="7"/>
    <x v="5"/>
    <x v="507"/>
    <x v="488"/>
    <x v="507"/>
    <x v="2"/>
    <x v="33"/>
    <x v="138"/>
    <x v="497"/>
    <x v="5"/>
    <x v="267"/>
    <x v="4"/>
    <x v="2"/>
    <x v="0"/>
    <x v="2"/>
    <x v="1"/>
    <x v="2"/>
    <x v="507"/>
    <x v="507"/>
    <x v="507"/>
    <x v="507"/>
  </r>
  <r>
    <x v="507"/>
    <x v="507"/>
    <x v="1"/>
    <x v="2"/>
    <x v="6"/>
    <x v="508"/>
    <x v="489"/>
    <x v="508"/>
    <x v="1"/>
    <x v="19"/>
    <x v="287"/>
    <x v="498"/>
    <x v="13"/>
    <x v="2"/>
    <x v="2"/>
    <x v="4"/>
    <x v="2"/>
    <x v="1"/>
    <x v="1"/>
    <x v="3"/>
    <x v="508"/>
    <x v="508"/>
    <x v="508"/>
    <x v="508"/>
  </r>
  <r>
    <x v="508"/>
    <x v="508"/>
    <x v="1"/>
    <x v="8"/>
    <x v="10"/>
    <x v="509"/>
    <x v="490"/>
    <x v="509"/>
    <x v="4"/>
    <x v="65"/>
    <x v="45"/>
    <x v="499"/>
    <x v="17"/>
    <x v="365"/>
    <x v="1"/>
    <x v="3"/>
    <x v="2"/>
    <x v="1"/>
    <x v="1"/>
    <x v="2"/>
    <x v="509"/>
    <x v="509"/>
    <x v="509"/>
    <x v="509"/>
  </r>
  <r>
    <x v="509"/>
    <x v="509"/>
    <x v="0"/>
    <x v="9"/>
    <x v="5"/>
    <x v="510"/>
    <x v="491"/>
    <x v="510"/>
    <x v="17"/>
    <x v="18"/>
    <x v="117"/>
    <x v="500"/>
    <x v="2"/>
    <x v="366"/>
    <x v="5"/>
    <x v="0"/>
    <x v="2"/>
    <x v="1"/>
    <x v="1"/>
    <x v="2"/>
    <x v="510"/>
    <x v="510"/>
    <x v="510"/>
    <x v="510"/>
  </r>
  <r>
    <x v="510"/>
    <x v="510"/>
    <x v="0"/>
    <x v="0"/>
    <x v="5"/>
    <x v="511"/>
    <x v="492"/>
    <x v="511"/>
    <x v="11"/>
    <x v="27"/>
    <x v="318"/>
    <x v="501"/>
    <x v="22"/>
    <x v="367"/>
    <x v="4"/>
    <x v="2"/>
    <x v="2"/>
    <x v="2"/>
    <x v="1"/>
    <x v="3"/>
    <x v="511"/>
    <x v="511"/>
    <x v="511"/>
    <x v="511"/>
  </r>
  <r>
    <x v="511"/>
    <x v="511"/>
    <x v="1"/>
    <x v="2"/>
    <x v="11"/>
    <x v="512"/>
    <x v="493"/>
    <x v="512"/>
    <x v="3"/>
    <x v="30"/>
    <x v="302"/>
    <x v="502"/>
    <x v="14"/>
    <x v="48"/>
    <x v="5"/>
    <x v="4"/>
    <x v="2"/>
    <x v="0"/>
    <x v="1"/>
    <x v="2"/>
    <x v="512"/>
    <x v="512"/>
    <x v="512"/>
    <x v="512"/>
  </r>
  <r>
    <x v="512"/>
    <x v="512"/>
    <x v="0"/>
    <x v="15"/>
    <x v="9"/>
    <x v="513"/>
    <x v="494"/>
    <x v="513"/>
    <x v="1"/>
    <x v="17"/>
    <x v="195"/>
    <x v="503"/>
    <x v="7"/>
    <x v="368"/>
    <x v="5"/>
    <x v="1"/>
    <x v="0"/>
    <x v="2"/>
    <x v="1"/>
    <x v="2"/>
    <x v="513"/>
    <x v="513"/>
    <x v="513"/>
    <x v="513"/>
  </r>
  <r>
    <x v="513"/>
    <x v="513"/>
    <x v="2"/>
    <x v="3"/>
    <x v="3"/>
    <x v="514"/>
    <x v="495"/>
    <x v="514"/>
    <x v="13"/>
    <x v="10"/>
    <x v="190"/>
    <x v="504"/>
    <x v="9"/>
    <x v="369"/>
    <x v="0"/>
    <x v="4"/>
    <x v="2"/>
    <x v="3"/>
    <x v="1"/>
    <x v="2"/>
    <x v="514"/>
    <x v="514"/>
    <x v="514"/>
    <x v="514"/>
  </r>
  <r>
    <x v="514"/>
    <x v="514"/>
    <x v="0"/>
    <x v="12"/>
    <x v="5"/>
    <x v="515"/>
    <x v="496"/>
    <x v="515"/>
    <x v="1"/>
    <x v="100"/>
    <x v="46"/>
    <x v="505"/>
    <x v="23"/>
    <x v="370"/>
    <x v="3"/>
    <x v="0"/>
    <x v="0"/>
    <x v="1"/>
    <x v="1"/>
    <x v="1"/>
    <x v="515"/>
    <x v="515"/>
    <x v="515"/>
    <x v="515"/>
  </r>
  <r>
    <x v="515"/>
    <x v="515"/>
    <x v="2"/>
    <x v="3"/>
    <x v="10"/>
    <x v="516"/>
    <x v="497"/>
    <x v="516"/>
    <x v="6"/>
    <x v="38"/>
    <x v="23"/>
    <x v="506"/>
    <x v="7"/>
    <x v="160"/>
    <x v="4"/>
    <x v="2"/>
    <x v="1"/>
    <x v="3"/>
    <x v="1"/>
    <x v="2"/>
    <x v="516"/>
    <x v="516"/>
    <x v="516"/>
    <x v="516"/>
  </r>
  <r>
    <x v="516"/>
    <x v="516"/>
    <x v="3"/>
    <x v="5"/>
    <x v="10"/>
    <x v="517"/>
    <x v="498"/>
    <x v="517"/>
    <x v="7"/>
    <x v="31"/>
    <x v="319"/>
    <x v="507"/>
    <x v="2"/>
    <x v="371"/>
    <x v="1"/>
    <x v="3"/>
    <x v="0"/>
    <x v="2"/>
    <x v="1"/>
    <x v="3"/>
    <x v="517"/>
    <x v="517"/>
    <x v="517"/>
    <x v="517"/>
  </r>
  <r>
    <x v="517"/>
    <x v="517"/>
    <x v="4"/>
    <x v="7"/>
    <x v="0"/>
    <x v="518"/>
    <x v="499"/>
    <x v="518"/>
    <x v="2"/>
    <x v="25"/>
    <x v="320"/>
    <x v="508"/>
    <x v="16"/>
    <x v="192"/>
    <x v="1"/>
    <x v="3"/>
    <x v="1"/>
    <x v="1"/>
    <x v="1"/>
    <x v="3"/>
    <x v="518"/>
    <x v="518"/>
    <x v="518"/>
    <x v="518"/>
  </r>
  <r>
    <x v="518"/>
    <x v="518"/>
    <x v="4"/>
    <x v="6"/>
    <x v="9"/>
    <x v="519"/>
    <x v="500"/>
    <x v="519"/>
    <x v="1"/>
    <x v="8"/>
    <x v="281"/>
    <x v="509"/>
    <x v="7"/>
    <x v="372"/>
    <x v="2"/>
    <x v="3"/>
    <x v="0"/>
    <x v="3"/>
    <x v="1"/>
    <x v="2"/>
    <x v="519"/>
    <x v="519"/>
    <x v="519"/>
    <x v="519"/>
  </r>
  <r>
    <x v="519"/>
    <x v="519"/>
    <x v="0"/>
    <x v="0"/>
    <x v="11"/>
    <x v="520"/>
    <x v="501"/>
    <x v="520"/>
    <x v="1"/>
    <x v="6"/>
    <x v="104"/>
    <x v="510"/>
    <x v="3"/>
    <x v="373"/>
    <x v="4"/>
    <x v="0"/>
    <x v="2"/>
    <x v="1"/>
    <x v="1"/>
    <x v="2"/>
    <x v="520"/>
    <x v="520"/>
    <x v="520"/>
    <x v="520"/>
  </r>
  <r>
    <x v="520"/>
    <x v="520"/>
    <x v="3"/>
    <x v="13"/>
    <x v="4"/>
    <x v="521"/>
    <x v="351"/>
    <x v="521"/>
    <x v="1"/>
    <x v="18"/>
    <x v="157"/>
    <x v="511"/>
    <x v="0"/>
    <x v="35"/>
    <x v="2"/>
    <x v="2"/>
    <x v="2"/>
    <x v="0"/>
    <x v="1"/>
    <x v="2"/>
    <x v="521"/>
    <x v="521"/>
    <x v="521"/>
    <x v="521"/>
  </r>
  <r>
    <x v="521"/>
    <x v="521"/>
    <x v="3"/>
    <x v="13"/>
    <x v="8"/>
    <x v="522"/>
    <x v="502"/>
    <x v="522"/>
    <x v="1"/>
    <x v="28"/>
    <x v="321"/>
    <x v="512"/>
    <x v="18"/>
    <x v="351"/>
    <x v="3"/>
    <x v="3"/>
    <x v="2"/>
    <x v="2"/>
    <x v="1"/>
    <x v="2"/>
    <x v="522"/>
    <x v="522"/>
    <x v="522"/>
    <x v="522"/>
  </r>
  <r>
    <x v="522"/>
    <x v="522"/>
    <x v="0"/>
    <x v="0"/>
    <x v="8"/>
    <x v="523"/>
    <x v="503"/>
    <x v="523"/>
    <x v="9"/>
    <x v="30"/>
    <x v="322"/>
    <x v="513"/>
    <x v="19"/>
    <x v="84"/>
    <x v="5"/>
    <x v="3"/>
    <x v="2"/>
    <x v="2"/>
    <x v="0"/>
    <x v="0"/>
    <x v="523"/>
    <x v="523"/>
    <x v="523"/>
    <x v="523"/>
  </r>
  <r>
    <x v="523"/>
    <x v="523"/>
    <x v="4"/>
    <x v="6"/>
    <x v="2"/>
    <x v="524"/>
    <x v="422"/>
    <x v="524"/>
    <x v="7"/>
    <x v="46"/>
    <x v="183"/>
    <x v="514"/>
    <x v="13"/>
    <x v="50"/>
    <x v="2"/>
    <x v="3"/>
    <x v="2"/>
    <x v="1"/>
    <x v="0"/>
    <x v="0"/>
    <x v="524"/>
    <x v="524"/>
    <x v="524"/>
    <x v="524"/>
  </r>
  <r>
    <x v="524"/>
    <x v="524"/>
    <x v="2"/>
    <x v="3"/>
    <x v="4"/>
    <x v="525"/>
    <x v="504"/>
    <x v="525"/>
    <x v="15"/>
    <x v="1"/>
    <x v="99"/>
    <x v="515"/>
    <x v="18"/>
    <x v="149"/>
    <x v="2"/>
    <x v="4"/>
    <x v="2"/>
    <x v="3"/>
    <x v="1"/>
    <x v="3"/>
    <x v="525"/>
    <x v="525"/>
    <x v="525"/>
    <x v="525"/>
  </r>
  <r>
    <x v="525"/>
    <x v="525"/>
    <x v="1"/>
    <x v="2"/>
    <x v="3"/>
    <x v="526"/>
    <x v="505"/>
    <x v="526"/>
    <x v="20"/>
    <x v="13"/>
    <x v="171"/>
    <x v="516"/>
    <x v="12"/>
    <x v="323"/>
    <x v="1"/>
    <x v="3"/>
    <x v="1"/>
    <x v="3"/>
    <x v="1"/>
    <x v="1"/>
    <x v="526"/>
    <x v="526"/>
    <x v="526"/>
    <x v="526"/>
  </r>
  <r>
    <x v="526"/>
    <x v="526"/>
    <x v="4"/>
    <x v="11"/>
    <x v="0"/>
    <x v="527"/>
    <x v="506"/>
    <x v="527"/>
    <x v="7"/>
    <x v="89"/>
    <x v="323"/>
    <x v="517"/>
    <x v="22"/>
    <x v="152"/>
    <x v="1"/>
    <x v="3"/>
    <x v="2"/>
    <x v="1"/>
    <x v="1"/>
    <x v="2"/>
    <x v="527"/>
    <x v="527"/>
    <x v="527"/>
    <x v="527"/>
  </r>
  <r>
    <x v="527"/>
    <x v="527"/>
    <x v="1"/>
    <x v="8"/>
    <x v="0"/>
    <x v="528"/>
    <x v="507"/>
    <x v="528"/>
    <x v="11"/>
    <x v="86"/>
    <x v="192"/>
    <x v="518"/>
    <x v="23"/>
    <x v="374"/>
    <x v="0"/>
    <x v="0"/>
    <x v="0"/>
    <x v="0"/>
    <x v="1"/>
    <x v="1"/>
    <x v="528"/>
    <x v="528"/>
    <x v="528"/>
    <x v="528"/>
  </r>
  <r>
    <x v="528"/>
    <x v="528"/>
    <x v="0"/>
    <x v="9"/>
    <x v="1"/>
    <x v="529"/>
    <x v="508"/>
    <x v="529"/>
    <x v="17"/>
    <x v="7"/>
    <x v="202"/>
    <x v="519"/>
    <x v="10"/>
    <x v="203"/>
    <x v="1"/>
    <x v="3"/>
    <x v="2"/>
    <x v="2"/>
    <x v="1"/>
    <x v="1"/>
    <x v="529"/>
    <x v="529"/>
    <x v="529"/>
    <x v="529"/>
  </r>
  <r>
    <x v="529"/>
    <x v="529"/>
    <x v="3"/>
    <x v="13"/>
    <x v="10"/>
    <x v="530"/>
    <x v="509"/>
    <x v="530"/>
    <x v="2"/>
    <x v="3"/>
    <x v="144"/>
    <x v="520"/>
    <x v="22"/>
    <x v="375"/>
    <x v="5"/>
    <x v="2"/>
    <x v="2"/>
    <x v="0"/>
    <x v="1"/>
    <x v="1"/>
    <x v="530"/>
    <x v="530"/>
    <x v="530"/>
    <x v="530"/>
  </r>
  <r>
    <x v="530"/>
    <x v="530"/>
    <x v="1"/>
    <x v="2"/>
    <x v="3"/>
    <x v="531"/>
    <x v="510"/>
    <x v="531"/>
    <x v="16"/>
    <x v="9"/>
    <x v="324"/>
    <x v="521"/>
    <x v="9"/>
    <x v="297"/>
    <x v="0"/>
    <x v="2"/>
    <x v="2"/>
    <x v="2"/>
    <x v="1"/>
    <x v="1"/>
    <x v="531"/>
    <x v="531"/>
    <x v="531"/>
    <x v="531"/>
  </r>
  <r>
    <x v="531"/>
    <x v="531"/>
    <x v="1"/>
    <x v="1"/>
    <x v="0"/>
    <x v="532"/>
    <x v="511"/>
    <x v="532"/>
    <x v="16"/>
    <x v="14"/>
    <x v="325"/>
    <x v="522"/>
    <x v="14"/>
    <x v="376"/>
    <x v="2"/>
    <x v="4"/>
    <x v="2"/>
    <x v="1"/>
    <x v="1"/>
    <x v="3"/>
    <x v="532"/>
    <x v="532"/>
    <x v="532"/>
    <x v="532"/>
  </r>
  <r>
    <x v="532"/>
    <x v="532"/>
    <x v="3"/>
    <x v="13"/>
    <x v="8"/>
    <x v="533"/>
    <x v="512"/>
    <x v="533"/>
    <x v="10"/>
    <x v="19"/>
    <x v="150"/>
    <x v="523"/>
    <x v="10"/>
    <x v="293"/>
    <x v="3"/>
    <x v="2"/>
    <x v="1"/>
    <x v="1"/>
    <x v="1"/>
    <x v="1"/>
    <x v="533"/>
    <x v="533"/>
    <x v="533"/>
    <x v="533"/>
  </r>
  <r>
    <x v="533"/>
    <x v="533"/>
    <x v="4"/>
    <x v="7"/>
    <x v="9"/>
    <x v="534"/>
    <x v="513"/>
    <x v="534"/>
    <x v="13"/>
    <x v="95"/>
    <x v="326"/>
    <x v="524"/>
    <x v="14"/>
    <x v="327"/>
    <x v="0"/>
    <x v="0"/>
    <x v="2"/>
    <x v="3"/>
    <x v="1"/>
    <x v="1"/>
    <x v="534"/>
    <x v="534"/>
    <x v="534"/>
    <x v="534"/>
  </r>
  <r>
    <x v="534"/>
    <x v="534"/>
    <x v="1"/>
    <x v="8"/>
    <x v="11"/>
    <x v="535"/>
    <x v="514"/>
    <x v="535"/>
    <x v="2"/>
    <x v="5"/>
    <x v="314"/>
    <x v="525"/>
    <x v="13"/>
    <x v="57"/>
    <x v="3"/>
    <x v="4"/>
    <x v="1"/>
    <x v="1"/>
    <x v="1"/>
    <x v="2"/>
    <x v="535"/>
    <x v="535"/>
    <x v="535"/>
    <x v="535"/>
  </r>
  <r>
    <x v="535"/>
    <x v="535"/>
    <x v="3"/>
    <x v="4"/>
    <x v="0"/>
    <x v="536"/>
    <x v="515"/>
    <x v="536"/>
    <x v="1"/>
    <x v="101"/>
    <x v="196"/>
    <x v="526"/>
    <x v="6"/>
    <x v="377"/>
    <x v="1"/>
    <x v="1"/>
    <x v="1"/>
    <x v="0"/>
    <x v="1"/>
    <x v="1"/>
    <x v="536"/>
    <x v="536"/>
    <x v="536"/>
    <x v="536"/>
  </r>
  <r>
    <x v="536"/>
    <x v="536"/>
    <x v="1"/>
    <x v="2"/>
    <x v="1"/>
    <x v="537"/>
    <x v="516"/>
    <x v="537"/>
    <x v="19"/>
    <x v="86"/>
    <x v="283"/>
    <x v="527"/>
    <x v="20"/>
    <x v="139"/>
    <x v="1"/>
    <x v="4"/>
    <x v="0"/>
    <x v="1"/>
    <x v="1"/>
    <x v="3"/>
    <x v="537"/>
    <x v="537"/>
    <x v="537"/>
    <x v="537"/>
  </r>
  <r>
    <x v="537"/>
    <x v="537"/>
    <x v="2"/>
    <x v="3"/>
    <x v="4"/>
    <x v="538"/>
    <x v="517"/>
    <x v="538"/>
    <x v="6"/>
    <x v="5"/>
    <x v="24"/>
    <x v="528"/>
    <x v="13"/>
    <x v="378"/>
    <x v="5"/>
    <x v="3"/>
    <x v="1"/>
    <x v="1"/>
    <x v="1"/>
    <x v="3"/>
    <x v="538"/>
    <x v="538"/>
    <x v="538"/>
    <x v="538"/>
  </r>
  <r>
    <x v="538"/>
    <x v="538"/>
    <x v="0"/>
    <x v="15"/>
    <x v="9"/>
    <x v="539"/>
    <x v="518"/>
    <x v="539"/>
    <x v="15"/>
    <x v="8"/>
    <x v="327"/>
    <x v="529"/>
    <x v="20"/>
    <x v="379"/>
    <x v="4"/>
    <x v="4"/>
    <x v="0"/>
    <x v="3"/>
    <x v="1"/>
    <x v="3"/>
    <x v="539"/>
    <x v="539"/>
    <x v="539"/>
    <x v="539"/>
  </r>
  <r>
    <x v="539"/>
    <x v="539"/>
    <x v="1"/>
    <x v="2"/>
    <x v="3"/>
    <x v="540"/>
    <x v="260"/>
    <x v="540"/>
    <x v="13"/>
    <x v="79"/>
    <x v="58"/>
    <x v="344"/>
    <x v="23"/>
    <x v="361"/>
    <x v="4"/>
    <x v="2"/>
    <x v="0"/>
    <x v="2"/>
    <x v="1"/>
    <x v="1"/>
    <x v="540"/>
    <x v="540"/>
    <x v="540"/>
    <x v="540"/>
  </r>
  <r>
    <x v="540"/>
    <x v="540"/>
    <x v="2"/>
    <x v="14"/>
    <x v="4"/>
    <x v="541"/>
    <x v="430"/>
    <x v="541"/>
    <x v="21"/>
    <x v="1"/>
    <x v="152"/>
    <x v="530"/>
    <x v="10"/>
    <x v="355"/>
    <x v="1"/>
    <x v="1"/>
    <x v="2"/>
    <x v="1"/>
    <x v="1"/>
    <x v="1"/>
    <x v="541"/>
    <x v="541"/>
    <x v="541"/>
    <x v="541"/>
  </r>
  <r>
    <x v="541"/>
    <x v="541"/>
    <x v="0"/>
    <x v="0"/>
    <x v="10"/>
    <x v="542"/>
    <x v="519"/>
    <x v="542"/>
    <x v="20"/>
    <x v="30"/>
    <x v="328"/>
    <x v="531"/>
    <x v="24"/>
    <x v="23"/>
    <x v="4"/>
    <x v="3"/>
    <x v="1"/>
    <x v="3"/>
    <x v="1"/>
    <x v="1"/>
    <x v="542"/>
    <x v="542"/>
    <x v="542"/>
    <x v="542"/>
  </r>
  <r>
    <x v="542"/>
    <x v="542"/>
    <x v="3"/>
    <x v="5"/>
    <x v="7"/>
    <x v="543"/>
    <x v="520"/>
    <x v="543"/>
    <x v="4"/>
    <x v="6"/>
    <x v="221"/>
    <x v="532"/>
    <x v="5"/>
    <x v="289"/>
    <x v="3"/>
    <x v="0"/>
    <x v="0"/>
    <x v="2"/>
    <x v="1"/>
    <x v="3"/>
    <x v="543"/>
    <x v="543"/>
    <x v="543"/>
    <x v="543"/>
  </r>
  <r>
    <x v="543"/>
    <x v="543"/>
    <x v="2"/>
    <x v="14"/>
    <x v="7"/>
    <x v="544"/>
    <x v="521"/>
    <x v="544"/>
    <x v="3"/>
    <x v="42"/>
    <x v="329"/>
    <x v="533"/>
    <x v="22"/>
    <x v="12"/>
    <x v="1"/>
    <x v="4"/>
    <x v="2"/>
    <x v="1"/>
    <x v="1"/>
    <x v="1"/>
    <x v="544"/>
    <x v="544"/>
    <x v="544"/>
    <x v="544"/>
  </r>
  <r>
    <x v="544"/>
    <x v="544"/>
    <x v="0"/>
    <x v="12"/>
    <x v="8"/>
    <x v="545"/>
    <x v="522"/>
    <x v="545"/>
    <x v="15"/>
    <x v="30"/>
    <x v="330"/>
    <x v="534"/>
    <x v="17"/>
    <x v="380"/>
    <x v="4"/>
    <x v="3"/>
    <x v="2"/>
    <x v="2"/>
    <x v="1"/>
    <x v="1"/>
    <x v="545"/>
    <x v="545"/>
    <x v="545"/>
    <x v="545"/>
  </r>
  <r>
    <x v="545"/>
    <x v="545"/>
    <x v="4"/>
    <x v="11"/>
    <x v="6"/>
    <x v="546"/>
    <x v="523"/>
    <x v="546"/>
    <x v="2"/>
    <x v="11"/>
    <x v="264"/>
    <x v="100"/>
    <x v="6"/>
    <x v="381"/>
    <x v="1"/>
    <x v="3"/>
    <x v="0"/>
    <x v="3"/>
    <x v="1"/>
    <x v="1"/>
    <x v="546"/>
    <x v="546"/>
    <x v="546"/>
    <x v="546"/>
  </r>
  <r>
    <x v="546"/>
    <x v="546"/>
    <x v="1"/>
    <x v="1"/>
    <x v="4"/>
    <x v="547"/>
    <x v="524"/>
    <x v="547"/>
    <x v="1"/>
    <x v="38"/>
    <x v="331"/>
    <x v="535"/>
    <x v="7"/>
    <x v="74"/>
    <x v="5"/>
    <x v="0"/>
    <x v="1"/>
    <x v="1"/>
    <x v="1"/>
    <x v="3"/>
    <x v="547"/>
    <x v="547"/>
    <x v="547"/>
    <x v="547"/>
  </r>
  <r>
    <x v="547"/>
    <x v="547"/>
    <x v="3"/>
    <x v="13"/>
    <x v="6"/>
    <x v="548"/>
    <x v="525"/>
    <x v="548"/>
    <x v="1"/>
    <x v="102"/>
    <x v="1"/>
    <x v="536"/>
    <x v="7"/>
    <x v="382"/>
    <x v="5"/>
    <x v="4"/>
    <x v="1"/>
    <x v="0"/>
    <x v="1"/>
    <x v="1"/>
    <x v="548"/>
    <x v="548"/>
    <x v="548"/>
    <x v="548"/>
  </r>
  <r>
    <x v="548"/>
    <x v="548"/>
    <x v="4"/>
    <x v="7"/>
    <x v="7"/>
    <x v="549"/>
    <x v="526"/>
    <x v="549"/>
    <x v="2"/>
    <x v="8"/>
    <x v="243"/>
    <x v="537"/>
    <x v="22"/>
    <x v="214"/>
    <x v="5"/>
    <x v="0"/>
    <x v="0"/>
    <x v="0"/>
    <x v="1"/>
    <x v="1"/>
    <x v="549"/>
    <x v="549"/>
    <x v="549"/>
    <x v="549"/>
  </r>
  <r>
    <x v="549"/>
    <x v="549"/>
    <x v="0"/>
    <x v="9"/>
    <x v="1"/>
    <x v="550"/>
    <x v="527"/>
    <x v="550"/>
    <x v="11"/>
    <x v="11"/>
    <x v="20"/>
    <x v="538"/>
    <x v="9"/>
    <x v="383"/>
    <x v="5"/>
    <x v="0"/>
    <x v="2"/>
    <x v="1"/>
    <x v="1"/>
    <x v="3"/>
    <x v="550"/>
    <x v="550"/>
    <x v="550"/>
    <x v="550"/>
  </r>
  <r>
    <x v="550"/>
    <x v="550"/>
    <x v="3"/>
    <x v="13"/>
    <x v="1"/>
    <x v="551"/>
    <x v="528"/>
    <x v="551"/>
    <x v="9"/>
    <x v="23"/>
    <x v="260"/>
    <x v="539"/>
    <x v="19"/>
    <x v="264"/>
    <x v="1"/>
    <x v="1"/>
    <x v="1"/>
    <x v="0"/>
    <x v="1"/>
    <x v="3"/>
    <x v="551"/>
    <x v="551"/>
    <x v="551"/>
    <x v="551"/>
  </r>
  <r>
    <x v="551"/>
    <x v="551"/>
    <x v="2"/>
    <x v="14"/>
    <x v="5"/>
    <x v="552"/>
    <x v="529"/>
    <x v="552"/>
    <x v="14"/>
    <x v="6"/>
    <x v="146"/>
    <x v="271"/>
    <x v="6"/>
    <x v="350"/>
    <x v="1"/>
    <x v="2"/>
    <x v="0"/>
    <x v="2"/>
    <x v="1"/>
    <x v="1"/>
    <x v="552"/>
    <x v="552"/>
    <x v="552"/>
    <x v="552"/>
  </r>
  <r>
    <x v="552"/>
    <x v="552"/>
    <x v="4"/>
    <x v="6"/>
    <x v="0"/>
    <x v="553"/>
    <x v="530"/>
    <x v="553"/>
    <x v="7"/>
    <x v="11"/>
    <x v="113"/>
    <x v="540"/>
    <x v="2"/>
    <x v="384"/>
    <x v="5"/>
    <x v="1"/>
    <x v="2"/>
    <x v="3"/>
    <x v="1"/>
    <x v="2"/>
    <x v="553"/>
    <x v="553"/>
    <x v="553"/>
    <x v="553"/>
  </r>
  <r>
    <x v="553"/>
    <x v="553"/>
    <x v="3"/>
    <x v="5"/>
    <x v="9"/>
    <x v="554"/>
    <x v="531"/>
    <x v="554"/>
    <x v="1"/>
    <x v="44"/>
    <x v="253"/>
    <x v="541"/>
    <x v="1"/>
    <x v="36"/>
    <x v="1"/>
    <x v="1"/>
    <x v="1"/>
    <x v="3"/>
    <x v="0"/>
    <x v="0"/>
    <x v="554"/>
    <x v="554"/>
    <x v="554"/>
    <x v="554"/>
  </r>
  <r>
    <x v="554"/>
    <x v="554"/>
    <x v="3"/>
    <x v="5"/>
    <x v="6"/>
    <x v="555"/>
    <x v="532"/>
    <x v="555"/>
    <x v="22"/>
    <x v="3"/>
    <x v="249"/>
    <x v="542"/>
    <x v="7"/>
    <x v="385"/>
    <x v="3"/>
    <x v="0"/>
    <x v="1"/>
    <x v="0"/>
    <x v="1"/>
    <x v="2"/>
    <x v="555"/>
    <x v="555"/>
    <x v="555"/>
    <x v="555"/>
  </r>
  <r>
    <x v="555"/>
    <x v="555"/>
    <x v="2"/>
    <x v="14"/>
    <x v="3"/>
    <x v="556"/>
    <x v="533"/>
    <x v="556"/>
    <x v="20"/>
    <x v="103"/>
    <x v="23"/>
    <x v="543"/>
    <x v="1"/>
    <x v="108"/>
    <x v="3"/>
    <x v="3"/>
    <x v="2"/>
    <x v="0"/>
    <x v="1"/>
    <x v="2"/>
    <x v="556"/>
    <x v="556"/>
    <x v="556"/>
    <x v="556"/>
  </r>
  <r>
    <x v="556"/>
    <x v="556"/>
    <x v="1"/>
    <x v="1"/>
    <x v="8"/>
    <x v="557"/>
    <x v="534"/>
    <x v="557"/>
    <x v="4"/>
    <x v="7"/>
    <x v="301"/>
    <x v="544"/>
    <x v="12"/>
    <x v="378"/>
    <x v="2"/>
    <x v="1"/>
    <x v="0"/>
    <x v="0"/>
    <x v="1"/>
    <x v="3"/>
    <x v="557"/>
    <x v="557"/>
    <x v="557"/>
    <x v="557"/>
  </r>
  <r>
    <x v="557"/>
    <x v="557"/>
    <x v="2"/>
    <x v="10"/>
    <x v="9"/>
    <x v="558"/>
    <x v="535"/>
    <x v="558"/>
    <x v="13"/>
    <x v="77"/>
    <x v="190"/>
    <x v="545"/>
    <x v="0"/>
    <x v="158"/>
    <x v="3"/>
    <x v="2"/>
    <x v="2"/>
    <x v="1"/>
    <x v="1"/>
    <x v="3"/>
    <x v="558"/>
    <x v="558"/>
    <x v="558"/>
    <x v="558"/>
  </r>
  <r>
    <x v="558"/>
    <x v="558"/>
    <x v="2"/>
    <x v="3"/>
    <x v="0"/>
    <x v="559"/>
    <x v="536"/>
    <x v="559"/>
    <x v="0"/>
    <x v="22"/>
    <x v="256"/>
    <x v="546"/>
    <x v="4"/>
    <x v="39"/>
    <x v="4"/>
    <x v="3"/>
    <x v="0"/>
    <x v="2"/>
    <x v="1"/>
    <x v="2"/>
    <x v="559"/>
    <x v="559"/>
    <x v="559"/>
    <x v="559"/>
  </r>
  <r>
    <x v="559"/>
    <x v="559"/>
    <x v="2"/>
    <x v="10"/>
    <x v="3"/>
    <x v="560"/>
    <x v="537"/>
    <x v="560"/>
    <x v="2"/>
    <x v="11"/>
    <x v="332"/>
    <x v="547"/>
    <x v="24"/>
    <x v="222"/>
    <x v="2"/>
    <x v="3"/>
    <x v="2"/>
    <x v="1"/>
    <x v="1"/>
    <x v="3"/>
    <x v="560"/>
    <x v="560"/>
    <x v="560"/>
    <x v="560"/>
  </r>
  <r>
    <x v="560"/>
    <x v="515"/>
    <x v="1"/>
    <x v="2"/>
    <x v="11"/>
    <x v="561"/>
    <x v="538"/>
    <x v="561"/>
    <x v="20"/>
    <x v="45"/>
    <x v="248"/>
    <x v="548"/>
    <x v="17"/>
    <x v="162"/>
    <x v="3"/>
    <x v="0"/>
    <x v="2"/>
    <x v="0"/>
    <x v="1"/>
    <x v="2"/>
    <x v="561"/>
    <x v="561"/>
    <x v="561"/>
    <x v="561"/>
  </r>
  <r>
    <x v="561"/>
    <x v="560"/>
    <x v="1"/>
    <x v="1"/>
    <x v="0"/>
    <x v="562"/>
    <x v="539"/>
    <x v="562"/>
    <x v="5"/>
    <x v="8"/>
    <x v="333"/>
    <x v="549"/>
    <x v="0"/>
    <x v="96"/>
    <x v="2"/>
    <x v="3"/>
    <x v="0"/>
    <x v="1"/>
    <x v="1"/>
    <x v="1"/>
    <x v="562"/>
    <x v="562"/>
    <x v="562"/>
    <x v="562"/>
  </r>
  <r>
    <x v="562"/>
    <x v="561"/>
    <x v="0"/>
    <x v="12"/>
    <x v="4"/>
    <x v="563"/>
    <x v="540"/>
    <x v="563"/>
    <x v="15"/>
    <x v="24"/>
    <x v="188"/>
    <x v="550"/>
    <x v="23"/>
    <x v="386"/>
    <x v="0"/>
    <x v="2"/>
    <x v="0"/>
    <x v="2"/>
    <x v="1"/>
    <x v="1"/>
    <x v="563"/>
    <x v="563"/>
    <x v="563"/>
    <x v="563"/>
  </r>
  <r>
    <x v="563"/>
    <x v="562"/>
    <x v="2"/>
    <x v="14"/>
    <x v="9"/>
    <x v="564"/>
    <x v="278"/>
    <x v="564"/>
    <x v="16"/>
    <x v="4"/>
    <x v="303"/>
    <x v="551"/>
    <x v="15"/>
    <x v="387"/>
    <x v="1"/>
    <x v="1"/>
    <x v="1"/>
    <x v="1"/>
    <x v="1"/>
    <x v="3"/>
    <x v="564"/>
    <x v="564"/>
    <x v="564"/>
    <x v="564"/>
  </r>
  <r>
    <x v="564"/>
    <x v="563"/>
    <x v="0"/>
    <x v="9"/>
    <x v="5"/>
    <x v="565"/>
    <x v="541"/>
    <x v="565"/>
    <x v="2"/>
    <x v="20"/>
    <x v="151"/>
    <x v="552"/>
    <x v="5"/>
    <x v="215"/>
    <x v="2"/>
    <x v="4"/>
    <x v="0"/>
    <x v="3"/>
    <x v="1"/>
    <x v="2"/>
    <x v="565"/>
    <x v="565"/>
    <x v="565"/>
    <x v="565"/>
  </r>
  <r>
    <x v="565"/>
    <x v="564"/>
    <x v="1"/>
    <x v="8"/>
    <x v="3"/>
    <x v="566"/>
    <x v="542"/>
    <x v="566"/>
    <x v="6"/>
    <x v="8"/>
    <x v="39"/>
    <x v="553"/>
    <x v="22"/>
    <x v="388"/>
    <x v="1"/>
    <x v="0"/>
    <x v="1"/>
    <x v="1"/>
    <x v="1"/>
    <x v="2"/>
    <x v="566"/>
    <x v="566"/>
    <x v="566"/>
    <x v="566"/>
  </r>
  <r>
    <x v="566"/>
    <x v="565"/>
    <x v="2"/>
    <x v="10"/>
    <x v="11"/>
    <x v="567"/>
    <x v="543"/>
    <x v="567"/>
    <x v="7"/>
    <x v="6"/>
    <x v="334"/>
    <x v="554"/>
    <x v="7"/>
    <x v="211"/>
    <x v="2"/>
    <x v="1"/>
    <x v="2"/>
    <x v="0"/>
    <x v="1"/>
    <x v="2"/>
    <x v="567"/>
    <x v="567"/>
    <x v="567"/>
    <x v="567"/>
  </r>
  <r>
    <x v="567"/>
    <x v="566"/>
    <x v="3"/>
    <x v="4"/>
    <x v="1"/>
    <x v="568"/>
    <x v="544"/>
    <x v="568"/>
    <x v="13"/>
    <x v="7"/>
    <x v="52"/>
    <x v="555"/>
    <x v="9"/>
    <x v="124"/>
    <x v="1"/>
    <x v="1"/>
    <x v="0"/>
    <x v="0"/>
    <x v="1"/>
    <x v="3"/>
    <x v="568"/>
    <x v="568"/>
    <x v="568"/>
    <x v="568"/>
  </r>
  <r>
    <x v="568"/>
    <x v="567"/>
    <x v="4"/>
    <x v="6"/>
    <x v="7"/>
    <x v="569"/>
    <x v="545"/>
    <x v="569"/>
    <x v="5"/>
    <x v="9"/>
    <x v="335"/>
    <x v="556"/>
    <x v="9"/>
    <x v="161"/>
    <x v="1"/>
    <x v="3"/>
    <x v="0"/>
    <x v="1"/>
    <x v="1"/>
    <x v="2"/>
    <x v="569"/>
    <x v="569"/>
    <x v="569"/>
    <x v="569"/>
  </r>
  <r>
    <x v="569"/>
    <x v="568"/>
    <x v="1"/>
    <x v="1"/>
    <x v="0"/>
    <x v="570"/>
    <x v="546"/>
    <x v="570"/>
    <x v="1"/>
    <x v="22"/>
    <x v="21"/>
    <x v="557"/>
    <x v="12"/>
    <x v="213"/>
    <x v="5"/>
    <x v="1"/>
    <x v="0"/>
    <x v="3"/>
    <x v="1"/>
    <x v="2"/>
    <x v="570"/>
    <x v="570"/>
    <x v="570"/>
    <x v="570"/>
  </r>
  <r>
    <x v="570"/>
    <x v="569"/>
    <x v="2"/>
    <x v="10"/>
    <x v="6"/>
    <x v="571"/>
    <x v="547"/>
    <x v="571"/>
    <x v="12"/>
    <x v="30"/>
    <x v="336"/>
    <x v="558"/>
    <x v="9"/>
    <x v="14"/>
    <x v="5"/>
    <x v="3"/>
    <x v="0"/>
    <x v="1"/>
    <x v="1"/>
    <x v="2"/>
    <x v="571"/>
    <x v="571"/>
    <x v="571"/>
    <x v="571"/>
  </r>
  <r>
    <x v="571"/>
    <x v="570"/>
    <x v="1"/>
    <x v="1"/>
    <x v="9"/>
    <x v="572"/>
    <x v="548"/>
    <x v="572"/>
    <x v="2"/>
    <x v="40"/>
    <x v="254"/>
    <x v="559"/>
    <x v="1"/>
    <x v="389"/>
    <x v="3"/>
    <x v="0"/>
    <x v="2"/>
    <x v="3"/>
    <x v="1"/>
    <x v="2"/>
    <x v="572"/>
    <x v="572"/>
    <x v="572"/>
    <x v="572"/>
  </r>
  <r>
    <x v="572"/>
    <x v="571"/>
    <x v="3"/>
    <x v="4"/>
    <x v="4"/>
    <x v="573"/>
    <x v="549"/>
    <x v="573"/>
    <x v="10"/>
    <x v="17"/>
    <x v="225"/>
    <x v="560"/>
    <x v="5"/>
    <x v="390"/>
    <x v="1"/>
    <x v="2"/>
    <x v="2"/>
    <x v="3"/>
    <x v="1"/>
    <x v="1"/>
    <x v="573"/>
    <x v="573"/>
    <x v="573"/>
    <x v="573"/>
  </r>
  <r>
    <x v="573"/>
    <x v="572"/>
    <x v="2"/>
    <x v="10"/>
    <x v="0"/>
    <x v="574"/>
    <x v="545"/>
    <x v="574"/>
    <x v="20"/>
    <x v="10"/>
    <x v="204"/>
    <x v="561"/>
    <x v="0"/>
    <x v="391"/>
    <x v="3"/>
    <x v="1"/>
    <x v="1"/>
    <x v="2"/>
    <x v="1"/>
    <x v="3"/>
    <x v="574"/>
    <x v="574"/>
    <x v="574"/>
    <x v="574"/>
  </r>
  <r>
    <x v="574"/>
    <x v="573"/>
    <x v="3"/>
    <x v="5"/>
    <x v="4"/>
    <x v="575"/>
    <x v="550"/>
    <x v="575"/>
    <x v="10"/>
    <x v="23"/>
    <x v="232"/>
    <x v="562"/>
    <x v="11"/>
    <x v="265"/>
    <x v="0"/>
    <x v="0"/>
    <x v="0"/>
    <x v="1"/>
    <x v="1"/>
    <x v="3"/>
    <x v="575"/>
    <x v="575"/>
    <x v="575"/>
    <x v="575"/>
  </r>
  <r>
    <x v="575"/>
    <x v="574"/>
    <x v="0"/>
    <x v="12"/>
    <x v="9"/>
    <x v="576"/>
    <x v="551"/>
    <x v="576"/>
    <x v="4"/>
    <x v="1"/>
    <x v="152"/>
    <x v="563"/>
    <x v="12"/>
    <x v="392"/>
    <x v="1"/>
    <x v="3"/>
    <x v="1"/>
    <x v="2"/>
    <x v="1"/>
    <x v="1"/>
    <x v="576"/>
    <x v="576"/>
    <x v="576"/>
    <x v="576"/>
  </r>
  <r>
    <x v="576"/>
    <x v="575"/>
    <x v="0"/>
    <x v="12"/>
    <x v="3"/>
    <x v="577"/>
    <x v="552"/>
    <x v="577"/>
    <x v="11"/>
    <x v="23"/>
    <x v="186"/>
    <x v="564"/>
    <x v="10"/>
    <x v="393"/>
    <x v="3"/>
    <x v="3"/>
    <x v="2"/>
    <x v="1"/>
    <x v="1"/>
    <x v="1"/>
    <x v="577"/>
    <x v="577"/>
    <x v="577"/>
    <x v="577"/>
  </r>
  <r>
    <x v="577"/>
    <x v="576"/>
    <x v="1"/>
    <x v="2"/>
    <x v="3"/>
    <x v="578"/>
    <x v="553"/>
    <x v="578"/>
    <x v="20"/>
    <x v="13"/>
    <x v="12"/>
    <x v="509"/>
    <x v="0"/>
    <x v="214"/>
    <x v="5"/>
    <x v="0"/>
    <x v="1"/>
    <x v="2"/>
    <x v="1"/>
    <x v="1"/>
    <x v="578"/>
    <x v="578"/>
    <x v="578"/>
    <x v="578"/>
  </r>
  <r>
    <x v="578"/>
    <x v="577"/>
    <x v="2"/>
    <x v="3"/>
    <x v="5"/>
    <x v="579"/>
    <x v="554"/>
    <x v="579"/>
    <x v="2"/>
    <x v="104"/>
    <x v="150"/>
    <x v="565"/>
    <x v="25"/>
    <x v="394"/>
    <x v="5"/>
    <x v="3"/>
    <x v="0"/>
    <x v="3"/>
    <x v="1"/>
    <x v="3"/>
    <x v="579"/>
    <x v="579"/>
    <x v="579"/>
    <x v="579"/>
  </r>
  <r>
    <x v="579"/>
    <x v="578"/>
    <x v="3"/>
    <x v="4"/>
    <x v="1"/>
    <x v="580"/>
    <x v="555"/>
    <x v="580"/>
    <x v="16"/>
    <x v="31"/>
    <x v="337"/>
    <x v="566"/>
    <x v="16"/>
    <x v="395"/>
    <x v="1"/>
    <x v="0"/>
    <x v="0"/>
    <x v="1"/>
    <x v="1"/>
    <x v="3"/>
    <x v="580"/>
    <x v="580"/>
    <x v="580"/>
    <x v="580"/>
  </r>
  <r>
    <x v="580"/>
    <x v="579"/>
    <x v="0"/>
    <x v="12"/>
    <x v="11"/>
    <x v="581"/>
    <x v="556"/>
    <x v="581"/>
    <x v="8"/>
    <x v="3"/>
    <x v="338"/>
    <x v="567"/>
    <x v="16"/>
    <x v="99"/>
    <x v="3"/>
    <x v="2"/>
    <x v="2"/>
    <x v="2"/>
    <x v="1"/>
    <x v="1"/>
    <x v="581"/>
    <x v="581"/>
    <x v="581"/>
    <x v="581"/>
  </r>
  <r>
    <x v="581"/>
    <x v="580"/>
    <x v="4"/>
    <x v="11"/>
    <x v="9"/>
    <x v="582"/>
    <x v="557"/>
    <x v="582"/>
    <x v="4"/>
    <x v="2"/>
    <x v="339"/>
    <x v="568"/>
    <x v="20"/>
    <x v="396"/>
    <x v="1"/>
    <x v="1"/>
    <x v="0"/>
    <x v="3"/>
    <x v="1"/>
    <x v="1"/>
    <x v="582"/>
    <x v="582"/>
    <x v="582"/>
    <x v="582"/>
  </r>
  <r>
    <x v="582"/>
    <x v="581"/>
    <x v="0"/>
    <x v="12"/>
    <x v="10"/>
    <x v="583"/>
    <x v="558"/>
    <x v="583"/>
    <x v="1"/>
    <x v="17"/>
    <x v="340"/>
    <x v="569"/>
    <x v="9"/>
    <x v="169"/>
    <x v="2"/>
    <x v="4"/>
    <x v="2"/>
    <x v="1"/>
    <x v="1"/>
    <x v="1"/>
    <x v="583"/>
    <x v="583"/>
    <x v="583"/>
    <x v="583"/>
  </r>
  <r>
    <x v="583"/>
    <x v="582"/>
    <x v="2"/>
    <x v="14"/>
    <x v="3"/>
    <x v="584"/>
    <x v="559"/>
    <x v="584"/>
    <x v="20"/>
    <x v="6"/>
    <x v="282"/>
    <x v="570"/>
    <x v="16"/>
    <x v="397"/>
    <x v="3"/>
    <x v="3"/>
    <x v="1"/>
    <x v="1"/>
    <x v="0"/>
    <x v="0"/>
    <x v="584"/>
    <x v="584"/>
    <x v="584"/>
    <x v="584"/>
  </r>
  <r>
    <x v="584"/>
    <x v="583"/>
    <x v="0"/>
    <x v="15"/>
    <x v="7"/>
    <x v="585"/>
    <x v="560"/>
    <x v="585"/>
    <x v="4"/>
    <x v="31"/>
    <x v="273"/>
    <x v="571"/>
    <x v="9"/>
    <x v="398"/>
    <x v="1"/>
    <x v="0"/>
    <x v="0"/>
    <x v="3"/>
    <x v="1"/>
    <x v="1"/>
    <x v="585"/>
    <x v="585"/>
    <x v="585"/>
    <x v="585"/>
  </r>
  <r>
    <x v="585"/>
    <x v="584"/>
    <x v="3"/>
    <x v="13"/>
    <x v="4"/>
    <x v="586"/>
    <x v="561"/>
    <x v="586"/>
    <x v="2"/>
    <x v="31"/>
    <x v="263"/>
    <x v="572"/>
    <x v="1"/>
    <x v="277"/>
    <x v="0"/>
    <x v="0"/>
    <x v="2"/>
    <x v="1"/>
    <x v="1"/>
    <x v="1"/>
    <x v="586"/>
    <x v="586"/>
    <x v="586"/>
    <x v="586"/>
  </r>
  <r>
    <x v="586"/>
    <x v="585"/>
    <x v="1"/>
    <x v="1"/>
    <x v="3"/>
    <x v="587"/>
    <x v="562"/>
    <x v="587"/>
    <x v="13"/>
    <x v="105"/>
    <x v="203"/>
    <x v="573"/>
    <x v="17"/>
    <x v="139"/>
    <x v="4"/>
    <x v="3"/>
    <x v="1"/>
    <x v="2"/>
    <x v="1"/>
    <x v="3"/>
    <x v="587"/>
    <x v="587"/>
    <x v="587"/>
    <x v="587"/>
  </r>
  <r>
    <x v="587"/>
    <x v="586"/>
    <x v="0"/>
    <x v="0"/>
    <x v="0"/>
    <x v="588"/>
    <x v="563"/>
    <x v="588"/>
    <x v="2"/>
    <x v="25"/>
    <x v="341"/>
    <x v="574"/>
    <x v="1"/>
    <x v="315"/>
    <x v="2"/>
    <x v="1"/>
    <x v="2"/>
    <x v="0"/>
    <x v="1"/>
    <x v="1"/>
    <x v="588"/>
    <x v="588"/>
    <x v="588"/>
    <x v="588"/>
  </r>
  <r>
    <x v="588"/>
    <x v="587"/>
    <x v="0"/>
    <x v="15"/>
    <x v="11"/>
    <x v="589"/>
    <x v="564"/>
    <x v="589"/>
    <x v="18"/>
    <x v="25"/>
    <x v="342"/>
    <x v="575"/>
    <x v="10"/>
    <x v="136"/>
    <x v="0"/>
    <x v="4"/>
    <x v="1"/>
    <x v="1"/>
    <x v="1"/>
    <x v="2"/>
    <x v="589"/>
    <x v="589"/>
    <x v="589"/>
    <x v="589"/>
  </r>
  <r>
    <x v="589"/>
    <x v="588"/>
    <x v="1"/>
    <x v="1"/>
    <x v="10"/>
    <x v="590"/>
    <x v="565"/>
    <x v="590"/>
    <x v="9"/>
    <x v="106"/>
    <x v="93"/>
    <x v="576"/>
    <x v="15"/>
    <x v="219"/>
    <x v="1"/>
    <x v="4"/>
    <x v="2"/>
    <x v="0"/>
    <x v="1"/>
    <x v="1"/>
    <x v="590"/>
    <x v="590"/>
    <x v="590"/>
    <x v="590"/>
  </r>
  <r>
    <x v="590"/>
    <x v="589"/>
    <x v="4"/>
    <x v="11"/>
    <x v="2"/>
    <x v="591"/>
    <x v="566"/>
    <x v="591"/>
    <x v="10"/>
    <x v="28"/>
    <x v="271"/>
    <x v="577"/>
    <x v="0"/>
    <x v="142"/>
    <x v="1"/>
    <x v="3"/>
    <x v="2"/>
    <x v="0"/>
    <x v="1"/>
    <x v="3"/>
    <x v="591"/>
    <x v="591"/>
    <x v="591"/>
    <x v="591"/>
  </r>
  <r>
    <x v="591"/>
    <x v="590"/>
    <x v="2"/>
    <x v="14"/>
    <x v="2"/>
    <x v="592"/>
    <x v="533"/>
    <x v="592"/>
    <x v="11"/>
    <x v="3"/>
    <x v="213"/>
    <x v="578"/>
    <x v="7"/>
    <x v="399"/>
    <x v="4"/>
    <x v="0"/>
    <x v="1"/>
    <x v="3"/>
    <x v="1"/>
    <x v="2"/>
    <x v="592"/>
    <x v="592"/>
    <x v="592"/>
    <x v="592"/>
  </r>
  <r>
    <x v="592"/>
    <x v="591"/>
    <x v="0"/>
    <x v="15"/>
    <x v="11"/>
    <x v="593"/>
    <x v="567"/>
    <x v="593"/>
    <x v="1"/>
    <x v="20"/>
    <x v="343"/>
    <x v="579"/>
    <x v="23"/>
    <x v="183"/>
    <x v="3"/>
    <x v="2"/>
    <x v="0"/>
    <x v="3"/>
    <x v="0"/>
    <x v="0"/>
    <x v="593"/>
    <x v="593"/>
    <x v="593"/>
    <x v="593"/>
  </r>
  <r>
    <x v="593"/>
    <x v="592"/>
    <x v="1"/>
    <x v="8"/>
    <x v="1"/>
    <x v="594"/>
    <x v="568"/>
    <x v="594"/>
    <x v="9"/>
    <x v="55"/>
    <x v="344"/>
    <x v="580"/>
    <x v="10"/>
    <x v="400"/>
    <x v="1"/>
    <x v="1"/>
    <x v="2"/>
    <x v="3"/>
    <x v="1"/>
    <x v="2"/>
    <x v="594"/>
    <x v="594"/>
    <x v="594"/>
    <x v="594"/>
  </r>
  <r>
    <x v="594"/>
    <x v="593"/>
    <x v="4"/>
    <x v="11"/>
    <x v="9"/>
    <x v="595"/>
    <x v="569"/>
    <x v="595"/>
    <x v="23"/>
    <x v="2"/>
    <x v="289"/>
    <x v="581"/>
    <x v="17"/>
    <x v="401"/>
    <x v="5"/>
    <x v="0"/>
    <x v="0"/>
    <x v="2"/>
    <x v="1"/>
    <x v="3"/>
    <x v="595"/>
    <x v="595"/>
    <x v="595"/>
    <x v="595"/>
  </r>
  <r>
    <x v="595"/>
    <x v="594"/>
    <x v="3"/>
    <x v="13"/>
    <x v="1"/>
    <x v="596"/>
    <x v="570"/>
    <x v="596"/>
    <x v="8"/>
    <x v="25"/>
    <x v="217"/>
    <x v="582"/>
    <x v="14"/>
    <x v="402"/>
    <x v="3"/>
    <x v="2"/>
    <x v="2"/>
    <x v="1"/>
    <x v="0"/>
    <x v="0"/>
    <x v="596"/>
    <x v="596"/>
    <x v="596"/>
    <x v="596"/>
  </r>
  <r>
    <x v="596"/>
    <x v="595"/>
    <x v="0"/>
    <x v="12"/>
    <x v="10"/>
    <x v="597"/>
    <x v="571"/>
    <x v="597"/>
    <x v="17"/>
    <x v="34"/>
    <x v="345"/>
    <x v="583"/>
    <x v="9"/>
    <x v="146"/>
    <x v="5"/>
    <x v="2"/>
    <x v="1"/>
    <x v="1"/>
    <x v="1"/>
    <x v="1"/>
    <x v="597"/>
    <x v="597"/>
    <x v="597"/>
    <x v="597"/>
  </r>
  <r>
    <x v="597"/>
    <x v="596"/>
    <x v="3"/>
    <x v="4"/>
    <x v="9"/>
    <x v="598"/>
    <x v="572"/>
    <x v="598"/>
    <x v="2"/>
    <x v="3"/>
    <x v="313"/>
    <x v="584"/>
    <x v="22"/>
    <x v="354"/>
    <x v="0"/>
    <x v="4"/>
    <x v="0"/>
    <x v="1"/>
    <x v="1"/>
    <x v="3"/>
    <x v="598"/>
    <x v="598"/>
    <x v="598"/>
    <x v="598"/>
  </r>
  <r>
    <x v="598"/>
    <x v="597"/>
    <x v="3"/>
    <x v="4"/>
    <x v="0"/>
    <x v="599"/>
    <x v="573"/>
    <x v="599"/>
    <x v="17"/>
    <x v="11"/>
    <x v="346"/>
    <x v="585"/>
    <x v="11"/>
    <x v="403"/>
    <x v="1"/>
    <x v="2"/>
    <x v="0"/>
    <x v="1"/>
    <x v="1"/>
    <x v="1"/>
    <x v="599"/>
    <x v="599"/>
    <x v="599"/>
    <x v="599"/>
  </r>
  <r>
    <x v="599"/>
    <x v="598"/>
    <x v="0"/>
    <x v="0"/>
    <x v="6"/>
    <x v="600"/>
    <x v="574"/>
    <x v="600"/>
    <x v="2"/>
    <x v="93"/>
    <x v="270"/>
    <x v="353"/>
    <x v="2"/>
    <x v="231"/>
    <x v="5"/>
    <x v="0"/>
    <x v="2"/>
    <x v="3"/>
    <x v="1"/>
    <x v="1"/>
    <x v="600"/>
    <x v="600"/>
    <x v="600"/>
    <x v="600"/>
  </r>
  <r>
    <x v="600"/>
    <x v="599"/>
    <x v="3"/>
    <x v="13"/>
    <x v="0"/>
    <x v="601"/>
    <x v="575"/>
    <x v="601"/>
    <x v="18"/>
    <x v="40"/>
    <x v="295"/>
    <x v="586"/>
    <x v="14"/>
    <x v="404"/>
    <x v="3"/>
    <x v="0"/>
    <x v="1"/>
    <x v="0"/>
    <x v="1"/>
    <x v="2"/>
    <x v="601"/>
    <x v="601"/>
    <x v="601"/>
    <x v="601"/>
  </r>
  <r>
    <x v="601"/>
    <x v="600"/>
    <x v="1"/>
    <x v="1"/>
    <x v="3"/>
    <x v="602"/>
    <x v="576"/>
    <x v="602"/>
    <x v="6"/>
    <x v="86"/>
    <x v="119"/>
    <x v="587"/>
    <x v="24"/>
    <x v="113"/>
    <x v="3"/>
    <x v="2"/>
    <x v="1"/>
    <x v="0"/>
    <x v="1"/>
    <x v="1"/>
    <x v="602"/>
    <x v="602"/>
    <x v="602"/>
    <x v="602"/>
  </r>
  <r>
    <x v="602"/>
    <x v="601"/>
    <x v="0"/>
    <x v="12"/>
    <x v="6"/>
    <x v="603"/>
    <x v="577"/>
    <x v="603"/>
    <x v="7"/>
    <x v="16"/>
    <x v="328"/>
    <x v="588"/>
    <x v="7"/>
    <x v="405"/>
    <x v="5"/>
    <x v="2"/>
    <x v="1"/>
    <x v="3"/>
    <x v="1"/>
    <x v="1"/>
    <x v="603"/>
    <x v="603"/>
    <x v="603"/>
    <x v="603"/>
  </r>
  <r>
    <x v="603"/>
    <x v="602"/>
    <x v="2"/>
    <x v="10"/>
    <x v="6"/>
    <x v="604"/>
    <x v="578"/>
    <x v="604"/>
    <x v="5"/>
    <x v="30"/>
    <x v="83"/>
    <x v="589"/>
    <x v="16"/>
    <x v="406"/>
    <x v="2"/>
    <x v="3"/>
    <x v="2"/>
    <x v="3"/>
    <x v="1"/>
    <x v="3"/>
    <x v="604"/>
    <x v="604"/>
    <x v="604"/>
    <x v="604"/>
  </r>
  <r>
    <x v="604"/>
    <x v="603"/>
    <x v="4"/>
    <x v="11"/>
    <x v="5"/>
    <x v="605"/>
    <x v="326"/>
    <x v="605"/>
    <x v="1"/>
    <x v="31"/>
    <x v="268"/>
    <x v="590"/>
    <x v="8"/>
    <x v="10"/>
    <x v="5"/>
    <x v="3"/>
    <x v="2"/>
    <x v="1"/>
    <x v="1"/>
    <x v="1"/>
    <x v="605"/>
    <x v="605"/>
    <x v="605"/>
    <x v="605"/>
  </r>
  <r>
    <x v="605"/>
    <x v="604"/>
    <x v="2"/>
    <x v="10"/>
    <x v="3"/>
    <x v="606"/>
    <x v="579"/>
    <x v="606"/>
    <x v="7"/>
    <x v="18"/>
    <x v="347"/>
    <x v="591"/>
    <x v="7"/>
    <x v="160"/>
    <x v="1"/>
    <x v="4"/>
    <x v="0"/>
    <x v="0"/>
    <x v="1"/>
    <x v="2"/>
    <x v="606"/>
    <x v="606"/>
    <x v="606"/>
    <x v="606"/>
  </r>
  <r>
    <x v="606"/>
    <x v="605"/>
    <x v="0"/>
    <x v="12"/>
    <x v="11"/>
    <x v="607"/>
    <x v="580"/>
    <x v="607"/>
    <x v="7"/>
    <x v="1"/>
    <x v="324"/>
    <x v="592"/>
    <x v="22"/>
    <x v="249"/>
    <x v="4"/>
    <x v="1"/>
    <x v="0"/>
    <x v="0"/>
    <x v="1"/>
    <x v="2"/>
    <x v="607"/>
    <x v="607"/>
    <x v="607"/>
    <x v="607"/>
  </r>
  <r>
    <x v="607"/>
    <x v="606"/>
    <x v="2"/>
    <x v="14"/>
    <x v="8"/>
    <x v="608"/>
    <x v="581"/>
    <x v="608"/>
    <x v="7"/>
    <x v="6"/>
    <x v="348"/>
    <x v="189"/>
    <x v="20"/>
    <x v="407"/>
    <x v="2"/>
    <x v="1"/>
    <x v="2"/>
    <x v="2"/>
    <x v="1"/>
    <x v="1"/>
    <x v="608"/>
    <x v="608"/>
    <x v="608"/>
    <x v="608"/>
  </r>
  <r>
    <x v="608"/>
    <x v="607"/>
    <x v="4"/>
    <x v="7"/>
    <x v="2"/>
    <x v="609"/>
    <x v="582"/>
    <x v="609"/>
    <x v="1"/>
    <x v="1"/>
    <x v="349"/>
    <x v="593"/>
    <x v="3"/>
    <x v="303"/>
    <x v="1"/>
    <x v="2"/>
    <x v="2"/>
    <x v="3"/>
    <x v="1"/>
    <x v="3"/>
    <x v="609"/>
    <x v="609"/>
    <x v="609"/>
    <x v="609"/>
  </r>
  <r>
    <x v="609"/>
    <x v="608"/>
    <x v="1"/>
    <x v="2"/>
    <x v="6"/>
    <x v="610"/>
    <x v="583"/>
    <x v="610"/>
    <x v="9"/>
    <x v="15"/>
    <x v="211"/>
    <x v="594"/>
    <x v="15"/>
    <x v="408"/>
    <x v="2"/>
    <x v="2"/>
    <x v="2"/>
    <x v="2"/>
    <x v="1"/>
    <x v="1"/>
    <x v="610"/>
    <x v="610"/>
    <x v="610"/>
    <x v="610"/>
  </r>
  <r>
    <x v="610"/>
    <x v="609"/>
    <x v="0"/>
    <x v="9"/>
    <x v="11"/>
    <x v="611"/>
    <x v="584"/>
    <x v="611"/>
    <x v="3"/>
    <x v="30"/>
    <x v="227"/>
    <x v="62"/>
    <x v="7"/>
    <x v="409"/>
    <x v="5"/>
    <x v="2"/>
    <x v="1"/>
    <x v="2"/>
    <x v="1"/>
    <x v="1"/>
    <x v="611"/>
    <x v="611"/>
    <x v="611"/>
    <x v="611"/>
  </r>
  <r>
    <x v="611"/>
    <x v="610"/>
    <x v="4"/>
    <x v="6"/>
    <x v="0"/>
    <x v="612"/>
    <x v="183"/>
    <x v="612"/>
    <x v="20"/>
    <x v="4"/>
    <x v="77"/>
    <x v="595"/>
    <x v="16"/>
    <x v="26"/>
    <x v="4"/>
    <x v="1"/>
    <x v="0"/>
    <x v="2"/>
    <x v="1"/>
    <x v="3"/>
    <x v="612"/>
    <x v="612"/>
    <x v="612"/>
    <x v="612"/>
  </r>
  <r>
    <x v="612"/>
    <x v="611"/>
    <x v="1"/>
    <x v="8"/>
    <x v="7"/>
    <x v="613"/>
    <x v="585"/>
    <x v="613"/>
    <x v="19"/>
    <x v="58"/>
    <x v="90"/>
    <x v="596"/>
    <x v="16"/>
    <x v="41"/>
    <x v="5"/>
    <x v="2"/>
    <x v="1"/>
    <x v="1"/>
    <x v="1"/>
    <x v="1"/>
    <x v="613"/>
    <x v="613"/>
    <x v="613"/>
    <x v="613"/>
  </r>
  <r>
    <x v="613"/>
    <x v="612"/>
    <x v="1"/>
    <x v="8"/>
    <x v="6"/>
    <x v="614"/>
    <x v="210"/>
    <x v="614"/>
    <x v="4"/>
    <x v="14"/>
    <x v="13"/>
    <x v="597"/>
    <x v="23"/>
    <x v="87"/>
    <x v="5"/>
    <x v="3"/>
    <x v="2"/>
    <x v="2"/>
    <x v="1"/>
    <x v="1"/>
    <x v="614"/>
    <x v="614"/>
    <x v="614"/>
    <x v="614"/>
  </r>
  <r>
    <x v="614"/>
    <x v="613"/>
    <x v="2"/>
    <x v="3"/>
    <x v="8"/>
    <x v="615"/>
    <x v="586"/>
    <x v="615"/>
    <x v="12"/>
    <x v="8"/>
    <x v="250"/>
    <x v="598"/>
    <x v="15"/>
    <x v="340"/>
    <x v="4"/>
    <x v="3"/>
    <x v="1"/>
    <x v="2"/>
    <x v="1"/>
    <x v="3"/>
    <x v="615"/>
    <x v="615"/>
    <x v="615"/>
    <x v="615"/>
  </r>
  <r>
    <x v="615"/>
    <x v="614"/>
    <x v="2"/>
    <x v="3"/>
    <x v="11"/>
    <x v="616"/>
    <x v="587"/>
    <x v="616"/>
    <x v="1"/>
    <x v="3"/>
    <x v="350"/>
    <x v="599"/>
    <x v="22"/>
    <x v="210"/>
    <x v="3"/>
    <x v="2"/>
    <x v="1"/>
    <x v="1"/>
    <x v="1"/>
    <x v="2"/>
    <x v="616"/>
    <x v="616"/>
    <x v="616"/>
    <x v="616"/>
  </r>
  <r>
    <x v="616"/>
    <x v="615"/>
    <x v="2"/>
    <x v="3"/>
    <x v="7"/>
    <x v="617"/>
    <x v="588"/>
    <x v="617"/>
    <x v="14"/>
    <x v="107"/>
    <x v="234"/>
    <x v="600"/>
    <x v="3"/>
    <x v="72"/>
    <x v="3"/>
    <x v="4"/>
    <x v="1"/>
    <x v="2"/>
    <x v="0"/>
    <x v="0"/>
    <x v="617"/>
    <x v="617"/>
    <x v="617"/>
    <x v="617"/>
  </r>
  <r>
    <x v="617"/>
    <x v="616"/>
    <x v="1"/>
    <x v="8"/>
    <x v="10"/>
    <x v="618"/>
    <x v="589"/>
    <x v="618"/>
    <x v="24"/>
    <x v="25"/>
    <x v="36"/>
    <x v="601"/>
    <x v="24"/>
    <x v="410"/>
    <x v="4"/>
    <x v="3"/>
    <x v="0"/>
    <x v="2"/>
    <x v="0"/>
    <x v="0"/>
    <x v="618"/>
    <x v="618"/>
    <x v="618"/>
    <x v="618"/>
  </r>
  <r>
    <x v="618"/>
    <x v="617"/>
    <x v="0"/>
    <x v="9"/>
    <x v="1"/>
    <x v="619"/>
    <x v="9"/>
    <x v="619"/>
    <x v="17"/>
    <x v="29"/>
    <x v="351"/>
    <x v="602"/>
    <x v="11"/>
    <x v="282"/>
    <x v="5"/>
    <x v="2"/>
    <x v="1"/>
    <x v="0"/>
    <x v="1"/>
    <x v="3"/>
    <x v="619"/>
    <x v="619"/>
    <x v="619"/>
    <x v="619"/>
  </r>
  <r>
    <x v="619"/>
    <x v="618"/>
    <x v="2"/>
    <x v="10"/>
    <x v="6"/>
    <x v="620"/>
    <x v="590"/>
    <x v="620"/>
    <x v="10"/>
    <x v="11"/>
    <x v="286"/>
    <x v="603"/>
    <x v="3"/>
    <x v="411"/>
    <x v="4"/>
    <x v="0"/>
    <x v="2"/>
    <x v="2"/>
    <x v="1"/>
    <x v="3"/>
    <x v="620"/>
    <x v="620"/>
    <x v="620"/>
    <x v="620"/>
  </r>
  <r>
    <x v="620"/>
    <x v="619"/>
    <x v="0"/>
    <x v="15"/>
    <x v="9"/>
    <x v="621"/>
    <x v="591"/>
    <x v="621"/>
    <x v="18"/>
    <x v="108"/>
    <x v="66"/>
    <x v="604"/>
    <x v="7"/>
    <x v="412"/>
    <x v="4"/>
    <x v="0"/>
    <x v="0"/>
    <x v="0"/>
    <x v="0"/>
    <x v="0"/>
    <x v="621"/>
    <x v="621"/>
    <x v="621"/>
    <x v="621"/>
  </r>
  <r>
    <x v="621"/>
    <x v="620"/>
    <x v="3"/>
    <x v="13"/>
    <x v="6"/>
    <x v="622"/>
    <x v="592"/>
    <x v="622"/>
    <x v="8"/>
    <x v="7"/>
    <x v="352"/>
    <x v="605"/>
    <x v="9"/>
    <x v="413"/>
    <x v="3"/>
    <x v="1"/>
    <x v="2"/>
    <x v="1"/>
    <x v="1"/>
    <x v="2"/>
    <x v="622"/>
    <x v="622"/>
    <x v="622"/>
    <x v="622"/>
  </r>
  <r>
    <x v="622"/>
    <x v="621"/>
    <x v="4"/>
    <x v="6"/>
    <x v="1"/>
    <x v="623"/>
    <x v="593"/>
    <x v="623"/>
    <x v="10"/>
    <x v="1"/>
    <x v="139"/>
    <x v="606"/>
    <x v="14"/>
    <x v="274"/>
    <x v="3"/>
    <x v="1"/>
    <x v="2"/>
    <x v="2"/>
    <x v="1"/>
    <x v="1"/>
    <x v="623"/>
    <x v="623"/>
    <x v="623"/>
    <x v="623"/>
  </r>
  <r>
    <x v="623"/>
    <x v="211"/>
    <x v="1"/>
    <x v="1"/>
    <x v="2"/>
    <x v="624"/>
    <x v="594"/>
    <x v="624"/>
    <x v="10"/>
    <x v="25"/>
    <x v="319"/>
    <x v="607"/>
    <x v="17"/>
    <x v="414"/>
    <x v="0"/>
    <x v="2"/>
    <x v="0"/>
    <x v="3"/>
    <x v="1"/>
    <x v="2"/>
    <x v="624"/>
    <x v="624"/>
    <x v="624"/>
    <x v="624"/>
  </r>
  <r>
    <x v="624"/>
    <x v="622"/>
    <x v="2"/>
    <x v="3"/>
    <x v="6"/>
    <x v="625"/>
    <x v="595"/>
    <x v="625"/>
    <x v="10"/>
    <x v="31"/>
    <x v="353"/>
    <x v="608"/>
    <x v="18"/>
    <x v="415"/>
    <x v="1"/>
    <x v="2"/>
    <x v="1"/>
    <x v="0"/>
    <x v="1"/>
    <x v="1"/>
    <x v="625"/>
    <x v="625"/>
    <x v="625"/>
    <x v="625"/>
  </r>
  <r>
    <x v="625"/>
    <x v="623"/>
    <x v="0"/>
    <x v="9"/>
    <x v="3"/>
    <x v="626"/>
    <x v="596"/>
    <x v="626"/>
    <x v="4"/>
    <x v="18"/>
    <x v="354"/>
    <x v="609"/>
    <x v="12"/>
    <x v="212"/>
    <x v="2"/>
    <x v="4"/>
    <x v="0"/>
    <x v="1"/>
    <x v="1"/>
    <x v="3"/>
    <x v="626"/>
    <x v="626"/>
    <x v="626"/>
    <x v="626"/>
  </r>
  <r>
    <x v="626"/>
    <x v="624"/>
    <x v="4"/>
    <x v="6"/>
    <x v="2"/>
    <x v="627"/>
    <x v="597"/>
    <x v="627"/>
    <x v="6"/>
    <x v="17"/>
    <x v="355"/>
    <x v="610"/>
    <x v="8"/>
    <x v="416"/>
    <x v="5"/>
    <x v="0"/>
    <x v="0"/>
    <x v="2"/>
    <x v="0"/>
    <x v="0"/>
    <x v="627"/>
    <x v="627"/>
    <x v="627"/>
    <x v="627"/>
  </r>
  <r>
    <x v="627"/>
    <x v="625"/>
    <x v="0"/>
    <x v="0"/>
    <x v="8"/>
    <x v="628"/>
    <x v="581"/>
    <x v="628"/>
    <x v="2"/>
    <x v="40"/>
    <x v="186"/>
    <x v="611"/>
    <x v="1"/>
    <x v="111"/>
    <x v="4"/>
    <x v="0"/>
    <x v="1"/>
    <x v="1"/>
    <x v="1"/>
    <x v="1"/>
    <x v="628"/>
    <x v="628"/>
    <x v="628"/>
    <x v="628"/>
  </r>
  <r>
    <x v="628"/>
    <x v="626"/>
    <x v="3"/>
    <x v="4"/>
    <x v="11"/>
    <x v="629"/>
    <x v="598"/>
    <x v="629"/>
    <x v="13"/>
    <x v="10"/>
    <x v="301"/>
    <x v="612"/>
    <x v="12"/>
    <x v="217"/>
    <x v="2"/>
    <x v="4"/>
    <x v="2"/>
    <x v="1"/>
    <x v="1"/>
    <x v="2"/>
    <x v="629"/>
    <x v="629"/>
    <x v="629"/>
    <x v="629"/>
  </r>
  <r>
    <x v="629"/>
    <x v="627"/>
    <x v="2"/>
    <x v="14"/>
    <x v="9"/>
    <x v="630"/>
    <x v="599"/>
    <x v="630"/>
    <x v="2"/>
    <x v="19"/>
    <x v="31"/>
    <x v="613"/>
    <x v="8"/>
    <x v="417"/>
    <x v="5"/>
    <x v="4"/>
    <x v="0"/>
    <x v="2"/>
    <x v="1"/>
    <x v="2"/>
    <x v="630"/>
    <x v="630"/>
    <x v="630"/>
    <x v="630"/>
  </r>
  <r>
    <x v="630"/>
    <x v="628"/>
    <x v="3"/>
    <x v="4"/>
    <x v="10"/>
    <x v="631"/>
    <x v="600"/>
    <x v="631"/>
    <x v="4"/>
    <x v="80"/>
    <x v="356"/>
    <x v="614"/>
    <x v="7"/>
    <x v="160"/>
    <x v="2"/>
    <x v="1"/>
    <x v="2"/>
    <x v="0"/>
    <x v="1"/>
    <x v="3"/>
    <x v="631"/>
    <x v="631"/>
    <x v="631"/>
    <x v="631"/>
  </r>
  <r>
    <x v="631"/>
    <x v="629"/>
    <x v="3"/>
    <x v="5"/>
    <x v="9"/>
    <x v="632"/>
    <x v="601"/>
    <x v="632"/>
    <x v="0"/>
    <x v="30"/>
    <x v="357"/>
    <x v="615"/>
    <x v="2"/>
    <x v="418"/>
    <x v="5"/>
    <x v="4"/>
    <x v="0"/>
    <x v="3"/>
    <x v="1"/>
    <x v="3"/>
    <x v="632"/>
    <x v="632"/>
    <x v="632"/>
    <x v="632"/>
  </r>
  <r>
    <x v="632"/>
    <x v="630"/>
    <x v="1"/>
    <x v="2"/>
    <x v="2"/>
    <x v="633"/>
    <x v="602"/>
    <x v="633"/>
    <x v="1"/>
    <x v="33"/>
    <x v="136"/>
    <x v="616"/>
    <x v="22"/>
    <x v="279"/>
    <x v="4"/>
    <x v="0"/>
    <x v="1"/>
    <x v="3"/>
    <x v="1"/>
    <x v="3"/>
    <x v="633"/>
    <x v="633"/>
    <x v="633"/>
    <x v="633"/>
  </r>
  <r>
    <x v="633"/>
    <x v="631"/>
    <x v="3"/>
    <x v="13"/>
    <x v="2"/>
    <x v="634"/>
    <x v="603"/>
    <x v="634"/>
    <x v="20"/>
    <x v="42"/>
    <x v="111"/>
    <x v="617"/>
    <x v="5"/>
    <x v="92"/>
    <x v="5"/>
    <x v="3"/>
    <x v="2"/>
    <x v="0"/>
    <x v="1"/>
    <x v="3"/>
    <x v="634"/>
    <x v="634"/>
    <x v="634"/>
    <x v="634"/>
  </r>
  <r>
    <x v="634"/>
    <x v="632"/>
    <x v="0"/>
    <x v="12"/>
    <x v="10"/>
    <x v="635"/>
    <x v="604"/>
    <x v="635"/>
    <x v="8"/>
    <x v="18"/>
    <x v="358"/>
    <x v="618"/>
    <x v="19"/>
    <x v="391"/>
    <x v="1"/>
    <x v="1"/>
    <x v="1"/>
    <x v="1"/>
    <x v="1"/>
    <x v="1"/>
    <x v="635"/>
    <x v="635"/>
    <x v="635"/>
    <x v="635"/>
  </r>
  <r>
    <x v="635"/>
    <x v="633"/>
    <x v="2"/>
    <x v="14"/>
    <x v="10"/>
    <x v="636"/>
    <x v="605"/>
    <x v="636"/>
    <x v="1"/>
    <x v="1"/>
    <x v="231"/>
    <x v="619"/>
    <x v="17"/>
    <x v="419"/>
    <x v="4"/>
    <x v="0"/>
    <x v="0"/>
    <x v="1"/>
    <x v="1"/>
    <x v="3"/>
    <x v="636"/>
    <x v="636"/>
    <x v="636"/>
    <x v="636"/>
  </r>
  <r>
    <x v="636"/>
    <x v="634"/>
    <x v="0"/>
    <x v="12"/>
    <x v="7"/>
    <x v="637"/>
    <x v="228"/>
    <x v="637"/>
    <x v="20"/>
    <x v="7"/>
    <x v="359"/>
    <x v="336"/>
    <x v="22"/>
    <x v="420"/>
    <x v="2"/>
    <x v="2"/>
    <x v="0"/>
    <x v="0"/>
    <x v="1"/>
    <x v="1"/>
    <x v="637"/>
    <x v="637"/>
    <x v="637"/>
    <x v="637"/>
  </r>
  <r>
    <x v="637"/>
    <x v="635"/>
    <x v="2"/>
    <x v="10"/>
    <x v="5"/>
    <x v="638"/>
    <x v="606"/>
    <x v="638"/>
    <x v="6"/>
    <x v="40"/>
    <x v="339"/>
    <x v="620"/>
    <x v="22"/>
    <x v="62"/>
    <x v="5"/>
    <x v="2"/>
    <x v="1"/>
    <x v="2"/>
    <x v="1"/>
    <x v="2"/>
    <x v="638"/>
    <x v="638"/>
    <x v="638"/>
    <x v="638"/>
  </r>
  <r>
    <x v="638"/>
    <x v="636"/>
    <x v="4"/>
    <x v="7"/>
    <x v="4"/>
    <x v="639"/>
    <x v="607"/>
    <x v="639"/>
    <x v="7"/>
    <x v="9"/>
    <x v="360"/>
    <x v="621"/>
    <x v="1"/>
    <x v="421"/>
    <x v="2"/>
    <x v="3"/>
    <x v="2"/>
    <x v="0"/>
    <x v="1"/>
    <x v="1"/>
    <x v="639"/>
    <x v="639"/>
    <x v="639"/>
    <x v="639"/>
  </r>
  <r>
    <x v="639"/>
    <x v="637"/>
    <x v="4"/>
    <x v="11"/>
    <x v="2"/>
    <x v="640"/>
    <x v="608"/>
    <x v="640"/>
    <x v="15"/>
    <x v="86"/>
    <x v="361"/>
    <x v="622"/>
    <x v="22"/>
    <x v="282"/>
    <x v="1"/>
    <x v="1"/>
    <x v="1"/>
    <x v="1"/>
    <x v="1"/>
    <x v="2"/>
    <x v="640"/>
    <x v="640"/>
    <x v="640"/>
    <x v="640"/>
  </r>
  <r>
    <x v="640"/>
    <x v="638"/>
    <x v="3"/>
    <x v="4"/>
    <x v="9"/>
    <x v="641"/>
    <x v="609"/>
    <x v="641"/>
    <x v="17"/>
    <x v="25"/>
    <x v="362"/>
    <x v="623"/>
    <x v="22"/>
    <x v="368"/>
    <x v="2"/>
    <x v="0"/>
    <x v="1"/>
    <x v="0"/>
    <x v="0"/>
    <x v="0"/>
    <x v="641"/>
    <x v="641"/>
    <x v="641"/>
    <x v="641"/>
  </r>
  <r>
    <x v="641"/>
    <x v="639"/>
    <x v="3"/>
    <x v="4"/>
    <x v="9"/>
    <x v="642"/>
    <x v="610"/>
    <x v="642"/>
    <x v="2"/>
    <x v="71"/>
    <x v="363"/>
    <x v="624"/>
    <x v="22"/>
    <x v="422"/>
    <x v="2"/>
    <x v="2"/>
    <x v="2"/>
    <x v="0"/>
    <x v="1"/>
    <x v="3"/>
    <x v="642"/>
    <x v="642"/>
    <x v="642"/>
    <x v="642"/>
  </r>
  <r>
    <x v="642"/>
    <x v="640"/>
    <x v="2"/>
    <x v="10"/>
    <x v="5"/>
    <x v="643"/>
    <x v="611"/>
    <x v="643"/>
    <x v="2"/>
    <x v="35"/>
    <x v="5"/>
    <x v="625"/>
    <x v="21"/>
    <x v="143"/>
    <x v="5"/>
    <x v="4"/>
    <x v="0"/>
    <x v="2"/>
    <x v="1"/>
    <x v="1"/>
    <x v="643"/>
    <x v="643"/>
    <x v="643"/>
    <x v="643"/>
  </r>
  <r>
    <x v="643"/>
    <x v="641"/>
    <x v="3"/>
    <x v="5"/>
    <x v="0"/>
    <x v="644"/>
    <x v="612"/>
    <x v="644"/>
    <x v="7"/>
    <x v="20"/>
    <x v="205"/>
    <x v="626"/>
    <x v="20"/>
    <x v="408"/>
    <x v="5"/>
    <x v="2"/>
    <x v="1"/>
    <x v="3"/>
    <x v="1"/>
    <x v="3"/>
    <x v="644"/>
    <x v="644"/>
    <x v="644"/>
    <x v="644"/>
  </r>
  <r>
    <x v="644"/>
    <x v="642"/>
    <x v="2"/>
    <x v="3"/>
    <x v="8"/>
    <x v="645"/>
    <x v="613"/>
    <x v="645"/>
    <x v="18"/>
    <x v="34"/>
    <x v="364"/>
    <x v="627"/>
    <x v="11"/>
    <x v="84"/>
    <x v="4"/>
    <x v="4"/>
    <x v="1"/>
    <x v="2"/>
    <x v="0"/>
    <x v="0"/>
    <x v="645"/>
    <x v="645"/>
    <x v="645"/>
    <x v="645"/>
  </r>
  <r>
    <x v="645"/>
    <x v="643"/>
    <x v="3"/>
    <x v="13"/>
    <x v="6"/>
    <x v="646"/>
    <x v="559"/>
    <x v="646"/>
    <x v="11"/>
    <x v="109"/>
    <x v="6"/>
    <x v="628"/>
    <x v="16"/>
    <x v="94"/>
    <x v="2"/>
    <x v="0"/>
    <x v="1"/>
    <x v="0"/>
    <x v="1"/>
    <x v="1"/>
    <x v="646"/>
    <x v="646"/>
    <x v="646"/>
    <x v="646"/>
  </r>
  <r>
    <x v="646"/>
    <x v="644"/>
    <x v="0"/>
    <x v="15"/>
    <x v="11"/>
    <x v="647"/>
    <x v="364"/>
    <x v="647"/>
    <x v="18"/>
    <x v="17"/>
    <x v="365"/>
    <x v="629"/>
    <x v="24"/>
    <x v="423"/>
    <x v="2"/>
    <x v="4"/>
    <x v="0"/>
    <x v="1"/>
    <x v="1"/>
    <x v="2"/>
    <x v="647"/>
    <x v="647"/>
    <x v="647"/>
    <x v="647"/>
  </r>
  <r>
    <x v="647"/>
    <x v="645"/>
    <x v="0"/>
    <x v="12"/>
    <x v="0"/>
    <x v="648"/>
    <x v="453"/>
    <x v="648"/>
    <x v="13"/>
    <x v="1"/>
    <x v="305"/>
    <x v="630"/>
    <x v="14"/>
    <x v="208"/>
    <x v="4"/>
    <x v="1"/>
    <x v="2"/>
    <x v="3"/>
    <x v="1"/>
    <x v="1"/>
    <x v="648"/>
    <x v="648"/>
    <x v="648"/>
    <x v="648"/>
  </r>
  <r>
    <x v="648"/>
    <x v="646"/>
    <x v="1"/>
    <x v="1"/>
    <x v="4"/>
    <x v="649"/>
    <x v="614"/>
    <x v="649"/>
    <x v="8"/>
    <x v="25"/>
    <x v="366"/>
    <x v="631"/>
    <x v="20"/>
    <x v="424"/>
    <x v="0"/>
    <x v="2"/>
    <x v="2"/>
    <x v="0"/>
    <x v="0"/>
    <x v="0"/>
    <x v="649"/>
    <x v="649"/>
    <x v="649"/>
    <x v="649"/>
  </r>
  <r>
    <x v="649"/>
    <x v="647"/>
    <x v="3"/>
    <x v="5"/>
    <x v="0"/>
    <x v="650"/>
    <x v="615"/>
    <x v="650"/>
    <x v="1"/>
    <x v="40"/>
    <x v="205"/>
    <x v="632"/>
    <x v="19"/>
    <x v="425"/>
    <x v="2"/>
    <x v="2"/>
    <x v="0"/>
    <x v="1"/>
    <x v="1"/>
    <x v="3"/>
    <x v="650"/>
    <x v="650"/>
    <x v="650"/>
    <x v="650"/>
  </r>
  <r>
    <x v="650"/>
    <x v="648"/>
    <x v="0"/>
    <x v="12"/>
    <x v="5"/>
    <x v="651"/>
    <x v="616"/>
    <x v="651"/>
    <x v="2"/>
    <x v="30"/>
    <x v="8"/>
    <x v="633"/>
    <x v="11"/>
    <x v="349"/>
    <x v="1"/>
    <x v="2"/>
    <x v="2"/>
    <x v="1"/>
    <x v="1"/>
    <x v="1"/>
    <x v="651"/>
    <x v="651"/>
    <x v="651"/>
    <x v="651"/>
  </r>
  <r>
    <x v="651"/>
    <x v="649"/>
    <x v="2"/>
    <x v="10"/>
    <x v="3"/>
    <x v="652"/>
    <x v="617"/>
    <x v="652"/>
    <x v="16"/>
    <x v="23"/>
    <x v="174"/>
    <x v="634"/>
    <x v="12"/>
    <x v="66"/>
    <x v="1"/>
    <x v="1"/>
    <x v="2"/>
    <x v="3"/>
    <x v="1"/>
    <x v="2"/>
    <x v="652"/>
    <x v="652"/>
    <x v="652"/>
    <x v="652"/>
  </r>
  <r>
    <x v="652"/>
    <x v="650"/>
    <x v="0"/>
    <x v="0"/>
    <x v="4"/>
    <x v="653"/>
    <x v="618"/>
    <x v="653"/>
    <x v="3"/>
    <x v="16"/>
    <x v="133"/>
    <x v="635"/>
    <x v="7"/>
    <x v="426"/>
    <x v="1"/>
    <x v="3"/>
    <x v="1"/>
    <x v="1"/>
    <x v="1"/>
    <x v="1"/>
    <x v="653"/>
    <x v="653"/>
    <x v="653"/>
    <x v="653"/>
  </r>
  <r>
    <x v="653"/>
    <x v="651"/>
    <x v="1"/>
    <x v="1"/>
    <x v="7"/>
    <x v="654"/>
    <x v="619"/>
    <x v="654"/>
    <x v="1"/>
    <x v="6"/>
    <x v="367"/>
    <x v="636"/>
    <x v="19"/>
    <x v="427"/>
    <x v="1"/>
    <x v="2"/>
    <x v="0"/>
    <x v="2"/>
    <x v="1"/>
    <x v="1"/>
    <x v="654"/>
    <x v="654"/>
    <x v="654"/>
    <x v="654"/>
  </r>
  <r>
    <x v="654"/>
    <x v="652"/>
    <x v="1"/>
    <x v="8"/>
    <x v="2"/>
    <x v="655"/>
    <x v="620"/>
    <x v="655"/>
    <x v="5"/>
    <x v="71"/>
    <x v="273"/>
    <x v="637"/>
    <x v="15"/>
    <x v="428"/>
    <x v="4"/>
    <x v="4"/>
    <x v="0"/>
    <x v="3"/>
    <x v="1"/>
    <x v="3"/>
    <x v="655"/>
    <x v="655"/>
    <x v="655"/>
    <x v="655"/>
  </r>
  <r>
    <x v="655"/>
    <x v="653"/>
    <x v="3"/>
    <x v="5"/>
    <x v="9"/>
    <x v="656"/>
    <x v="621"/>
    <x v="656"/>
    <x v="9"/>
    <x v="14"/>
    <x v="5"/>
    <x v="638"/>
    <x v="10"/>
    <x v="347"/>
    <x v="5"/>
    <x v="2"/>
    <x v="1"/>
    <x v="2"/>
    <x v="1"/>
    <x v="3"/>
    <x v="656"/>
    <x v="656"/>
    <x v="656"/>
    <x v="656"/>
  </r>
  <r>
    <x v="656"/>
    <x v="654"/>
    <x v="4"/>
    <x v="7"/>
    <x v="0"/>
    <x v="657"/>
    <x v="622"/>
    <x v="657"/>
    <x v="4"/>
    <x v="28"/>
    <x v="50"/>
    <x v="639"/>
    <x v="13"/>
    <x v="429"/>
    <x v="3"/>
    <x v="2"/>
    <x v="2"/>
    <x v="3"/>
    <x v="1"/>
    <x v="1"/>
    <x v="657"/>
    <x v="657"/>
    <x v="657"/>
    <x v="657"/>
  </r>
  <r>
    <x v="657"/>
    <x v="655"/>
    <x v="1"/>
    <x v="2"/>
    <x v="8"/>
    <x v="658"/>
    <x v="623"/>
    <x v="658"/>
    <x v="5"/>
    <x v="0"/>
    <x v="368"/>
    <x v="640"/>
    <x v="11"/>
    <x v="430"/>
    <x v="5"/>
    <x v="3"/>
    <x v="2"/>
    <x v="3"/>
    <x v="1"/>
    <x v="3"/>
    <x v="658"/>
    <x v="658"/>
    <x v="658"/>
    <x v="658"/>
  </r>
  <r>
    <x v="658"/>
    <x v="656"/>
    <x v="3"/>
    <x v="4"/>
    <x v="6"/>
    <x v="659"/>
    <x v="624"/>
    <x v="659"/>
    <x v="4"/>
    <x v="68"/>
    <x v="129"/>
    <x v="641"/>
    <x v="23"/>
    <x v="115"/>
    <x v="5"/>
    <x v="3"/>
    <x v="1"/>
    <x v="3"/>
    <x v="1"/>
    <x v="2"/>
    <x v="659"/>
    <x v="659"/>
    <x v="659"/>
    <x v="659"/>
  </r>
  <r>
    <x v="659"/>
    <x v="657"/>
    <x v="2"/>
    <x v="10"/>
    <x v="5"/>
    <x v="660"/>
    <x v="625"/>
    <x v="660"/>
    <x v="3"/>
    <x v="110"/>
    <x v="189"/>
    <x v="642"/>
    <x v="11"/>
    <x v="98"/>
    <x v="3"/>
    <x v="3"/>
    <x v="0"/>
    <x v="3"/>
    <x v="1"/>
    <x v="2"/>
    <x v="660"/>
    <x v="660"/>
    <x v="660"/>
    <x v="660"/>
  </r>
  <r>
    <x v="660"/>
    <x v="658"/>
    <x v="4"/>
    <x v="7"/>
    <x v="10"/>
    <x v="661"/>
    <x v="626"/>
    <x v="661"/>
    <x v="3"/>
    <x v="33"/>
    <x v="53"/>
    <x v="643"/>
    <x v="11"/>
    <x v="317"/>
    <x v="0"/>
    <x v="4"/>
    <x v="1"/>
    <x v="1"/>
    <x v="1"/>
    <x v="1"/>
    <x v="661"/>
    <x v="661"/>
    <x v="661"/>
    <x v="661"/>
  </r>
  <r>
    <x v="661"/>
    <x v="659"/>
    <x v="1"/>
    <x v="2"/>
    <x v="3"/>
    <x v="662"/>
    <x v="627"/>
    <x v="662"/>
    <x v="6"/>
    <x v="42"/>
    <x v="224"/>
    <x v="644"/>
    <x v="18"/>
    <x v="431"/>
    <x v="0"/>
    <x v="4"/>
    <x v="2"/>
    <x v="3"/>
    <x v="1"/>
    <x v="2"/>
    <x v="662"/>
    <x v="662"/>
    <x v="662"/>
    <x v="662"/>
  </r>
  <r>
    <x v="662"/>
    <x v="660"/>
    <x v="1"/>
    <x v="1"/>
    <x v="1"/>
    <x v="663"/>
    <x v="628"/>
    <x v="663"/>
    <x v="19"/>
    <x v="6"/>
    <x v="5"/>
    <x v="645"/>
    <x v="9"/>
    <x v="208"/>
    <x v="4"/>
    <x v="1"/>
    <x v="1"/>
    <x v="3"/>
    <x v="1"/>
    <x v="2"/>
    <x v="663"/>
    <x v="663"/>
    <x v="663"/>
    <x v="663"/>
  </r>
  <r>
    <x v="663"/>
    <x v="661"/>
    <x v="0"/>
    <x v="9"/>
    <x v="0"/>
    <x v="664"/>
    <x v="629"/>
    <x v="664"/>
    <x v="12"/>
    <x v="3"/>
    <x v="369"/>
    <x v="646"/>
    <x v="18"/>
    <x v="141"/>
    <x v="4"/>
    <x v="2"/>
    <x v="1"/>
    <x v="0"/>
    <x v="1"/>
    <x v="3"/>
    <x v="664"/>
    <x v="664"/>
    <x v="664"/>
    <x v="664"/>
  </r>
  <r>
    <x v="664"/>
    <x v="662"/>
    <x v="2"/>
    <x v="14"/>
    <x v="0"/>
    <x v="665"/>
    <x v="630"/>
    <x v="665"/>
    <x v="20"/>
    <x v="25"/>
    <x v="15"/>
    <x v="620"/>
    <x v="6"/>
    <x v="432"/>
    <x v="5"/>
    <x v="1"/>
    <x v="0"/>
    <x v="0"/>
    <x v="1"/>
    <x v="1"/>
    <x v="665"/>
    <x v="665"/>
    <x v="665"/>
    <x v="665"/>
  </r>
  <r>
    <x v="665"/>
    <x v="663"/>
    <x v="1"/>
    <x v="2"/>
    <x v="11"/>
    <x v="666"/>
    <x v="631"/>
    <x v="666"/>
    <x v="2"/>
    <x v="45"/>
    <x v="362"/>
    <x v="647"/>
    <x v="12"/>
    <x v="433"/>
    <x v="1"/>
    <x v="4"/>
    <x v="2"/>
    <x v="2"/>
    <x v="1"/>
    <x v="1"/>
    <x v="666"/>
    <x v="666"/>
    <x v="666"/>
    <x v="666"/>
  </r>
  <r>
    <x v="666"/>
    <x v="664"/>
    <x v="3"/>
    <x v="5"/>
    <x v="1"/>
    <x v="667"/>
    <x v="632"/>
    <x v="667"/>
    <x v="16"/>
    <x v="9"/>
    <x v="270"/>
    <x v="648"/>
    <x v="14"/>
    <x v="11"/>
    <x v="5"/>
    <x v="2"/>
    <x v="1"/>
    <x v="3"/>
    <x v="1"/>
    <x v="2"/>
    <x v="667"/>
    <x v="667"/>
    <x v="667"/>
    <x v="667"/>
  </r>
  <r>
    <x v="667"/>
    <x v="665"/>
    <x v="4"/>
    <x v="6"/>
    <x v="1"/>
    <x v="668"/>
    <x v="633"/>
    <x v="668"/>
    <x v="13"/>
    <x v="38"/>
    <x v="81"/>
    <x v="649"/>
    <x v="3"/>
    <x v="434"/>
    <x v="1"/>
    <x v="0"/>
    <x v="2"/>
    <x v="0"/>
    <x v="1"/>
    <x v="3"/>
    <x v="668"/>
    <x v="668"/>
    <x v="668"/>
    <x v="668"/>
  </r>
  <r>
    <x v="668"/>
    <x v="666"/>
    <x v="1"/>
    <x v="2"/>
    <x v="2"/>
    <x v="669"/>
    <x v="162"/>
    <x v="669"/>
    <x v="3"/>
    <x v="80"/>
    <x v="370"/>
    <x v="650"/>
    <x v="0"/>
    <x v="79"/>
    <x v="2"/>
    <x v="0"/>
    <x v="2"/>
    <x v="0"/>
    <x v="0"/>
    <x v="0"/>
    <x v="669"/>
    <x v="669"/>
    <x v="669"/>
    <x v="669"/>
  </r>
  <r>
    <x v="669"/>
    <x v="667"/>
    <x v="0"/>
    <x v="9"/>
    <x v="3"/>
    <x v="670"/>
    <x v="634"/>
    <x v="670"/>
    <x v="13"/>
    <x v="58"/>
    <x v="304"/>
    <x v="651"/>
    <x v="15"/>
    <x v="6"/>
    <x v="3"/>
    <x v="3"/>
    <x v="2"/>
    <x v="1"/>
    <x v="1"/>
    <x v="1"/>
    <x v="670"/>
    <x v="670"/>
    <x v="670"/>
    <x v="670"/>
  </r>
  <r>
    <x v="670"/>
    <x v="668"/>
    <x v="4"/>
    <x v="6"/>
    <x v="1"/>
    <x v="671"/>
    <x v="635"/>
    <x v="671"/>
    <x v="10"/>
    <x v="68"/>
    <x v="29"/>
    <x v="550"/>
    <x v="5"/>
    <x v="380"/>
    <x v="1"/>
    <x v="0"/>
    <x v="2"/>
    <x v="3"/>
    <x v="1"/>
    <x v="1"/>
    <x v="671"/>
    <x v="671"/>
    <x v="671"/>
    <x v="671"/>
  </r>
  <r>
    <x v="671"/>
    <x v="669"/>
    <x v="4"/>
    <x v="6"/>
    <x v="11"/>
    <x v="672"/>
    <x v="636"/>
    <x v="672"/>
    <x v="8"/>
    <x v="55"/>
    <x v="162"/>
    <x v="481"/>
    <x v="17"/>
    <x v="435"/>
    <x v="5"/>
    <x v="3"/>
    <x v="1"/>
    <x v="2"/>
    <x v="1"/>
    <x v="3"/>
    <x v="672"/>
    <x v="672"/>
    <x v="672"/>
    <x v="672"/>
  </r>
  <r>
    <x v="672"/>
    <x v="670"/>
    <x v="0"/>
    <x v="9"/>
    <x v="11"/>
    <x v="673"/>
    <x v="637"/>
    <x v="673"/>
    <x v="12"/>
    <x v="4"/>
    <x v="202"/>
    <x v="652"/>
    <x v="12"/>
    <x v="360"/>
    <x v="2"/>
    <x v="4"/>
    <x v="1"/>
    <x v="3"/>
    <x v="1"/>
    <x v="2"/>
    <x v="673"/>
    <x v="673"/>
    <x v="673"/>
    <x v="673"/>
  </r>
  <r>
    <x v="673"/>
    <x v="671"/>
    <x v="2"/>
    <x v="3"/>
    <x v="2"/>
    <x v="674"/>
    <x v="638"/>
    <x v="674"/>
    <x v="9"/>
    <x v="68"/>
    <x v="371"/>
    <x v="653"/>
    <x v="14"/>
    <x v="199"/>
    <x v="5"/>
    <x v="3"/>
    <x v="2"/>
    <x v="3"/>
    <x v="1"/>
    <x v="2"/>
    <x v="674"/>
    <x v="674"/>
    <x v="674"/>
    <x v="674"/>
  </r>
  <r>
    <x v="674"/>
    <x v="672"/>
    <x v="3"/>
    <x v="4"/>
    <x v="8"/>
    <x v="675"/>
    <x v="639"/>
    <x v="675"/>
    <x v="16"/>
    <x v="11"/>
    <x v="264"/>
    <x v="654"/>
    <x v="0"/>
    <x v="85"/>
    <x v="5"/>
    <x v="1"/>
    <x v="2"/>
    <x v="2"/>
    <x v="1"/>
    <x v="1"/>
    <x v="675"/>
    <x v="675"/>
    <x v="675"/>
    <x v="675"/>
  </r>
  <r>
    <x v="675"/>
    <x v="673"/>
    <x v="3"/>
    <x v="13"/>
    <x v="5"/>
    <x v="676"/>
    <x v="640"/>
    <x v="676"/>
    <x v="4"/>
    <x v="14"/>
    <x v="251"/>
    <x v="655"/>
    <x v="14"/>
    <x v="227"/>
    <x v="0"/>
    <x v="0"/>
    <x v="0"/>
    <x v="1"/>
    <x v="1"/>
    <x v="2"/>
    <x v="676"/>
    <x v="676"/>
    <x v="676"/>
    <x v="676"/>
  </r>
  <r>
    <x v="676"/>
    <x v="674"/>
    <x v="1"/>
    <x v="2"/>
    <x v="10"/>
    <x v="677"/>
    <x v="641"/>
    <x v="677"/>
    <x v="20"/>
    <x v="0"/>
    <x v="115"/>
    <x v="656"/>
    <x v="18"/>
    <x v="436"/>
    <x v="4"/>
    <x v="0"/>
    <x v="1"/>
    <x v="0"/>
    <x v="0"/>
    <x v="0"/>
    <x v="677"/>
    <x v="677"/>
    <x v="677"/>
    <x v="677"/>
  </r>
  <r>
    <x v="677"/>
    <x v="675"/>
    <x v="0"/>
    <x v="0"/>
    <x v="7"/>
    <x v="678"/>
    <x v="642"/>
    <x v="678"/>
    <x v="17"/>
    <x v="29"/>
    <x v="356"/>
    <x v="657"/>
    <x v="18"/>
    <x v="318"/>
    <x v="5"/>
    <x v="1"/>
    <x v="2"/>
    <x v="1"/>
    <x v="1"/>
    <x v="2"/>
    <x v="678"/>
    <x v="678"/>
    <x v="678"/>
    <x v="678"/>
  </r>
  <r>
    <x v="678"/>
    <x v="676"/>
    <x v="3"/>
    <x v="13"/>
    <x v="4"/>
    <x v="679"/>
    <x v="643"/>
    <x v="679"/>
    <x v="13"/>
    <x v="37"/>
    <x v="87"/>
    <x v="658"/>
    <x v="14"/>
    <x v="299"/>
    <x v="5"/>
    <x v="1"/>
    <x v="0"/>
    <x v="1"/>
    <x v="1"/>
    <x v="2"/>
    <x v="679"/>
    <x v="679"/>
    <x v="679"/>
    <x v="679"/>
  </r>
  <r>
    <x v="679"/>
    <x v="677"/>
    <x v="0"/>
    <x v="0"/>
    <x v="5"/>
    <x v="680"/>
    <x v="644"/>
    <x v="680"/>
    <x v="1"/>
    <x v="34"/>
    <x v="335"/>
    <x v="659"/>
    <x v="24"/>
    <x v="239"/>
    <x v="3"/>
    <x v="2"/>
    <x v="1"/>
    <x v="1"/>
    <x v="1"/>
    <x v="1"/>
    <x v="680"/>
    <x v="680"/>
    <x v="680"/>
    <x v="680"/>
  </r>
  <r>
    <x v="680"/>
    <x v="678"/>
    <x v="3"/>
    <x v="13"/>
    <x v="8"/>
    <x v="681"/>
    <x v="645"/>
    <x v="681"/>
    <x v="9"/>
    <x v="6"/>
    <x v="194"/>
    <x v="660"/>
    <x v="3"/>
    <x v="370"/>
    <x v="3"/>
    <x v="1"/>
    <x v="2"/>
    <x v="2"/>
    <x v="1"/>
    <x v="1"/>
    <x v="681"/>
    <x v="681"/>
    <x v="681"/>
    <x v="681"/>
  </r>
  <r>
    <x v="681"/>
    <x v="679"/>
    <x v="4"/>
    <x v="11"/>
    <x v="2"/>
    <x v="682"/>
    <x v="646"/>
    <x v="682"/>
    <x v="1"/>
    <x v="9"/>
    <x v="354"/>
    <x v="661"/>
    <x v="12"/>
    <x v="265"/>
    <x v="1"/>
    <x v="1"/>
    <x v="2"/>
    <x v="2"/>
    <x v="1"/>
    <x v="3"/>
    <x v="682"/>
    <x v="682"/>
    <x v="682"/>
    <x v="682"/>
  </r>
  <r>
    <x v="682"/>
    <x v="680"/>
    <x v="2"/>
    <x v="10"/>
    <x v="11"/>
    <x v="683"/>
    <x v="647"/>
    <x v="683"/>
    <x v="7"/>
    <x v="5"/>
    <x v="38"/>
    <x v="662"/>
    <x v="21"/>
    <x v="328"/>
    <x v="3"/>
    <x v="3"/>
    <x v="1"/>
    <x v="1"/>
    <x v="1"/>
    <x v="2"/>
    <x v="683"/>
    <x v="683"/>
    <x v="683"/>
    <x v="683"/>
  </r>
  <r>
    <x v="683"/>
    <x v="681"/>
    <x v="2"/>
    <x v="10"/>
    <x v="3"/>
    <x v="684"/>
    <x v="648"/>
    <x v="684"/>
    <x v="2"/>
    <x v="111"/>
    <x v="3"/>
    <x v="663"/>
    <x v="5"/>
    <x v="437"/>
    <x v="3"/>
    <x v="1"/>
    <x v="1"/>
    <x v="0"/>
    <x v="1"/>
    <x v="2"/>
    <x v="684"/>
    <x v="684"/>
    <x v="684"/>
    <x v="684"/>
  </r>
  <r>
    <x v="684"/>
    <x v="682"/>
    <x v="3"/>
    <x v="13"/>
    <x v="1"/>
    <x v="685"/>
    <x v="128"/>
    <x v="685"/>
    <x v="9"/>
    <x v="74"/>
    <x v="372"/>
    <x v="664"/>
    <x v="8"/>
    <x v="82"/>
    <x v="3"/>
    <x v="4"/>
    <x v="1"/>
    <x v="3"/>
    <x v="1"/>
    <x v="1"/>
    <x v="685"/>
    <x v="685"/>
    <x v="685"/>
    <x v="685"/>
  </r>
  <r>
    <x v="685"/>
    <x v="683"/>
    <x v="4"/>
    <x v="6"/>
    <x v="9"/>
    <x v="686"/>
    <x v="649"/>
    <x v="686"/>
    <x v="7"/>
    <x v="97"/>
    <x v="307"/>
    <x v="665"/>
    <x v="11"/>
    <x v="210"/>
    <x v="3"/>
    <x v="4"/>
    <x v="2"/>
    <x v="3"/>
    <x v="1"/>
    <x v="1"/>
    <x v="686"/>
    <x v="686"/>
    <x v="686"/>
    <x v="686"/>
  </r>
  <r>
    <x v="686"/>
    <x v="684"/>
    <x v="0"/>
    <x v="9"/>
    <x v="1"/>
    <x v="687"/>
    <x v="650"/>
    <x v="687"/>
    <x v="17"/>
    <x v="71"/>
    <x v="86"/>
    <x v="666"/>
    <x v="0"/>
    <x v="358"/>
    <x v="5"/>
    <x v="4"/>
    <x v="2"/>
    <x v="2"/>
    <x v="1"/>
    <x v="2"/>
    <x v="687"/>
    <x v="687"/>
    <x v="687"/>
    <x v="687"/>
  </r>
  <r>
    <x v="687"/>
    <x v="685"/>
    <x v="3"/>
    <x v="13"/>
    <x v="1"/>
    <x v="688"/>
    <x v="366"/>
    <x v="688"/>
    <x v="10"/>
    <x v="55"/>
    <x v="33"/>
    <x v="667"/>
    <x v="24"/>
    <x v="223"/>
    <x v="2"/>
    <x v="1"/>
    <x v="1"/>
    <x v="3"/>
    <x v="1"/>
    <x v="1"/>
    <x v="688"/>
    <x v="688"/>
    <x v="688"/>
    <x v="688"/>
  </r>
  <r>
    <x v="688"/>
    <x v="686"/>
    <x v="4"/>
    <x v="11"/>
    <x v="10"/>
    <x v="689"/>
    <x v="651"/>
    <x v="689"/>
    <x v="2"/>
    <x v="111"/>
    <x v="373"/>
    <x v="380"/>
    <x v="20"/>
    <x v="33"/>
    <x v="3"/>
    <x v="1"/>
    <x v="0"/>
    <x v="3"/>
    <x v="1"/>
    <x v="3"/>
    <x v="689"/>
    <x v="689"/>
    <x v="689"/>
    <x v="689"/>
  </r>
  <r>
    <x v="689"/>
    <x v="687"/>
    <x v="3"/>
    <x v="13"/>
    <x v="5"/>
    <x v="690"/>
    <x v="279"/>
    <x v="690"/>
    <x v="19"/>
    <x v="9"/>
    <x v="0"/>
    <x v="668"/>
    <x v="1"/>
    <x v="438"/>
    <x v="2"/>
    <x v="4"/>
    <x v="1"/>
    <x v="0"/>
    <x v="0"/>
    <x v="0"/>
    <x v="690"/>
    <x v="690"/>
    <x v="690"/>
    <x v="690"/>
  </r>
  <r>
    <x v="690"/>
    <x v="688"/>
    <x v="1"/>
    <x v="2"/>
    <x v="11"/>
    <x v="691"/>
    <x v="652"/>
    <x v="691"/>
    <x v="3"/>
    <x v="10"/>
    <x v="374"/>
    <x v="669"/>
    <x v="6"/>
    <x v="439"/>
    <x v="5"/>
    <x v="4"/>
    <x v="2"/>
    <x v="3"/>
    <x v="1"/>
    <x v="3"/>
    <x v="691"/>
    <x v="691"/>
    <x v="691"/>
    <x v="691"/>
  </r>
  <r>
    <x v="691"/>
    <x v="689"/>
    <x v="0"/>
    <x v="15"/>
    <x v="1"/>
    <x v="692"/>
    <x v="653"/>
    <x v="692"/>
    <x v="9"/>
    <x v="3"/>
    <x v="67"/>
    <x v="670"/>
    <x v="9"/>
    <x v="440"/>
    <x v="0"/>
    <x v="0"/>
    <x v="1"/>
    <x v="3"/>
    <x v="0"/>
    <x v="0"/>
    <x v="692"/>
    <x v="692"/>
    <x v="692"/>
    <x v="692"/>
  </r>
  <r>
    <x v="692"/>
    <x v="690"/>
    <x v="1"/>
    <x v="2"/>
    <x v="0"/>
    <x v="693"/>
    <x v="654"/>
    <x v="693"/>
    <x v="3"/>
    <x v="3"/>
    <x v="145"/>
    <x v="671"/>
    <x v="23"/>
    <x v="290"/>
    <x v="4"/>
    <x v="2"/>
    <x v="2"/>
    <x v="0"/>
    <x v="1"/>
    <x v="1"/>
    <x v="693"/>
    <x v="693"/>
    <x v="693"/>
    <x v="693"/>
  </r>
  <r>
    <x v="693"/>
    <x v="691"/>
    <x v="1"/>
    <x v="2"/>
    <x v="4"/>
    <x v="694"/>
    <x v="655"/>
    <x v="694"/>
    <x v="20"/>
    <x v="16"/>
    <x v="92"/>
    <x v="672"/>
    <x v="12"/>
    <x v="138"/>
    <x v="2"/>
    <x v="3"/>
    <x v="2"/>
    <x v="0"/>
    <x v="1"/>
    <x v="1"/>
    <x v="694"/>
    <x v="694"/>
    <x v="694"/>
    <x v="694"/>
  </r>
  <r>
    <x v="694"/>
    <x v="692"/>
    <x v="1"/>
    <x v="2"/>
    <x v="3"/>
    <x v="695"/>
    <x v="21"/>
    <x v="695"/>
    <x v="6"/>
    <x v="2"/>
    <x v="375"/>
    <x v="673"/>
    <x v="3"/>
    <x v="441"/>
    <x v="4"/>
    <x v="1"/>
    <x v="0"/>
    <x v="1"/>
    <x v="1"/>
    <x v="3"/>
    <x v="695"/>
    <x v="695"/>
    <x v="695"/>
    <x v="695"/>
  </r>
  <r>
    <x v="695"/>
    <x v="693"/>
    <x v="4"/>
    <x v="7"/>
    <x v="9"/>
    <x v="696"/>
    <x v="656"/>
    <x v="696"/>
    <x v="3"/>
    <x v="68"/>
    <x v="376"/>
    <x v="674"/>
    <x v="6"/>
    <x v="134"/>
    <x v="5"/>
    <x v="4"/>
    <x v="1"/>
    <x v="2"/>
    <x v="1"/>
    <x v="3"/>
    <x v="696"/>
    <x v="696"/>
    <x v="696"/>
    <x v="696"/>
  </r>
  <r>
    <x v="696"/>
    <x v="694"/>
    <x v="0"/>
    <x v="9"/>
    <x v="9"/>
    <x v="697"/>
    <x v="657"/>
    <x v="697"/>
    <x v="13"/>
    <x v="1"/>
    <x v="377"/>
    <x v="675"/>
    <x v="2"/>
    <x v="241"/>
    <x v="3"/>
    <x v="1"/>
    <x v="1"/>
    <x v="2"/>
    <x v="1"/>
    <x v="2"/>
    <x v="697"/>
    <x v="697"/>
    <x v="697"/>
    <x v="697"/>
  </r>
  <r>
    <x v="697"/>
    <x v="695"/>
    <x v="4"/>
    <x v="7"/>
    <x v="4"/>
    <x v="698"/>
    <x v="139"/>
    <x v="698"/>
    <x v="4"/>
    <x v="25"/>
    <x v="322"/>
    <x v="676"/>
    <x v="14"/>
    <x v="442"/>
    <x v="0"/>
    <x v="2"/>
    <x v="1"/>
    <x v="0"/>
    <x v="1"/>
    <x v="1"/>
    <x v="698"/>
    <x v="698"/>
    <x v="698"/>
    <x v="698"/>
  </r>
  <r>
    <x v="698"/>
    <x v="696"/>
    <x v="0"/>
    <x v="0"/>
    <x v="1"/>
    <x v="699"/>
    <x v="658"/>
    <x v="699"/>
    <x v="0"/>
    <x v="88"/>
    <x v="169"/>
    <x v="677"/>
    <x v="12"/>
    <x v="443"/>
    <x v="4"/>
    <x v="3"/>
    <x v="2"/>
    <x v="3"/>
    <x v="0"/>
    <x v="0"/>
    <x v="699"/>
    <x v="699"/>
    <x v="699"/>
    <x v="699"/>
  </r>
  <r>
    <x v="699"/>
    <x v="697"/>
    <x v="4"/>
    <x v="11"/>
    <x v="6"/>
    <x v="700"/>
    <x v="659"/>
    <x v="700"/>
    <x v="7"/>
    <x v="14"/>
    <x v="22"/>
    <x v="678"/>
    <x v="15"/>
    <x v="242"/>
    <x v="4"/>
    <x v="0"/>
    <x v="1"/>
    <x v="0"/>
    <x v="0"/>
    <x v="0"/>
    <x v="700"/>
    <x v="700"/>
    <x v="700"/>
    <x v="700"/>
  </r>
  <r>
    <x v="700"/>
    <x v="591"/>
    <x v="1"/>
    <x v="2"/>
    <x v="0"/>
    <x v="701"/>
    <x v="219"/>
    <x v="701"/>
    <x v="6"/>
    <x v="112"/>
    <x v="378"/>
    <x v="679"/>
    <x v="2"/>
    <x v="444"/>
    <x v="0"/>
    <x v="4"/>
    <x v="2"/>
    <x v="3"/>
    <x v="1"/>
    <x v="3"/>
    <x v="701"/>
    <x v="701"/>
    <x v="701"/>
    <x v="701"/>
  </r>
  <r>
    <x v="701"/>
    <x v="698"/>
    <x v="1"/>
    <x v="2"/>
    <x v="4"/>
    <x v="702"/>
    <x v="660"/>
    <x v="702"/>
    <x v="4"/>
    <x v="10"/>
    <x v="379"/>
    <x v="680"/>
    <x v="22"/>
    <x v="114"/>
    <x v="5"/>
    <x v="1"/>
    <x v="0"/>
    <x v="1"/>
    <x v="1"/>
    <x v="1"/>
    <x v="702"/>
    <x v="702"/>
    <x v="702"/>
    <x v="702"/>
  </r>
  <r>
    <x v="702"/>
    <x v="699"/>
    <x v="4"/>
    <x v="7"/>
    <x v="1"/>
    <x v="703"/>
    <x v="661"/>
    <x v="703"/>
    <x v="19"/>
    <x v="79"/>
    <x v="356"/>
    <x v="681"/>
    <x v="18"/>
    <x v="323"/>
    <x v="5"/>
    <x v="3"/>
    <x v="2"/>
    <x v="1"/>
    <x v="1"/>
    <x v="3"/>
    <x v="703"/>
    <x v="703"/>
    <x v="703"/>
    <x v="703"/>
  </r>
  <r>
    <x v="703"/>
    <x v="700"/>
    <x v="0"/>
    <x v="0"/>
    <x v="8"/>
    <x v="704"/>
    <x v="662"/>
    <x v="704"/>
    <x v="11"/>
    <x v="113"/>
    <x v="269"/>
    <x v="682"/>
    <x v="2"/>
    <x v="445"/>
    <x v="2"/>
    <x v="0"/>
    <x v="2"/>
    <x v="3"/>
    <x v="1"/>
    <x v="3"/>
    <x v="704"/>
    <x v="704"/>
    <x v="704"/>
    <x v="704"/>
  </r>
  <r>
    <x v="704"/>
    <x v="701"/>
    <x v="0"/>
    <x v="0"/>
    <x v="10"/>
    <x v="705"/>
    <x v="663"/>
    <x v="705"/>
    <x v="11"/>
    <x v="23"/>
    <x v="256"/>
    <x v="683"/>
    <x v="22"/>
    <x v="262"/>
    <x v="2"/>
    <x v="3"/>
    <x v="1"/>
    <x v="0"/>
    <x v="1"/>
    <x v="3"/>
    <x v="705"/>
    <x v="705"/>
    <x v="705"/>
    <x v="705"/>
  </r>
  <r>
    <x v="705"/>
    <x v="702"/>
    <x v="2"/>
    <x v="14"/>
    <x v="3"/>
    <x v="706"/>
    <x v="266"/>
    <x v="706"/>
    <x v="19"/>
    <x v="31"/>
    <x v="10"/>
    <x v="684"/>
    <x v="2"/>
    <x v="446"/>
    <x v="5"/>
    <x v="0"/>
    <x v="1"/>
    <x v="0"/>
    <x v="1"/>
    <x v="1"/>
    <x v="706"/>
    <x v="706"/>
    <x v="706"/>
    <x v="706"/>
  </r>
  <r>
    <x v="706"/>
    <x v="703"/>
    <x v="4"/>
    <x v="11"/>
    <x v="4"/>
    <x v="707"/>
    <x v="664"/>
    <x v="707"/>
    <x v="7"/>
    <x v="47"/>
    <x v="63"/>
    <x v="685"/>
    <x v="0"/>
    <x v="447"/>
    <x v="5"/>
    <x v="4"/>
    <x v="1"/>
    <x v="3"/>
    <x v="1"/>
    <x v="2"/>
    <x v="707"/>
    <x v="707"/>
    <x v="707"/>
    <x v="707"/>
  </r>
  <r>
    <x v="707"/>
    <x v="704"/>
    <x v="2"/>
    <x v="10"/>
    <x v="7"/>
    <x v="708"/>
    <x v="665"/>
    <x v="708"/>
    <x v="6"/>
    <x v="52"/>
    <x v="6"/>
    <x v="686"/>
    <x v="3"/>
    <x v="327"/>
    <x v="5"/>
    <x v="3"/>
    <x v="2"/>
    <x v="2"/>
    <x v="1"/>
    <x v="3"/>
    <x v="708"/>
    <x v="708"/>
    <x v="708"/>
    <x v="708"/>
  </r>
  <r>
    <x v="708"/>
    <x v="705"/>
    <x v="2"/>
    <x v="14"/>
    <x v="4"/>
    <x v="709"/>
    <x v="253"/>
    <x v="709"/>
    <x v="1"/>
    <x v="9"/>
    <x v="380"/>
    <x v="687"/>
    <x v="3"/>
    <x v="448"/>
    <x v="3"/>
    <x v="0"/>
    <x v="1"/>
    <x v="0"/>
    <x v="1"/>
    <x v="1"/>
    <x v="709"/>
    <x v="709"/>
    <x v="709"/>
    <x v="709"/>
  </r>
  <r>
    <x v="709"/>
    <x v="706"/>
    <x v="4"/>
    <x v="11"/>
    <x v="11"/>
    <x v="710"/>
    <x v="666"/>
    <x v="710"/>
    <x v="12"/>
    <x v="2"/>
    <x v="222"/>
    <x v="319"/>
    <x v="10"/>
    <x v="365"/>
    <x v="1"/>
    <x v="4"/>
    <x v="1"/>
    <x v="2"/>
    <x v="1"/>
    <x v="2"/>
    <x v="710"/>
    <x v="710"/>
    <x v="710"/>
    <x v="710"/>
  </r>
  <r>
    <x v="710"/>
    <x v="707"/>
    <x v="4"/>
    <x v="6"/>
    <x v="3"/>
    <x v="711"/>
    <x v="667"/>
    <x v="711"/>
    <x v="1"/>
    <x v="17"/>
    <x v="314"/>
    <x v="688"/>
    <x v="6"/>
    <x v="47"/>
    <x v="3"/>
    <x v="3"/>
    <x v="1"/>
    <x v="3"/>
    <x v="1"/>
    <x v="2"/>
    <x v="711"/>
    <x v="711"/>
    <x v="711"/>
    <x v="711"/>
  </r>
  <r>
    <x v="711"/>
    <x v="708"/>
    <x v="2"/>
    <x v="10"/>
    <x v="3"/>
    <x v="712"/>
    <x v="668"/>
    <x v="712"/>
    <x v="3"/>
    <x v="3"/>
    <x v="40"/>
    <x v="689"/>
    <x v="3"/>
    <x v="55"/>
    <x v="3"/>
    <x v="4"/>
    <x v="0"/>
    <x v="3"/>
    <x v="1"/>
    <x v="2"/>
    <x v="712"/>
    <x v="712"/>
    <x v="712"/>
    <x v="712"/>
  </r>
  <r>
    <x v="712"/>
    <x v="709"/>
    <x v="4"/>
    <x v="11"/>
    <x v="9"/>
    <x v="713"/>
    <x v="669"/>
    <x v="713"/>
    <x v="7"/>
    <x v="68"/>
    <x v="63"/>
    <x v="690"/>
    <x v="0"/>
    <x v="449"/>
    <x v="1"/>
    <x v="4"/>
    <x v="0"/>
    <x v="0"/>
    <x v="1"/>
    <x v="1"/>
    <x v="713"/>
    <x v="713"/>
    <x v="713"/>
    <x v="713"/>
  </r>
  <r>
    <x v="713"/>
    <x v="710"/>
    <x v="0"/>
    <x v="0"/>
    <x v="11"/>
    <x v="714"/>
    <x v="670"/>
    <x v="714"/>
    <x v="18"/>
    <x v="68"/>
    <x v="246"/>
    <x v="691"/>
    <x v="12"/>
    <x v="450"/>
    <x v="5"/>
    <x v="2"/>
    <x v="2"/>
    <x v="0"/>
    <x v="1"/>
    <x v="1"/>
    <x v="714"/>
    <x v="714"/>
    <x v="714"/>
    <x v="714"/>
  </r>
  <r>
    <x v="714"/>
    <x v="711"/>
    <x v="2"/>
    <x v="10"/>
    <x v="5"/>
    <x v="715"/>
    <x v="671"/>
    <x v="715"/>
    <x v="19"/>
    <x v="71"/>
    <x v="286"/>
    <x v="692"/>
    <x v="0"/>
    <x v="245"/>
    <x v="1"/>
    <x v="2"/>
    <x v="1"/>
    <x v="1"/>
    <x v="1"/>
    <x v="1"/>
    <x v="715"/>
    <x v="715"/>
    <x v="715"/>
    <x v="715"/>
  </r>
  <r>
    <x v="715"/>
    <x v="712"/>
    <x v="3"/>
    <x v="5"/>
    <x v="8"/>
    <x v="716"/>
    <x v="672"/>
    <x v="716"/>
    <x v="3"/>
    <x v="28"/>
    <x v="30"/>
    <x v="693"/>
    <x v="12"/>
    <x v="451"/>
    <x v="3"/>
    <x v="1"/>
    <x v="1"/>
    <x v="3"/>
    <x v="1"/>
    <x v="2"/>
    <x v="716"/>
    <x v="716"/>
    <x v="716"/>
    <x v="716"/>
  </r>
  <r>
    <x v="716"/>
    <x v="713"/>
    <x v="1"/>
    <x v="2"/>
    <x v="11"/>
    <x v="717"/>
    <x v="205"/>
    <x v="717"/>
    <x v="1"/>
    <x v="44"/>
    <x v="277"/>
    <x v="694"/>
    <x v="25"/>
    <x v="256"/>
    <x v="5"/>
    <x v="4"/>
    <x v="1"/>
    <x v="2"/>
    <x v="1"/>
    <x v="2"/>
    <x v="717"/>
    <x v="717"/>
    <x v="717"/>
    <x v="717"/>
  </r>
  <r>
    <x v="717"/>
    <x v="714"/>
    <x v="2"/>
    <x v="14"/>
    <x v="8"/>
    <x v="718"/>
    <x v="189"/>
    <x v="718"/>
    <x v="1"/>
    <x v="25"/>
    <x v="260"/>
    <x v="695"/>
    <x v="21"/>
    <x v="452"/>
    <x v="2"/>
    <x v="1"/>
    <x v="0"/>
    <x v="0"/>
    <x v="1"/>
    <x v="1"/>
    <x v="718"/>
    <x v="718"/>
    <x v="718"/>
    <x v="718"/>
  </r>
  <r>
    <x v="718"/>
    <x v="715"/>
    <x v="2"/>
    <x v="3"/>
    <x v="0"/>
    <x v="719"/>
    <x v="673"/>
    <x v="719"/>
    <x v="6"/>
    <x v="8"/>
    <x v="140"/>
    <x v="696"/>
    <x v="0"/>
    <x v="277"/>
    <x v="5"/>
    <x v="2"/>
    <x v="0"/>
    <x v="0"/>
    <x v="1"/>
    <x v="2"/>
    <x v="719"/>
    <x v="719"/>
    <x v="719"/>
    <x v="719"/>
  </r>
  <r>
    <x v="719"/>
    <x v="716"/>
    <x v="3"/>
    <x v="4"/>
    <x v="1"/>
    <x v="720"/>
    <x v="674"/>
    <x v="720"/>
    <x v="6"/>
    <x v="9"/>
    <x v="296"/>
    <x v="697"/>
    <x v="11"/>
    <x v="181"/>
    <x v="3"/>
    <x v="2"/>
    <x v="1"/>
    <x v="3"/>
    <x v="1"/>
    <x v="1"/>
    <x v="720"/>
    <x v="720"/>
    <x v="720"/>
    <x v="720"/>
  </r>
  <r>
    <x v="720"/>
    <x v="717"/>
    <x v="2"/>
    <x v="14"/>
    <x v="1"/>
    <x v="721"/>
    <x v="675"/>
    <x v="721"/>
    <x v="23"/>
    <x v="11"/>
    <x v="129"/>
    <x v="698"/>
    <x v="2"/>
    <x v="453"/>
    <x v="1"/>
    <x v="0"/>
    <x v="0"/>
    <x v="1"/>
    <x v="0"/>
    <x v="0"/>
    <x v="721"/>
    <x v="721"/>
    <x v="721"/>
    <x v="721"/>
  </r>
  <r>
    <x v="721"/>
    <x v="718"/>
    <x v="4"/>
    <x v="7"/>
    <x v="4"/>
    <x v="722"/>
    <x v="676"/>
    <x v="722"/>
    <x v="4"/>
    <x v="114"/>
    <x v="381"/>
    <x v="699"/>
    <x v="5"/>
    <x v="252"/>
    <x v="2"/>
    <x v="2"/>
    <x v="0"/>
    <x v="1"/>
    <x v="1"/>
    <x v="1"/>
    <x v="722"/>
    <x v="722"/>
    <x v="722"/>
    <x v="722"/>
  </r>
  <r>
    <x v="722"/>
    <x v="719"/>
    <x v="3"/>
    <x v="13"/>
    <x v="10"/>
    <x v="723"/>
    <x v="677"/>
    <x v="723"/>
    <x v="0"/>
    <x v="14"/>
    <x v="236"/>
    <x v="338"/>
    <x v="5"/>
    <x v="298"/>
    <x v="0"/>
    <x v="4"/>
    <x v="2"/>
    <x v="3"/>
    <x v="0"/>
    <x v="0"/>
    <x v="723"/>
    <x v="723"/>
    <x v="723"/>
    <x v="723"/>
  </r>
  <r>
    <x v="723"/>
    <x v="720"/>
    <x v="2"/>
    <x v="14"/>
    <x v="10"/>
    <x v="724"/>
    <x v="678"/>
    <x v="724"/>
    <x v="10"/>
    <x v="115"/>
    <x v="382"/>
    <x v="700"/>
    <x v="25"/>
    <x v="454"/>
    <x v="2"/>
    <x v="1"/>
    <x v="2"/>
    <x v="3"/>
    <x v="1"/>
    <x v="2"/>
    <x v="724"/>
    <x v="724"/>
    <x v="724"/>
    <x v="724"/>
  </r>
  <r>
    <x v="724"/>
    <x v="721"/>
    <x v="3"/>
    <x v="4"/>
    <x v="0"/>
    <x v="725"/>
    <x v="679"/>
    <x v="725"/>
    <x v="16"/>
    <x v="17"/>
    <x v="181"/>
    <x v="701"/>
    <x v="8"/>
    <x v="203"/>
    <x v="1"/>
    <x v="1"/>
    <x v="2"/>
    <x v="1"/>
    <x v="1"/>
    <x v="1"/>
    <x v="725"/>
    <x v="725"/>
    <x v="725"/>
    <x v="725"/>
  </r>
  <r>
    <x v="725"/>
    <x v="722"/>
    <x v="0"/>
    <x v="0"/>
    <x v="6"/>
    <x v="726"/>
    <x v="680"/>
    <x v="726"/>
    <x v="15"/>
    <x v="20"/>
    <x v="244"/>
    <x v="702"/>
    <x v="22"/>
    <x v="455"/>
    <x v="2"/>
    <x v="0"/>
    <x v="1"/>
    <x v="0"/>
    <x v="1"/>
    <x v="1"/>
    <x v="726"/>
    <x v="726"/>
    <x v="726"/>
    <x v="726"/>
  </r>
  <r>
    <x v="726"/>
    <x v="723"/>
    <x v="2"/>
    <x v="14"/>
    <x v="10"/>
    <x v="727"/>
    <x v="681"/>
    <x v="727"/>
    <x v="7"/>
    <x v="12"/>
    <x v="43"/>
    <x v="703"/>
    <x v="18"/>
    <x v="301"/>
    <x v="4"/>
    <x v="3"/>
    <x v="0"/>
    <x v="0"/>
    <x v="1"/>
    <x v="1"/>
    <x v="727"/>
    <x v="727"/>
    <x v="727"/>
    <x v="727"/>
  </r>
  <r>
    <x v="727"/>
    <x v="724"/>
    <x v="4"/>
    <x v="11"/>
    <x v="1"/>
    <x v="728"/>
    <x v="682"/>
    <x v="728"/>
    <x v="17"/>
    <x v="28"/>
    <x v="301"/>
    <x v="704"/>
    <x v="20"/>
    <x v="68"/>
    <x v="2"/>
    <x v="3"/>
    <x v="2"/>
    <x v="2"/>
    <x v="1"/>
    <x v="2"/>
    <x v="728"/>
    <x v="728"/>
    <x v="728"/>
    <x v="728"/>
  </r>
  <r>
    <x v="728"/>
    <x v="725"/>
    <x v="3"/>
    <x v="13"/>
    <x v="3"/>
    <x v="729"/>
    <x v="683"/>
    <x v="729"/>
    <x v="3"/>
    <x v="30"/>
    <x v="383"/>
    <x v="705"/>
    <x v="16"/>
    <x v="327"/>
    <x v="1"/>
    <x v="2"/>
    <x v="2"/>
    <x v="1"/>
    <x v="1"/>
    <x v="1"/>
    <x v="729"/>
    <x v="729"/>
    <x v="729"/>
    <x v="729"/>
  </r>
  <r>
    <x v="729"/>
    <x v="726"/>
    <x v="4"/>
    <x v="7"/>
    <x v="4"/>
    <x v="730"/>
    <x v="684"/>
    <x v="730"/>
    <x v="10"/>
    <x v="20"/>
    <x v="174"/>
    <x v="706"/>
    <x v="4"/>
    <x v="271"/>
    <x v="4"/>
    <x v="4"/>
    <x v="1"/>
    <x v="2"/>
    <x v="1"/>
    <x v="1"/>
    <x v="730"/>
    <x v="730"/>
    <x v="730"/>
    <x v="730"/>
  </r>
  <r>
    <x v="730"/>
    <x v="727"/>
    <x v="2"/>
    <x v="10"/>
    <x v="3"/>
    <x v="731"/>
    <x v="685"/>
    <x v="731"/>
    <x v="10"/>
    <x v="3"/>
    <x v="285"/>
    <x v="707"/>
    <x v="2"/>
    <x v="456"/>
    <x v="5"/>
    <x v="3"/>
    <x v="1"/>
    <x v="1"/>
    <x v="1"/>
    <x v="3"/>
    <x v="731"/>
    <x v="731"/>
    <x v="731"/>
    <x v="731"/>
  </r>
  <r>
    <x v="731"/>
    <x v="728"/>
    <x v="4"/>
    <x v="11"/>
    <x v="1"/>
    <x v="732"/>
    <x v="686"/>
    <x v="732"/>
    <x v="20"/>
    <x v="14"/>
    <x v="348"/>
    <x v="708"/>
    <x v="11"/>
    <x v="395"/>
    <x v="3"/>
    <x v="0"/>
    <x v="2"/>
    <x v="1"/>
    <x v="1"/>
    <x v="3"/>
    <x v="732"/>
    <x v="732"/>
    <x v="732"/>
    <x v="732"/>
  </r>
  <r>
    <x v="732"/>
    <x v="729"/>
    <x v="1"/>
    <x v="8"/>
    <x v="1"/>
    <x v="733"/>
    <x v="687"/>
    <x v="733"/>
    <x v="20"/>
    <x v="1"/>
    <x v="243"/>
    <x v="709"/>
    <x v="8"/>
    <x v="133"/>
    <x v="1"/>
    <x v="0"/>
    <x v="0"/>
    <x v="1"/>
    <x v="1"/>
    <x v="2"/>
    <x v="733"/>
    <x v="733"/>
    <x v="733"/>
    <x v="733"/>
  </r>
  <r>
    <x v="733"/>
    <x v="730"/>
    <x v="3"/>
    <x v="5"/>
    <x v="1"/>
    <x v="734"/>
    <x v="688"/>
    <x v="734"/>
    <x v="14"/>
    <x v="48"/>
    <x v="364"/>
    <x v="710"/>
    <x v="24"/>
    <x v="46"/>
    <x v="4"/>
    <x v="4"/>
    <x v="2"/>
    <x v="1"/>
    <x v="1"/>
    <x v="3"/>
    <x v="734"/>
    <x v="734"/>
    <x v="734"/>
    <x v="734"/>
  </r>
  <r>
    <x v="734"/>
    <x v="731"/>
    <x v="1"/>
    <x v="8"/>
    <x v="9"/>
    <x v="735"/>
    <x v="689"/>
    <x v="735"/>
    <x v="4"/>
    <x v="18"/>
    <x v="384"/>
    <x v="711"/>
    <x v="16"/>
    <x v="457"/>
    <x v="3"/>
    <x v="0"/>
    <x v="0"/>
    <x v="3"/>
    <x v="1"/>
    <x v="1"/>
    <x v="735"/>
    <x v="735"/>
    <x v="735"/>
    <x v="735"/>
  </r>
  <r>
    <x v="735"/>
    <x v="732"/>
    <x v="0"/>
    <x v="12"/>
    <x v="1"/>
    <x v="736"/>
    <x v="183"/>
    <x v="736"/>
    <x v="6"/>
    <x v="30"/>
    <x v="32"/>
    <x v="712"/>
    <x v="9"/>
    <x v="300"/>
    <x v="4"/>
    <x v="3"/>
    <x v="1"/>
    <x v="3"/>
    <x v="1"/>
    <x v="2"/>
    <x v="736"/>
    <x v="736"/>
    <x v="736"/>
    <x v="736"/>
  </r>
  <r>
    <x v="736"/>
    <x v="733"/>
    <x v="4"/>
    <x v="7"/>
    <x v="9"/>
    <x v="737"/>
    <x v="690"/>
    <x v="737"/>
    <x v="20"/>
    <x v="10"/>
    <x v="350"/>
    <x v="713"/>
    <x v="15"/>
    <x v="458"/>
    <x v="4"/>
    <x v="1"/>
    <x v="0"/>
    <x v="1"/>
    <x v="0"/>
    <x v="0"/>
    <x v="737"/>
    <x v="737"/>
    <x v="737"/>
    <x v="737"/>
  </r>
  <r>
    <x v="737"/>
    <x v="734"/>
    <x v="3"/>
    <x v="5"/>
    <x v="1"/>
    <x v="738"/>
    <x v="691"/>
    <x v="738"/>
    <x v="18"/>
    <x v="4"/>
    <x v="173"/>
    <x v="714"/>
    <x v="22"/>
    <x v="174"/>
    <x v="3"/>
    <x v="1"/>
    <x v="0"/>
    <x v="3"/>
    <x v="1"/>
    <x v="3"/>
    <x v="738"/>
    <x v="738"/>
    <x v="738"/>
    <x v="738"/>
  </r>
  <r>
    <x v="738"/>
    <x v="735"/>
    <x v="2"/>
    <x v="3"/>
    <x v="3"/>
    <x v="739"/>
    <x v="692"/>
    <x v="739"/>
    <x v="16"/>
    <x v="42"/>
    <x v="346"/>
    <x v="715"/>
    <x v="0"/>
    <x v="456"/>
    <x v="1"/>
    <x v="2"/>
    <x v="2"/>
    <x v="1"/>
    <x v="0"/>
    <x v="0"/>
    <x v="739"/>
    <x v="739"/>
    <x v="739"/>
    <x v="739"/>
  </r>
  <r>
    <x v="739"/>
    <x v="736"/>
    <x v="2"/>
    <x v="3"/>
    <x v="7"/>
    <x v="740"/>
    <x v="693"/>
    <x v="740"/>
    <x v="23"/>
    <x v="31"/>
    <x v="144"/>
    <x v="716"/>
    <x v="15"/>
    <x v="63"/>
    <x v="4"/>
    <x v="0"/>
    <x v="2"/>
    <x v="3"/>
    <x v="0"/>
    <x v="0"/>
    <x v="740"/>
    <x v="740"/>
    <x v="740"/>
    <x v="740"/>
  </r>
  <r>
    <x v="740"/>
    <x v="737"/>
    <x v="1"/>
    <x v="2"/>
    <x v="4"/>
    <x v="741"/>
    <x v="694"/>
    <x v="741"/>
    <x v="10"/>
    <x v="15"/>
    <x v="385"/>
    <x v="717"/>
    <x v="3"/>
    <x v="459"/>
    <x v="0"/>
    <x v="4"/>
    <x v="2"/>
    <x v="1"/>
    <x v="1"/>
    <x v="2"/>
    <x v="741"/>
    <x v="741"/>
    <x v="741"/>
    <x v="741"/>
  </r>
  <r>
    <x v="741"/>
    <x v="738"/>
    <x v="2"/>
    <x v="14"/>
    <x v="7"/>
    <x v="742"/>
    <x v="695"/>
    <x v="742"/>
    <x v="22"/>
    <x v="116"/>
    <x v="309"/>
    <x v="718"/>
    <x v="17"/>
    <x v="460"/>
    <x v="2"/>
    <x v="3"/>
    <x v="1"/>
    <x v="1"/>
    <x v="1"/>
    <x v="1"/>
    <x v="742"/>
    <x v="742"/>
    <x v="742"/>
    <x v="742"/>
  </r>
  <r>
    <x v="742"/>
    <x v="739"/>
    <x v="2"/>
    <x v="14"/>
    <x v="9"/>
    <x v="743"/>
    <x v="28"/>
    <x v="743"/>
    <x v="3"/>
    <x v="69"/>
    <x v="273"/>
    <x v="719"/>
    <x v="23"/>
    <x v="432"/>
    <x v="3"/>
    <x v="1"/>
    <x v="2"/>
    <x v="2"/>
    <x v="1"/>
    <x v="1"/>
    <x v="743"/>
    <x v="743"/>
    <x v="743"/>
    <x v="743"/>
  </r>
  <r>
    <x v="743"/>
    <x v="740"/>
    <x v="4"/>
    <x v="6"/>
    <x v="11"/>
    <x v="744"/>
    <x v="696"/>
    <x v="744"/>
    <x v="17"/>
    <x v="117"/>
    <x v="154"/>
    <x v="720"/>
    <x v="3"/>
    <x v="130"/>
    <x v="4"/>
    <x v="2"/>
    <x v="2"/>
    <x v="2"/>
    <x v="1"/>
    <x v="2"/>
    <x v="744"/>
    <x v="744"/>
    <x v="744"/>
    <x v="744"/>
  </r>
  <r>
    <x v="744"/>
    <x v="741"/>
    <x v="2"/>
    <x v="10"/>
    <x v="2"/>
    <x v="745"/>
    <x v="697"/>
    <x v="745"/>
    <x v="13"/>
    <x v="7"/>
    <x v="361"/>
    <x v="721"/>
    <x v="11"/>
    <x v="182"/>
    <x v="4"/>
    <x v="2"/>
    <x v="1"/>
    <x v="0"/>
    <x v="1"/>
    <x v="3"/>
    <x v="745"/>
    <x v="745"/>
    <x v="745"/>
    <x v="745"/>
  </r>
  <r>
    <x v="745"/>
    <x v="742"/>
    <x v="4"/>
    <x v="7"/>
    <x v="2"/>
    <x v="746"/>
    <x v="698"/>
    <x v="746"/>
    <x v="7"/>
    <x v="29"/>
    <x v="142"/>
    <x v="722"/>
    <x v="12"/>
    <x v="352"/>
    <x v="4"/>
    <x v="4"/>
    <x v="2"/>
    <x v="1"/>
    <x v="0"/>
    <x v="0"/>
    <x v="746"/>
    <x v="746"/>
    <x v="746"/>
    <x v="746"/>
  </r>
  <r>
    <x v="746"/>
    <x v="743"/>
    <x v="2"/>
    <x v="14"/>
    <x v="8"/>
    <x v="747"/>
    <x v="699"/>
    <x v="747"/>
    <x v="12"/>
    <x v="11"/>
    <x v="386"/>
    <x v="723"/>
    <x v="25"/>
    <x v="175"/>
    <x v="1"/>
    <x v="3"/>
    <x v="2"/>
    <x v="0"/>
    <x v="1"/>
    <x v="2"/>
    <x v="747"/>
    <x v="747"/>
    <x v="747"/>
    <x v="747"/>
  </r>
  <r>
    <x v="747"/>
    <x v="744"/>
    <x v="3"/>
    <x v="4"/>
    <x v="11"/>
    <x v="748"/>
    <x v="700"/>
    <x v="748"/>
    <x v="13"/>
    <x v="30"/>
    <x v="378"/>
    <x v="724"/>
    <x v="11"/>
    <x v="187"/>
    <x v="4"/>
    <x v="2"/>
    <x v="0"/>
    <x v="0"/>
    <x v="1"/>
    <x v="1"/>
    <x v="748"/>
    <x v="748"/>
    <x v="748"/>
    <x v="748"/>
  </r>
  <r>
    <x v="748"/>
    <x v="745"/>
    <x v="1"/>
    <x v="8"/>
    <x v="3"/>
    <x v="749"/>
    <x v="701"/>
    <x v="749"/>
    <x v="22"/>
    <x v="79"/>
    <x v="387"/>
    <x v="725"/>
    <x v="1"/>
    <x v="461"/>
    <x v="4"/>
    <x v="1"/>
    <x v="1"/>
    <x v="2"/>
    <x v="1"/>
    <x v="1"/>
    <x v="749"/>
    <x v="749"/>
    <x v="749"/>
    <x v="749"/>
  </r>
  <r>
    <x v="749"/>
    <x v="746"/>
    <x v="4"/>
    <x v="7"/>
    <x v="6"/>
    <x v="750"/>
    <x v="702"/>
    <x v="750"/>
    <x v="21"/>
    <x v="16"/>
    <x v="105"/>
    <x v="726"/>
    <x v="4"/>
    <x v="76"/>
    <x v="1"/>
    <x v="1"/>
    <x v="1"/>
    <x v="2"/>
    <x v="1"/>
    <x v="1"/>
    <x v="750"/>
    <x v="750"/>
    <x v="750"/>
    <x v="750"/>
  </r>
  <r>
    <x v="750"/>
    <x v="747"/>
    <x v="1"/>
    <x v="8"/>
    <x v="5"/>
    <x v="751"/>
    <x v="703"/>
    <x v="751"/>
    <x v="10"/>
    <x v="89"/>
    <x v="388"/>
    <x v="727"/>
    <x v="2"/>
    <x v="85"/>
    <x v="4"/>
    <x v="2"/>
    <x v="0"/>
    <x v="1"/>
    <x v="1"/>
    <x v="2"/>
    <x v="751"/>
    <x v="751"/>
    <x v="751"/>
    <x v="751"/>
  </r>
  <r>
    <x v="751"/>
    <x v="748"/>
    <x v="3"/>
    <x v="13"/>
    <x v="8"/>
    <x v="752"/>
    <x v="704"/>
    <x v="752"/>
    <x v="7"/>
    <x v="6"/>
    <x v="321"/>
    <x v="728"/>
    <x v="7"/>
    <x v="52"/>
    <x v="5"/>
    <x v="0"/>
    <x v="1"/>
    <x v="2"/>
    <x v="0"/>
    <x v="0"/>
    <x v="752"/>
    <x v="752"/>
    <x v="752"/>
    <x v="752"/>
  </r>
  <r>
    <x v="752"/>
    <x v="749"/>
    <x v="4"/>
    <x v="11"/>
    <x v="6"/>
    <x v="753"/>
    <x v="705"/>
    <x v="753"/>
    <x v="1"/>
    <x v="24"/>
    <x v="112"/>
    <x v="729"/>
    <x v="10"/>
    <x v="462"/>
    <x v="3"/>
    <x v="2"/>
    <x v="2"/>
    <x v="2"/>
    <x v="1"/>
    <x v="3"/>
    <x v="753"/>
    <x v="753"/>
    <x v="753"/>
    <x v="753"/>
  </r>
  <r>
    <x v="753"/>
    <x v="750"/>
    <x v="0"/>
    <x v="9"/>
    <x v="6"/>
    <x v="754"/>
    <x v="706"/>
    <x v="754"/>
    <x v="20"/>
    <x v="40"/>
    <x v="221"/>
    <x v="730"/>
    <x v="1"/>
    <x v="194"/>
    <x v="5"/>
    <x v="2"/>
    <x v="0"/>
    <x v="0"/>
    <x v="1"/>
    <x v="1"/>
    <x v="754"/>
    <x v="754"/>
    <x v="754"/>
    <x v="754"/>
  </r>
  <r>
    <x v="754"/>
    <x v="751"/>
    <x v="2"/>
    <x v="10"/>
    <x v="5"/>
    <x v="755"/>
    <x v="707"/>
    <x v="755"/>
    <x v="7"/>
    <x v="27"/>
    <x v="218"/>
    <x v="731"/>
    <x v="2"/>
    <x v="44"/>
    <x v="3"/>
    <x v="3"/>
    <x v="0"/>
    <x v="2"/>
    <x v="1"/>
    <x v="3"/>
    <x v="755"/>
    <x v="755"/>
    <x v="755"/>
    <x v="755"/>
  </r>
  <r>
    <x v="755"/>
    <x v="752"/>
    <x v="2"/>
    <x v="14"/>
    <x v="10"/>
    <x v="756"/>
    <x v="658"/>
    <x v="756"/>
    <x v="16"/>
    <x v="24"/>
    <x v="389"/>
    <x v="732"/>
    <x v="16"/>
    <x v="463"/>
    <x v="5"/>
    <x v="0"/>
    <x v="1"/>
    <x v="1"/>
    <x v="1"/>
    <x v="2"/>
    <x v="756"/>
    <x v="756"/>
    <x v="756"/>
    <x v="756"/>
  </r>
  <r>
    <x v="756"/>
    <x v="753"/>
    <x v="4"/>
    <x v="6"/>
    <x v="4"/>
    <x v="757"/>
    <x v="708"/>
    <x v="757"/>
    <x v="1"/>
    <x v="72"/>
    <x v="363"/>
    <x v="733"/>
    <x v="17"/>
    <x v="464"/>
    <x v="4"/>
    <x v="0"/>
    <x v="2"/>
    <x v="0"/>
    <x v="1"/>
    <x v="3"/>
    <x v="757"/>
    <x v="757"/>
    <x v="757"/>
    <x v="757"/>
  </r>
  <r>
    <x v="757"/>
    <x v="754"/>
    <x v="0"/>
    <x v="12"/>
    <x v="7"/>
    <x v="758"/>
    <x v="709"/>
    <x v="758"/>
    <x v="7"/>
    <x v="81"/>
    <x v="151"/>
    <x v="734"/>
    <x v="11"/>
    <x v="5"/>
    <x v="1"/>
    <x v="1"/>
    <x v="0"/>
    <x v="0"/>
    <x v="1"/>
    <x v="1"/>
    <x v="758"/>
    <x v="758"/>
    <x v="758"/>
    <x v="758"/>
  </r>
  <r>
    <x v="758"/>
    <x v="755"/>
    <x v="0"/>
    <x v="15"/>
    <x v="1"/>
    <x v="759"/>
    <x v="710"/>
    <x v="759"/>
    <x v="2"/>
    <x v="20"/>
    <x v="390"/>
    <x v="735"/>
    <x v="18"/>
    <x v="465"/>
    <x v="4"/>
    <x v="1"/>
    <x v="1"/>
    <x v="1"/>
    <x v="1"/>
    <x v="2"/>
    <x v="759"/>
    <x v="759"/>
    <x v="759"/>
    <x v="759"/>
  </r>
  <r>
    <x v="759"/>
    <x v="756"/>
    <x v="4"/>
    <x v="11"/>
    <x v="8"/>
    <x v="760"/>
    <x v="666"/>
    <x v="760"/>
    <x v="7"/>
    <x v="3"/>
    <x v="126"/>
    <x v="736"/>
    <x v="23"/>
    <x v="88"/>
    <x v="3"/>
    <x v="0"/>
    <x v="0"/>
    <x v="2"/>
    <x v="1"/>
    <x v="1"/>
    <x v="760"/>
    <x v="760"/>
    <x v="760"/>
    <x v="760"/>
  </r>
  <r>
    <x v="760"/>
    <x v="757"/>
    <x v="4"/>
    <x v="6"/>
    <x v="0"/>
    <x v="761"/>
    <x v="711"/>
    <x v="761"/>
    <x v="3"/>
    <x v="1"/>
    <x v="165"/>
    <x v="737"/>
    <x v="12"/>
    <x v="54"/>
    <x v="4"/>
    <x v="2"/>
    <x v="1"/>
    <x v="0"/>
    <x v="1"/>
    <x v="2"/>
    <x v="761"/>
    <x v="761"/>
    <x v="761"/>
    <x v="761"/>
  </r>
  <r>
    <x v="761"/>
    <x v="758"/>
    <x v="4"/>
    <x v="6"/>
    <x v="4"/>
    <x v="762"/>
    <x v="712"/>
    <x v="762"/>
    <x v="10"/>
    <x v="10"/>
    <x v="177"/>
    <x v="738"/>
    <x v="19"/>
    <x v="389"/>
    <x v="3"/>
    <x v="0"/>
    <x v="1"/>
    <x v="3"/>
    <x v="1"/>
    <x v="1"/>
    <x v="762"/>
    <x v="762"/>
    <x v="762"/>
    <x v="762"/>
  </r>
  <r>
    <x v="762"/>
    <x v="759"/>
    <x v="1"/>
    <x v="2"/>
    <x v="11"/>
    <x v="763"/>
    <x v="713"/>
    <x v="763"/>
    <x v="20"/>
    <x v="103"/>
    <x v="276"/>
    <x v="739"/>
    <x v="1"/>
    <x v="250"/>
    <x v="5"/>
    <x v="1"/>
    <x v="1"/>
    <x v="1"/>
    <x v="1"/>
    <x v="1"/>
    <x v="763"/>
    <x v="763"/>
    <x v="763"/>
    <x v="763"/>
  </r>
  <r>
    <x v="763"/>
    <x v="760"/>
    <x v="0"/>
    <x v="15"/>
    <x v="5"/>
    <x v="764"/>
    <x v="438"/>
    <x v="764"/>
    <x v="1"/>
    <x v="10"/>
    <x v="211"/>
    <x v="740"/>
    <x v="10"/>
    <x v="189"/>
    <x v="3"/>
    <x v="4"/>
    <x v="2"/>
    <x v="2"/>
    <x v="1"/>
    <x v="2"/>
    <x v="764"/>
    <x v="764"/>
    <x v="764"/>
    <x v="764"/>
  </r>
  <r>
    <x v="764"/>
    <x v="761"/>
    <x v="0"/>
    <x v="0"/>
    <x v="9"/>
    <x v="765"/>
    <x v="58"/>
    <x v="765"/>
    <x v="13"/>
    <x v="17"/>
    <x v="134"/>
    <x v="741"/>
    <x v="10"/>
    <x v="209"/>
    <x v="4"/>
    <x v="4"/>
    <x v="0"/>
    <x v="2"/>
    <x v="1"/>
    <x v="2"/>
    <x v="765"/>
    <x v="765"/>
    <x v="765"/>
    <x v="765"/>
  </r>
  <r>
    <x v="765"/>
    <x v="762"/>
    <x v="2"/>
    <x v="10"/>
    <x v="10"/>
    <x v="766"/>
    <x v="714"/>
    <x v="766"/>
    <x v="20"/>
    <x v="24"/>
    <x v="368"/>
    <x v="742"/>
    <x v="5"/>
    <x v="303"/>
    <x v="2"/>
    <x v="4"/>
    <x v="2"/>
    <x v="2"/>
    <x v="1"/>
    <x v="3"/>
    <x v="766"/>
    <x v="766"/>
    <x v="766"/>
    <x v="766"/>
  </r>
  <r>
    <x v="766"/>
    <x v="763"/>
    <x v="0"/>
    <x v="12"/>
    <x v="8"/>
    <x v="767"/>
    <x v="715"/>
    <x v="767"/>
    <x v="22"/>
    <x v="42"/>
    <x v="311"/>
    <x v="743"/>
    <x v="10"/>
    <x v="88"/>
    <x v="5"/>
    <x v="1"/>
    <x v="1"/>
    <x v="1"/>
    <x v="0"/>
    <x v="0"/>
    <x v="767"/>
    <x v="767"/>
    <x v="767"/>
    <x v="767"/>
  </r>
  <r>
    <x v="767"/>
    <x v="764"/>
    <x v="2"/>
    <x v="3"/>
    <x v="0"/>
    <x v="768"/>
    <x v="379"/>
    <x v="768"/>
    <x v="6"/>
    <x v="118"/>
    <x v="391"/>
    <x v="744"/>
    <x v="8"/>
    <x v="466"/>
    <x v="2"/>
    <x v="2"/>
    <x v="1"/>
    <x v="2"/>
    <x v="1"/>
    <x v="3"/>
    <x v="768"/>
    <x v="768"/>
    <x v="768"/>
    <x v="768"/>
  </r>
  <r>
    <x v="768"/>
    <x v="765"/>
    <x v="1"/>
    <x v="1"/>
    <x v="5"/>
    <x v="769"/>
    <x v="203"/>
    <x v="769"/>
    <x v="9"/>
    <x v="8"/>
    <x v="392"/>
    <x v="745"/>
    <x v="24"/>
    <x v="134"/>
    <x v="1"/>
    <x v="3"/>
    <x v="2"/>
    <x v="2"/>
    <x v="1"/>
    <x v="2"/>
    <x v="769"/>
    <x v="769"/>
    <x v="769"/>
    <x v="769"/>
  </r>
  <r>
    <x v="769"/>
    <x v="766"/>
    <x v="2"/>
    <x v="3"/>
    <x v="11"/>
    <x v="770"/>
    <x v="716"/>
    <x v="770"/>
    <x v="4"/>
    <x v="119"/>
    <x v="41"/>
    <x v="746"/>
    <x v="3"/>
    <x v="467"/>
    <x v="5"/>
    <x v="2"/>
    <x v="1"/>
    <x v="3"/>
    <x v="1"/>
    <x v="3"/>
    <x v="770"/>
    <x v="770"/>
    <x v="770"/>
    <x v="770"/>
  </r>
  <r>
    <x v="770"/>
    <x v="767"/>
    <x v="0"/>
    <x v="15"/>
    <x v="11"/>
    <x v="771"/>
    <x v="717"/>
    <x v="771"/>
    <x v="10"/>
    <x v="20"/>
    <x v="80"/>
    <x v="747"/>
    <x v="1"/>
    <x v="105"/>
    <x v="5"/>
    <x v="4"/>
    <x v="1"/>
    <x v="0"/>
    <x v="1"/>
    <x v="2"/>
    <x v="771"/>
    <x v="771"/>
    <x v="771"/>
    <x v="771"/>
  </r>
  <r>
    <x v="771"/>
    <x v="768"/>
    <x v="0"/>
    <x v="0"/>
    <x v="11"/>
    <x v="772"/>
    <x v="243"/>
    <x v="772"/>
    <x v="13"/>
    <x v="120"/>
    <x v="326"/>
    <x v="748"/>
    <x v="25"/>
    <x v="468"/>
    <x v="4"/>
    <x v="1"/>
    <x v="1"/>
    <x v="2"/>
    <x v="1"/>
    <x v="2"/>
    <x v="772"/>
    <x v="772"/>
    <x v="772"/>
    <x v="772"/>
  </r>
  <r>
    <x v="772"/>
    <x v="769"/>
    <x v="1"/>
    <x v="2"/>
    <x v="5"/>
    <x v="773"/>
    <x v="718"/>
    <x v="773"/>
    <x v="6"/>
    <x v="47"/>
    <x v="79"/>
    <x v="749"/>
    <x v="8"/>
    <x v="469"/>
    <x v="4"/>
    <x v="2"/>
    <x v="1"/>
    <x v="2"/>
    <x v="1"/>
    <x v="2"/>
    <x v="773"/>
    <x v="773"/>
    <x v="773"/>
    <x v="773"/>
  </r>
  <r>
    <x v="773"/>
    <x v="770"/>
    <x v="2"/>
    <x v="3"/>
    <x v="10"/>
    <x v="774"/>
    <x v="719"/>
    <x v="774"/>
    <x v="18"/>
    <x v="34"/>
    <x v="133"/>
    <x v="750"/>
    <x v="1"/>
    <x v="365"/>
    <x v="2"/>
    <x v="0"/>
    <x v="0"/>
    <x v="0"/>
    <x v="1"/>
    <x v="3"/>
    <x v="774"/>
    <x v="774"/>
    <x v="774"/>
    <x v="774"/>
  </r>
  <r>
    <x v="774"/>
    <x v="771"/>
    <x v="2"/>
    <x v="10"/>
    <x v="7"/>
    <x v="775"/>
    <x v="720"/>
    <x v="775"/>
    <x v="4"/>
    <x v="51"/>
    <x v="24"/>
    <x v="751"/>
    <x v="4"/>
    <x v="470"/>
    <x v="3"/>
    <x v="4"/>
    <x v="1"/>
    <x v="0"/>
    <x v="1"/>
    <x v="3"/>
    <x v="775"/>
    <x v="775"/>
    <x v="775"/>
    <x v="775"/>
  </r>
  <r>
    <x v="775"/>
    <x v="772"/>
    <x v="1"/>
    <x v="8"/>
    <x v="2"/>
    <x v="776"/>
    <x v="721"/>
    <x v="776"/>
    <x v="9"/>
    <x v="19"/>
    <x v="300"/>
    <x v="620"/>
    <x v="12"/>
    <x v="81"/>
    <x v="1"/>
    <x v="3"/>
    <x v="0"/>
    <x v="3"/>
    <x v="1"/>
    <x v="1"/>
    <x v="776"/>
    <x v="776"/>
    <x v="776"/>
    <x v="776"/>
  </r>
  <r>
    <x v="776"/>
    <x v="773"/>
    <x v="0"/>
    <x v="12"/>
    <x v="8"/>
    <x v="777"/>
    <x v="722"/>
    <x v="777"/>
    <x v="11"/>
    <x v="30"/>
    <x v="96"/>
    <x v="752"/>
    <x v="12"/>
    <x v="462"/>
    <x v="4"/>
    <x v="2"/>
    <x v="2"/>
    <x v="1"/>
    <x v="1"/>
    <x v="2"/>
    <x v="777"/>
    <x v="777"/>
    <x v="777"/>
    <x v="777"/>
  </r>
  <r>
    <x v="777"/>
    <x v="774"/>
    <x v="0"/>
    <x v="12"/>
    <x v="2"/>
    <x v="778"/>
    <x v="278"/>
    <x v="778"/>
    <x v="18"/>
    <x v="14"/>
    <x v="393"/>
    <x v="753"/>
    <x v="9"/>
    <x v="180"/>
    <x v="4"/>
    <x v="4"/>
    <x v="2"/>
    <x v="2"/>
    <x v="1"/>
    <x v="3"/>
    <x v="778"/>
    <x v="778"/>
    <x v="778"/>
    <x v="778"/>
  </r>
  <r>
    <x v="778"/>
    <x v="775"/>
    <x v="0"/>
    <x v="0"/>
    <x v="6"/>
    <x v="779"/>
    <x v="723"/>
    <x v="779"/>
    <x v="16"/>
    <x v="23"/>
    <x v="81"/>
    <x v="754"/>
    <x v="0"/>
    <x v="253"/>
    <x v="3"/>
    <x v="0"/>
    <x v="2"/>
    <x v="0"/>
    <x v="1"/>
    <x v="1"/>
    <x v="779"/>
    <x v="779"/>
    <x v="779"/>
    <x v="779"/>
  </r>
  <r>
    <x v="779"/>
    <x v="776"/>
    <x v="3"/>
    <x v="13"/>
    <x v="7"/>
    <x v="780"/>
    <x v="724"/>
    <x v="780"/>
    <x v="6"/>
    <x v="11"/>
    <x v="47"/>
    <x v="755"/>
    <x v="23"/>
    <x v="471"/>
    <x v="2"/>
    <x v="0"/>
    <x v="1"/>
    <x v="2"/>
    <x v="1"/>
    <x v="2"/>
    <x v="780"/>
    <x v="780"/>
    <x v="780"/>
    <x v="780"/>
  </r>
  <r>
    <x v="780"/>
    <x v="777"/>
    <x v="0"/>
    <x v="0"/>
    <x v="2"/>
    <x v="781"/>
    <x v="725"/>
    <x v="781"/>
    <x v="6"/>
    <x v="118"/>
    <x v="257"/>
    <x v="756"/>
    <x v="0"/>
    <x v="55"/>
    <x v="3"/>
    <x v="1"/>
    <x v="2"/>
    <x v="0"/>
    <x v="1"/>
    <x v="1"/>
    <x v="781"/>
    <x v="781"/>
    <x v="781"/>
    <x v="781"/>
  </r>
  <r>
    <x v="781"/>
    <x v="778"/>
    <x v="2"/>
    <x v="14"/>
    <x v="10"/>
    <x v="782"/>
    <x v="726"/>
    <x v="782"/>
    <x v="6"/>
    <x v="48"/>
    <x v="26"/>
    <x v="757"/>
    <x v="1"/>
    <x v="120"/>
    <x v="1"/>
    <x v="4"/>
    <x v="0"/>
    <x v="0"/>
    <x v="1"/>
    <x v="1"/>
    <x v="782"/>
    <x v="782"/>
    <x v="782"/>
    <x v="782"/>
  </r>
  <r>
    <x v="782"/>
    <x v="779"/>
    <x v="2"/>
    <x v="14"/>
    <x v="7"/>
    <x v="783"/>
    <x v="511"/>
    <x v="783"/>
    <x v="4"/>
    <x v="91"/>
    <x v="330"/>
    <x v="758"/>
    <x v="25"/>
    <x v="472"/>
    <x v="1"/>
    <x v="0"/>
    <x v="1"/>
    <x v="1"/>
    <x v="1"/>
    <x v="1"/>
    <x v="783"/>
    <x v="783"/>
    <x v="783"/>
    <x v="783"/>
  </r>
  <r>
    <x v="783"/>
    <x v="780"/>
    <x v="2"/>
    <x v="14"/>
    <x v="8"/>
    <x v="784"/>
    <x v="727"/>
    <x v="784"/>
    <x v="20"/>
    <x v="23"/>
    <x v="192"/>
    <x v="759"/>
    <x v="1"/>
    <x v="245"/>
    <x v="0"/>
    <x v="0"/>
    <x v="2"/>
    <x v="1"/>
    <x v="0"/>
    <x v="0"/>
    <x v="784"/>
    <x v="784"/>
    <x v="784"/>
    <x v="784"/>
  </r>
  <r>
    <x v="784"/>
    <x v="781"/>
    <x v="2"/>
    <x v="14"/>
    <x v="5"/>
    <x v="785"/>
    <x v="728"/>
    <x v="785"/>
    <x v="2"/>
    <x v="121"/>
    <x v="17"/>
    <x v="760"/>
    <x v="15"/>
    <x v="468"/>
    <x v="3"/>
    <x v="2"/>
    <x v="2"/>
    <x v="3"/>
    <x v="1"/>
    <x v="3"/>
    <x v="785"/>
    <x v="785"/>
    <x v="785"/>
    <x v="785"/>
  </r>
  <r>
    <x v="785"/>
    <x v="782"/>
    <x v="1"/>
    <x v="8"/>
    <x v="5"/>
    <x v="786"/>
    <x v="729"/>
    <x v="786"/>
    <x v="25"/>
    <x v="13"/>
    <x v="56"/>
    <x v="273"/>
    <x v="17"/>
    <x v="194"/>
    <x v="2"/>
    <x v="2"/>
    <x v="1"/>
    <x v="3"/>
    <x v="1"/>
    <x v="1"/>
    <x v="786"/>
    <x v="786"/>
    <x v="786"/>
    <x v="786"/>
  </r>
  <r>
    <x v="786"/>
    <x v="783"/>
    <x v="4"/>
    <x v="7"/>
    <x v="5"/>
    <x v="787"/>
    <x v="730"/>
    <x v="787"/>
    <x v="7"/>
    <x v="6"/>
    <x v="394"/>
    <x v="761"/>
    <x v="12"/>
    <x v="398"/>
    <x v="5"/>
    <x v="0"/>
    <x v="2"/>
    <x v="1"/>
    <x v="0"/>
    <x v="0"/>
    <x v="787"/>
    <x v="787"/>
    <x v="787"/>
    <x v="787"/>
  </r>
  <r>
    <x v="787"/>
    <x v="784"/>
    <x v="2"/>
    <x v="3"/>
    <x v="2"/>
    <x v="788"/>
    <x v="731"/>
    <x v="788"/>
    <x v="19"/>
    <x v="62"/>
    <x v="116"/>
    <x v="762"/>
    <x v="10"/>
    <x v="45"/>
    <x v="0"/>
    <x v="2"/>
    <x v="1"/>
    <x v="0"/>
    <x v="0"/>
    <x v="0"/>
    <x v="788"/>
    <x v="788"/>
    <x v="788"/>
    <x v="788"/>
  </r>
  <r>
    <x v="788"/>
    <x v="785"/>
    <x v="1"/>
    <x v="2"/>
    <x v="3"/>
    <x v="789"/>
    <x v="732"/>
    <x v="789"/>
    <x v="16"/>
    <x v="93"/>
    <x v="395"/>
    <x v="763"/>
    <x v="24"/>
    <x v="311"/>
    <x v="3"/>
    <x v="4"/>
    <x v="2"/>
    <x v="3"/>
    <x v="1"/>
    <x v="2"/>
    <x v="789"/>
    <x v="789"/>
    <x v="789"/>
    <x v="789"/>
  </r>
  <r>
    <x v="789"/>
    <x v="786"/>
    <x v="0"/>
    <x v="9"/>
    <x v="9"/>
    <x v="790"/>
    <x v="675"/>
    <x v="790"/>
    <x v="4"/>
    <x v="5"/>
    <x v="217"/>
    <x v="610"/>
    <x v="12"/>
    <x v="205"/>
    <x v="2"/>
    <x v="4"/>
    <x v="2"/>
    <x v="3"/>
    <x v="1"/>
    <x v="1"/>
    <x v="790"/>
    <x v="790"/>
    <x v="790"/>
    <x v="790"/>
  </r>
  <r>
    <x v="790"/>
    <x v="787"/>
    <x v="0"/>
    <x v="9"/>
    <x v="7"/>
    <x v="791"/>
    <x v="56"/>
    <x v="791"/>
    <x v="10"/>
    <x v="29"/>
    <x v="301"/>
    <x v="764"/>
    <x v="20"/>
    <x v="345"/>
    <x v="0"/>
    <x v="0"/>
    <x v="2"/>
    <x v="1"/>
    <x v="1"/>
    <x v="1"/>
    <x v="791"/>
    <x v="791"/>
    <x v="791"/>
    <x v="791"/>
  </r>
  <r>
    <x v="791"/>
    <x v="788"/>
    <x v="4"/>
    <x v="11"/>
    <x v="6"/>
    <x v="792"/>
    <x v="733"/>
    <x v="792"/>
    <x v="16"/>
    <x v="100"/>
    <x v="110"/>
    <x v="765"/>
    <x v="2"/>
    <x v="440"/>
    <x v="2"/>
    <x v="3"/>
    <x v="2"/>
    <x v="3"/>
    <x v="1"/>
    <x v="2"/>
    <x v="792"/>
    <x v="792"/>
    <x v="792"/>
    <x v="792"/>
  </r>
  <r>
    <x v="792"/>
    <x v="789"/>
    <x v="2"/>
    <x v="3"/>
    <x v="8"/>
    <x v="793"/>
    <x v="734"/>
    <x v="793"/>
    <x v="4"/>
    <x v="1"/>
    <x v="136"/>
    <x v="766"/>
    <x v="3"/>
    <x v="151"/>
    <x v="4"/>
    <x v="1"/>
    <x v="1"/>
    <x v="2"/>
    <x v="1"/>
    <x v="1"/>
    <x v="793"/>
    <x v="793"/>
    <x v="793"/>
    <x v="793"/>
  </r>
  <r>
    <x v="793"/>
    <x v="790"/>
    <x v="1"/>
    <x v="2"/>
    <x v="8"/>
    <x v="794"/>
    <x v="735"/>
    <x v="794"/>
    <x v="3"/>
    <x v="9"/>
    <x v="396"/>
    <x v="767"/>
    <x v="14"/>
    <x v="132"/>
    <x v="1"/>
    <x v="1"/>
    <x v="1"/>
    <x v="0"/>
    <x v="1"/>
    <x v="1"/>
    <x v="794"/>
    <x v="794"/>
    <x v="794"/>
    <x v="794"/>
  </r>
  <r>
    <x v="794"/>
    <x v="791"/>
    <x v="1"/>
    <x v="1"/>
    <x v="5"/>
    <x v="795"/>
    <x v="736"/>
    <x v="795"/>
    <x v="10"/>
    <x v="9"/>
    <x v="335"/>
    <x v="155"/>
    <x v="17"/>
    <x v="473"/>
    <x v="0"/>
    <x v="4"/>
    <x v="2"/>
    <x v="1"/>
    <x v="1"/>
    <x v="3"/>
    <x v="795"/>
    <x v="795"/>
    <x v="795"/>
    <x v="795"/>
  </r>
  <r>
    <x v="795"/>
    <x v="792"/>
    <x v="0"/>
    <x v="0"/>
    <x v="10"/>
    <x v="796"/>
    <x v="737"/>
    <x v="796"/>
    <x v="18"/>
    <x v="71"/>
    <x v="159"/>
    <x v="768"/>
    <x v="13"/>
    <x v="330"/>
    <x v="0"/>
    <x v="2"/>
    <x v="1"/>
    <x v="1"/>
    <x v="1"/>
    <x v="2"/>
    <x v="796"/>
    <x v="796"/>
    <x v="796"/>
    <x v="796"/>
  </r>
  <r>
    <x v="796"/>
    <x v="793"/>
    <x v="0"/>
    <x v="15"/>
    <x v="9"/>
    <x v="797"/>
    <x v="738"/>
    <x v="797"/>
    <x v="17"/>
    <x v="5"/>
    <x v="123"/>
    <x v="769"/>
    <x v="8"/>
    <x v="457"/>
    <x v="1"/>
    <x v="2"/>
    <x v="2"/>
    <x v="1"/>
    <x v="1"/>
    <x v="3"/>
    <x v="797"/>
    <x v="797"/>
    <x v="797"/>
    <x v="797"/>
  </r>
  <r>
    <x v="797"/>
    <x v="794"/>
    <x v="0"/>
    <x v="9"/>
    <x v="4"/>
    <x v="798"/>
    <x v="739"/>
    <x v="798"/>
    <x v="4"/>
    <x v="9"/>
    <x v="397"/>
    <x v="8"/>
    <x v="12"/>
    <x v="474"/>
    <x v="0"/>
    <x v="0"/>
    <x v="2"/>
    <x v="2"/>
    <x v="1"/>
    <x v="2"/>
    <x v="798"/>
    <x v="798"/>
    <x v="798"/>
    <x v="798"/>
  </r>
  <r>
    <x v="798"/>
    <x v="795"/>
    <x v="0"/>
    <x v="15"/>
    <x v="10"/>
    <x v="799"/>
    <x v="740"/>
    <x v="799"/>
    <x v="9"/>
    <x v="1"/>
    <x v="191"/>
    <x v="770"/>
    <x v="4"/>
    <x v="203"/>
    <x v="0"/>
    <x v="4"/>
    <x v="1"/>
    <x v="2"/>
    <x v="1"/>
    <x v="1"/>
    <x v="799"/>
    <x v="799"/>
    <x v="799"/>
    <x v="799"/>
  </r>
  <r>
    <x v="799"/>
    <x v="796"/>
    <x v="3"/>
    <x v="13"/>
    <x v="1"/>
    <x v="800"/>
    <x v="577"/>
    <x v="800"/>
    <x v="16"/>
    <x v="72"/>
    <x v="147"/>
    <x v="771"/>
    <x v="7"/>
    <x v="141"/>
    <x v="2"/>
    <x v="2"/>
    <x v="0"/>
    <x v="1"/>
    <x v="1"/>
    <x v="1"/>
    <x v="800"/>
    <x v="800"/>
    <x v="800"/>
    <x v="800"/>
  </r>
  <r>
    <x v="800"/>
    <x v="797"/>
    <x v="1"/>
    <x v="1"/>
    <x v="2"/>
    <x v="801"/>
    <x v="741"/>
    <x v="801"/>
    <x v="13"/>
    <x v="122"/>
    <x v="86"/>
    <x v="772"/>
    <x v="9"/>
    <x v="475"/>
    <x v="5"/>
    <x v="0"/>
    <x v="1"/>
    <x v="3"/>
    <x v="1"/>
    <x v="1"/>
    <x v="801"/>
    <x v="801"/>
    <x v="801"/>
    <x v="801"/>
  </r>
  <r>
    <x v="801"/>
    <x v="798"/>
    <x v="0"/>
    <x v="12"/>
    <x v="2"/>
    <x v="802"/>
    <x v="742"/>
    <x v="802"/>
    <x v="3"/>
    <x v="85"/>
    <x v="351"/>
    <x v="773"/>
    <x v="12"/>
    <x v="199"/>
    <x v="3"/>
    <x v="0"/>
    <x v="1"/>
    <x v="3"/>
    <x v="1"/>
    <x v="2"/>
    <x v="802"/>
    <x v="802"/>
    <x v="802"/>
    <x v="802"/>
  </r>
  <r>
    <x v="802"/>
    <x v="799"/>
    <x v="3"/>
    <x v="4"/>
    <x v="7"/>
    <x v="803"/>
    <x v="743"/>
    <x v="803"/>
    <x v="4"/>
    <x v="54"/>
    <x v="102"/>
    <x v="774"/>
    <x v="9"/>
    <x v="161"/>
    <x v="1"/>
    <x v="1"/>
    <x v="2"/>
    <x v="3"/>
    <x v="1"/>
    <x v="1"/>
    <x v="803"/>
    <x v="803"/>
    <x v="803"/>
    <x v="803"/>
  </r>
  <r>
    <x v="803"/>
    <x v="800"/>
    <x v="2"/>
    <x v="10"/>
    <x v="6"/>
    <x v="804"/>
    <x v="744"/>
    <x v="804"/>
    <x v="20"/>
    <x v="13"/>
    <x v="117"/>
    <x v="775"/>
    <x v="0"/>
    <x v="476"/>
    <x v="2"/>
    <x v="0"/>
    <x v="0"/>
    <x v="2"/>
    <x v="1"/>
    <x v="1"/>
    <x v="804"/>
    <x v="804"/>
    <x v="804"/>
    <x v="804"/>
  </r>
  <r>
    <x v="804"/>
    <x v="801"/>
    <x v="0"/>
    <x v="0"/>
    <x v="8"/>
    <x v="805"/>
    <x v="745"/>
    <x v="805"/>
    <x v="5"/>
    <x v="48"/>
    <x v="79"/>
    <x v="776"/>
    <x v="12"/>
    <x v="153"/>
    <x v="3"/>
    <x v="3"/>
    <x v="1"/>
    <x v="3"/>
    <x v="1"/>
    <x v="3"/>
    <x v="805"/>
    <x v="805"/>
    <x v="805"/>
    <x v="805"/>
  </r>
  <r>
    <x v="805"/>
    <x v="802"/>
    <x v="3"/>
    <x v="13"/>
    <x v="3"/>
    <x v="806"/>
    <x v="746"/>
    <x v="806"/>
    <x v="17"/>
    <x v="32"/>
    <x v="23"/>
    <x v="777"/>
    <x v="5"/>
    <x v="121"/>
    <x v="5"/>
    <x v="1"/>
    <x v="0"/>
    <x v="1"/>
    <x v="1"/>
    <x v="2"/>
    <x v="806"/>
    <x v="806"/>
    <x v="806"/>
    <x v="806"/>
  </r>
  <r>
    <x v="806"/>
    <x v="803"/>
    <x v="2"/>
    <x v="3"/>
    <x v="11"/>
    <x v="807"/>
    <x v="747"/>
    <x v="807"/>
    <x v="17"/>
    <x v="30"/>
    <x v="302"/>
    <x v="778"/>
    <x v="3"/>
    <x v="477"/>
    <x v="0"/>
    <x v="4"/>
    <x v="0"/>
    <x v="2"/>
    <x v="1"/>
    <x v="1"/>
    <x v="807"/>
    <x v="807"/>
    <x v="807"/>
    <x v="807"/>
  </r>
  <r>
    <x v="807"/>
    <x v="804"/>
    <x v="4"/>
    <x v="11"/>
    <x v="7"/>
    <x v="808"/>
    <x v="748"/>
    <x v="808"/>
    <x v="7"/>
    <x v="3"/>
    <x v="100"/>
    <x v="779"/>
    <x v="23"/>
    <x v="410"/>
    <x v="2"/>
    <x v="0"/>
    <x v="0"/>
    <x v="1"/>
    <x v="1"/>
    <x v="3"/>
    <x v="808"/>
    <x v="808"/>
    <x v="808"/>
    <x v="808"/>
  </r>
  <r>
    <x v="808"/>
    <x v="805"/>
    <x v="0"/>
    <x v="9"/>
    <x v="5"/>
    <x v="809"/>
    <x v="749"/>
    <x v="809"/>
    <x v="20"/>
    <x v="13"/>
    <x v="65"/>
    <x v="780"/>
    <x v="7"/>
    <x v="245"/>
    <x v="0"/>
    <x v="4"/>
    <x v="1"/>
    <x v="3"/>
    <x v="1"/>
    <x v="2"/>
    <x v="809"/>
    <x v="809"/>
    <x v="809"/>
    <x v="809"/>
  </r>
  <r>
    <x v="809"/>
    <x v="806"/>
    <x v="2"/>
    <x v="14"/>
    <x v="2"/>
    <x v="810"/>
    <x v="750"/>
    <x v="810"/>
    <x v="13"/>
    <x v="0"/>
    <x v="7"/>
    <x v="781"/>
    <x v="6"/>
    <x v="304"/>
    <x v="3"/>
    <x v="3"/>
    <x v="1"/>
    <x v="3"/>
    <x v="1"/>
    <x v="1"/>
    <x v="810"/>
    <x v="810"/>
    <x v="810"/>
    <x v="810"/>
  </r>
  <r>
    <x v="810"/>
    <x v="807"/>
    <x v="2"/>
    <x v="10"/>
    <x v="4"/>
    <x v="811"/>
    <x v="605"/>
    <x v="811"/>
    <x v="17"/>
    <x v="20"/>
    <x v="175"/>
    <x v="782"/>
    <x v="0"/>
    <x v="438"/>
    <x v="5"/>
    <x v="3"/>
    <x v="2"/>
    <x v="1"/>
    <x v="1"/>
    <x v="1"/>
    <x v="811"/>
    <x v="811"/>
    <x v="811"/>
    <x v="811"/>
  </r>
  <r>
    <x v="811"/>
    <x v="808"/>
    <x v="4"/>
    <x v="6"/>
    <x v="4"/>
    <x v="812"/>
    <x v="471"/>
    <x v="812"/>
    <x v="7"/>
    <x v="30"/>
    <x v="368"/>
    <x v="783"/>
    <x v="3"/>
    <x v="167"/>
    <x v="3"/>
    <x v="0"/>
    <x v="1"/>
    <x v="3"/>
    <x v="1"/>
    <x v="3"/>
    <x v="812"/>
    <x v="812"/>
    <x v="812"/>
    <x v="812"/>
  </r>
  <r>
    <x v="812"/>
    <x v="809"/>
    <x v="0"/>
    <x v="15"/>
    <x v="2"/>
    <x v="813"/>
    <x v="751"/>
    <x v="813"/>
    <x v="15"/>
    <x v="7"/>
    <x v="178"/>
    <x v="784"/>
    <x v="11"/>
    <x v="456"/>
    <x v="3"/>
    <x v="3"/>
    <x v="2"/>
    <x v="3"/>
    <x v="1"/>
    <x v="3"/>
    <x v="813"/>
    <x v="813"/>
    <x v="813"/>
    <x v="813"/>
  </r>
  <r>
    <x v="813"/>
    <x v="810"/>
    <x v="0"/>
    <x v="12"/>
    <x v="6"/>
    <x v="814"/>
    <x v="752"/>
    <x v="814"/>
    <x v="2"/>
    <x v="48"/>
    <x v="42"/>
    <x v="785"/>
    <x v="0"/>
    <x v="399"/>
    <x v="3"/>
    <x v="0"/>
    <x v="0"/>
    <x v="3"/>
    <x v="1"/>
    <x v="2"/>
    <x v="814"/>
    <x v="814"/>
    <x v="814"/>
    <x v="814"/>
  </r>
  <r>
    <x v="814"/>
    <x v="811"/>
    <x v="2"/>
    <x v="14"/>
    <x v="3"/>
    <x v="815"/>
    <x v="171"/>
    <x v="815"/>
    <x v="2"/>
    <x v="123"/>
    <x v="398"/>
    <x v="786"/>
    <x v="23"/>
    <x v="205"/>
    <x v="2"/>
    <x v="0"/>
    <x v="1"/>
    <x v="2"/>
    <x v="1"/>
    <x v="3"/>
    <x v="815"/>
    <x v="815"/>
    <x v="815"/>
    <x v="815"/>
  </r>
  <r>
    <x v="815"/>
    <x v="812"/>
    <x v="2"/>
    <x v="3"/>
    <x v="3"/>
    <x v="816"/>
    <x v="753"/>
    <x v="816"/>
    <x v="12"/>
    <x v="40"/>
    <x v="177"/>
    <x v="787"/>
    <x v="17"/>
    <x v="178"/>
    <x v="0"/>
    <x v="2"/>
    <x v="0"/>
    <x v="3"/>
    <x v="1"/>
    <x v="1"/>
    <x v="816"/>
    <x v="816"/>
    <x v="816"/>
    <x v="816"/>
  </r>
  <r>
    <x v="816"/>
    <x v="813"/>
    <x v="2"/>
    <x v="14"/>
    <x v="9"/>
    <x v="817"/>
    <x v="754"/>
    <x v="817"/>
    <x v="18"/>
    <x v="13"/>
    <x v="399"/>
    <x v="788"/>
    <x v="6"/>
    <x v="124"/>
    <x v="2"/>
    <x v="3"/>
    <x v="2"/>
    <x v="1"/>
    <x v="1"/>
    <x v="2"/>
    <x v="817"/>
    <x v="817"/>
    <x v="817"/>
    <x v="817"/>
  </r>
  <r>
    <x v="817"/>
    <x v="814"/>
    <x v="2"/>
    <x v="3"/>
    <x v="11"/>
    <x v="818"/>
    <x v="755"/>
    <x v="818"/>
    <x v="19"/>
    <x v="46"/>
    <x v="258"/>
    <x v="789"/>
    <x v="25"/>
    <x v="478"/>
    <x v="4"/>
    <x v="3"/>
    <x v="2"/>
    <x v="1"/>
    <x v="1"/>
    <x v="1"/>
    <x v="818"/>
    <x v="818"/>
    <x v="818"/>
    <x v="818"/>
  </r>
  <r>
    <x v="818"/>
    <x v="815"/>
    <x v="0"/>
    <x v="15"/>
    <x v="1"/>
    <x v="819"/>
    <x v="756"/>
    <x v="819"/>
    <x v="2"/>
    <x v="52"/>
    <x v="10"/>
    <x v="790"/>
    <x v="7"/>
    <x v="437"/>
    <x v="1"/>
    <x v="3"/>
    <x v="2"/>
    <x v="2"/>
    <x v="1"/>
    <x v="1"/>
    <x v="819"/>
    <x v="819"/>
    <x v="819"/>
    <x v="819"/>
  </r>
  <r>
    <x v="819"/>
    <x v="816"/>
    <x v="1"/>
    <x v="1"/>
    <x v="10"/>
    <x v="820"/>
    <x v="757"/>
    <x v="820"/>
    <x v="2"/>
    <x v="28"/>
    <x v="69"/>
    <x v="791"/>
    <x v="23"/>
    <x v="401"/>
    <x v="3"/>
    <x v="0"/>
    <x v="1"/>
    <x v="3"/>
    <x v="0"/>
    <x v="0"/>
    <x v="820"/>
    <x v="820"/>
    <x v="820"/>
    <x v="820"/>
  </r>
  <r>
    <x v="820"/>
    <x v="817"/>
    <x v="0"/>
    <x v="9"/>
    <x v="6"/>
    <x v="821"/>
    <x v="758"/>
    <x v="821"/>
    <x v="8"/>
    <x v="55"/>
    <x v="145"/>
    <x v="792"/>
    <x v="6"/>
    <x v="123"/>
    <x v="2"/>
    <x v="1"/>
    <x v="2"/>
    <x v="1"/>
    <x v="1"/>
    <x v="2"/>
    <x v="821"/>
    <x v="821"/>
    <x v="821"/>
    <x v="821"/>
  </r>
  <r>
    <x v="821"/>
    <x v="818"/>
    <x v="2"/>
    <x v="3"/>
    <x v="5"/>
    <x v="822"/>
    <x v="348"/>
    <x v="822"/>
    <x v="24"/>
    <x v="72"/>
    <x v="400"/>
    <x v="793"/>
    <x v="9"/>
    <x v="479"/>
    <x v="0"/>
    <x v="4"/>
    <x v="2"/>
    <x v="3"/>
    <x v="1"/>
    <x v="3"/>
    <x v="822"/>
    <x v="822"/>
    <x v="822"/>
    <x v="822"/>
  </r>
  <r>
    <x v="822"/>
    <x v="819"/>
    <x v="4"/>
    <x v="11"/>
    <x v="9"/>
    <x v="823"/>
    <x v="759"/>
    <x v="823"/>
    <x v="9"/>
    <x v="13"/>
    <x v="401"/>
    <x v="794"/>
    <x v="16"/>
    <x v="193"/>
    <x v="3"/>
    <x v="1"/>
    <x v="0"/>
    <x v="2"/>
    <x v="1"/>
    <x v="2"/>
    <x v="823"/>
    <x v="823"/>
    <x v="823"/>
    <x v="823"/>
  </r>
  <r>
    <x v="823"/>
    <x v="820"/>
    <x v="1"/>
    <x v="2"/>
    <x v="3"/>
    <x v="824"/>
    <x v="760"/>
    <x v="824"/>
    <x v="3"/>
    <x v="38"/>
    <x v="401"/>
    <x v="795"/>
    <x v="16"/>
    <x v="473"/>
    <x v="1"/>
    <x v="1"/>
    <x v="1"/>
    <x v="1"/>
    <x v="1"/>
    <x v="1"/>
    <x v="824"/>
    <x v="824"/>
    <x v="824"/>
    <x v="824"/>
  </r>
  <r>
    <x v="824"/>
    <x v="821"/>
    <x v="0"/>
    <x v="15"/>
    <x v="1"/>
    <x v="825"/>
    <x v="761"/>
    <x v="825"/>
    <x v="4"/>
    <x v="6"/>
    <x v="86"/>
    <x v="796"/>
    <x v="9"/>
    <x v="7"/>
    <x v="4"/>
    <x v="0"/>
    <x v="2"/>
    <x v="0"/>
    <x v="1"/>
    <x v="1"/>
    <x v="825"/>
    <x v="825"/>
    <x v="825"/>
    <x v="825"/>
  </r>
  <r>
    <x v="825"/>
    <x v="822"/>
    <x v="4"/>
    <x v="11"/>
    <x v="5"/>
    <x v="826"/>
    <x v="762"/>
    <x v="826"/>
    <x v="10"/>
    <x v="30"/>
    <x v="402"/>
    <x v="797"/>
    <x v="2"/>
    <x v="392"/>
    <x v="4"/>
    <x v="4"/>
    <x v="0"/>
    <x v="2"/>
    <x v="1"/>
    <x v="2"/>
    <x v="826"/>
    <x v="826"/>
    <x v="826"/>
    <x v="826"/>
  </r>
  <r>
    <x v="826"/>
    <x v="823"/>
    <x v="0"/>
    <x v="15"/>
    <x v="1"/>
    <x v="827"/>
    <x v="763"/>
    <x v="827"/>
    <x v="4"/>
    <x v="3"/>
    <x v="364"/>
    <x v="798"/>
    <x v="12"/>
    <x v="480"/>
    <x v="5"/>
    <x v="2"/>
    <x v="1"/>
    <x v="0"/>
    <x v="1"/>
    <x v="2"/>
    <x v="827"/>
    <x v="827"/>
    <x v="827"/>
    <x v="827"/>
  </r>
  <r>
    <x v="827"/>
    <x v="824"/>
    <x v="3"/>
    <x v="13"/>
    <x v="1"/>
    <x v="828"/>
    <x v="540"/>
    <x v="828"/>
    <x v="4"/>
    <x v="18"/>
    <x v="12"/>
    <x v="799"/>
    <x v="5"/>
    <x v="481"/>
    <x v="3"/>
    <x v="1"/>
    <x v="2"/>
    <x v="2"/>
    <x v="1"/>
    <x v="3"/>
    <x v="828"/>
    <x v="828"/>
    <x v="828"/>
    <x v="828"/>
  </r>
  <r>
    <x v="828"/>
    <x v="825"/>
    <x v="4"/>
    <x v="7"/>
    <x v="5"/>
    <x v="829"/>
    <x v="764"/>
    <x v="829"/>
    <x v="20"/>
    <x v="29"/>
    <x v="387"/>
    <x v="800"/>
    <x v="12"/>
    <x v="373"/>
    <x v="1"/>
    <x v="1"/>
    <x v="2"/>
    <x v="2"/>
    <x v="1"/>
    <x v="2"/>
    <x v="829"/>
    <x v="829"/>
    <x v="829"/>
    <x v="829"/>
  </r>
  <r>
    <x v="829"/>
    <x v="826"/>
    <x v="4"/>
    <x v="11"/>
    <x v="2"/>
    <x v="830"/>
    <x v="765"/>
    <x v="830"/>
    <x v="22"/>
    <x v="124"/>
    <x v="282"/>
    <x v="801"/>
    <x v="19"/>
    <x v="91"/>
    <x v="0"/>
    <x v="4"/>
    <x v="0"/>
    <x v="1"/>
    <x v="1"/>
    <x v="1"/>
    <x v="830"/>
    <x v="830"/>
    <x v="830"/>
    <x v="830"/>
  </r>
  <r>
    <x v="830"/>
    <x v="827"/>
    <x v="0"/>
    <x v="15"/>
    <x v="10"/>
    <x v="831"/>
    <x v="766"/>
    <x v="831"/>
    <x v="11"/>
    <x v="33"/>
    <x v="403"/>
    <x v="802"/>
    <x v="19"/>
    <x v="84"/>
    <x v="1"/>
    <x v="3"/>
    <x v="2"/>
    <x v="2"/>
    <x v="1"/>
    <x v="2"/>
    <x v="831"/>
    <x v="831"/>
    <x v="831"/>
    <x v="831"/>
  </r>
  <r>
    <x v="831"/>
    <x v="828"/>
    <x v="1"/>
    <x v="1"/>
    <x v="5"/>
    <x v="832"/>
    <x v="767"/>
    <x v="832"/>
    <x v="3"/>
    <x v="125"/>
    <x v="325"/>
    <x v="803"/>
    <x v="18"/>
    <x v="482"/>
    <x v="1"/>
    <x v="4"/>
    <x v="2"/>
    <x v="3"/>
    <x v="1"/>
    <x v="3"/>
    <x v="832"/>
    <x v="832"/>
    <x v="832"/>
    <x v="832"/>
  </r>
  <r>
    <x v="832"/>
    <x v="829"/>
    <x v="0"/>
    <x v="15"/>
    <x v="11"/>
    <x v="833"/>
    <x v="768"/>
    <x v="833"/>
    <x v="10"/>
    <x v="19"/>
    <x v="127"/>
    <x v="804"/>
    <x v="0"/>
    <x v="423"/>
    <x v="1"/>
    <x v="3"/>
    <x v="2"/>
    <x v="0"/>
    <x v="1"/>
    <x v="1"/>
    <x v="833"/>
    <x v="833"/>
    <x v="833"/>
    <x v="833"/>
  </r>
  <r>
    <x v="833"/>
    <x v="830"/>
    <x v="2"/>
    <x v="3"/>
    <x v="5"/>
    <x v="834"/>
    <x v="769"/>
    <x v="834"/>
    <x v="13"/>
    <x v="126"/>
    <x v="404"/>
    <x v="805"/>
    <x v="10"/>
    <x v="339"/>
    <x v="1"/>
    <x v="4"/>
    <x v="1"/>
    <x v="3"/>
    <x v="1"/>
    <x v="1"/>
    <x v="834"/>
    <x v="834"/>
    <x v="834"/>
    <x v="834"/>
  </r>
  <r>
    <x v="834"/>
    <x v="831"/>
    <x v="1"/>
    <x v="2"/>
    <x v="10"/>
    <x v="835"/>
    <x v="770"/>
    <x v="835"/>
    <x v="19"/>
    <x v="40"/>
    <x v="405"/>
    <x v="806"/>
    <x v="0"/>
    <x v="483"/>
    <x v="1"/>
    <x v="1"/>
    <x v="2"/>
    <x v="3"/>
    <x v="1"/>
    <x v="3"/>
    <x v="835"/>
    <x v="835"/>
    <x v="835"/>
    <x v="835"/>
  </r>
  <r>
    <x v="835"/>
    <x v="832"/>
    <x v="2"/>
    <x v="14"/>
    <x v="0"/>
    <x v="836"/>
    <x v="771"/>
    <x v="836"/>
    <x v="18"/>
    <x v="42"/>
    <x v="319"/>
    <x v="807"/>
    <x v="20"/>
    <x v="484"/>
    <x v="4"/>
    <x v="2"/>
    <x v="0"/>
    <x v="0"/>
    <x v="0"/>
    <x v="0"/>
    <x v="836"/>
    <x v="836"/>
    <x v="836"/>
    <x v="836"/>
  </r>
  <r>
    <x v="836"/>
    <x v="833"/>
    <x v="1"/>
    <x v="2"/>
    <x v="5"/>
    <x v="837"/>
    <x v="599"/>
    <x v="837"/>
    <x v="11"/>
    <x v="6"/>
    <x v="357"/>
    <x v="808"/>
    <x v="19"/>
    <x v="452"/>
    <x v="5"/>
    <x v="4"/>
    <x v="1"/>
    <x v="0"/>
    <x v="1"/>
    <x v="1"/>
    <x v="837"/>
    <x v="837"/>
    <x v="837"/>
    <x v="837"/>
  </r>
  <r>
    <x v="837"/>
    <x v="834"/>
    <x v="3"/>
    <x v="13"/>
    <x v="3"/>
    <x v="838"/>
    <x v="502"/>
    <x v="838"/>
    <x v="7"/>
    <x v="31"/>
    <x v="406"/>
    <x v="809"/>
    <x v="4"/>
    <x v="485"/>
    <x v="3"/>
    <x v="4"/>
    <x v="2"/>
    <x v="1"/>
    <x v="1"/>
    <x v="3"/>
    <x v="838"/>
    <x v="838"/>
    <x v="838"/>
    <x v="838"/>
  </r>
  <r>
    <x v="838"/>
    <x v="835"/>
    <x v="4"/>
    <x v="11"/>
    <x v="0"/>
    <x v="839"/>
    <x v="772"/>
    <x v="839"/>
    <x v="20"/>
    <x v="23"/>
    <x v="295"/>
    <x v="810"/>
    <x v="14"/>
    <x v="154"/>
    <x v="2"/>
    <x v="2"/>
    <x v="0"/>
    <x v="0"/>
    <x v="1"/>
    <x v="3"/>
    <x v="839"/>
    <x v="839"/>
    <x v="839"/>
    <x v="839"/>
  </r>
  <r>
    <x v="839"/>
    <x v="836"/>
    <x v="2"/>
    <x v="10"/>
    <x v="1"/>
    <x v="840"/>
    <x v="228"/>
    <x v="840"/>
    <x v="6"/>
    <x v="16"/>
    <x v="407"/>
    <x v="811"/>
    <x v="17"/>
    <x v="341"/>
    <x v="3"/>
    <x v="3"/>
    <x v="0"/>
    <x v="3"/>
    <x v="1"/>
    <x v="1"/>
    <x v="840"/>
    <x v="840"/>
    <x v="840"/>
    <x v="840"/>
  </r>
  <r>
    <x v="840"/>
    <x v="837"/>
    <x v="1"/>
    <x v="8"/>
    <x v="9"/>
    <x v="841"/>
    <x v="773"/>
    <x v="841"/>
    <x v="2"/>
    <x v="33"/>
    <x v="181"/>
    <x v="812"/>
    <x v="10"/>
    <x v="486"/>
    <x v="2"/>
    <x v="4"/>
    <x v="1"/>
    <x v="0"/>
    <x v="1"/>
    <x v="3"/>
    <x v="841"/>
    <x v="841"/>
    <x v="841"/>
    <x v="841"/>
  </r>
  <r>
    <x v="841"/>
    <x v="838"/>
    <x v="0"/>
    <x v="0"/>
    <x v="0"/>
    <x v="842"/>
    <x v="774"/>
    <x v="842"/>
    <x v="9"/>
    <x v="27"/>
    <x v="135"/>
    <x v="585"/>
    <x v="4"/>
    <x v="330"/>
    <x v="1"/>
    <x v="3"/>
    <x v="0"/>
    <x v="1"/>
    <x v="1"/>
    <x v="1"/>
    <x v="842"/>
    <x v="842"/>
    <x v="842"/>
    <x v="842"/>
  </r>
  <r>
    <x v="842"/>
    <x v="839"/>
    <x v="1"/>
    <x v="2"/>
    <x v="5"/>
    <x v="843"/>
    <x v="205"/>
    <x v="843"/>
    <x v="15"/>
    <x v="20"/>
    <x v="36"/>
    <x v="464"/>
    <x v="3"/>
    <x v="412"/>
    <x v="0"/>
    <x v="0"/>
    <x v="2"/>
    <x v="0"/>
    <x v="1"/>
    <x v="3"/>
    <x v="843"/>
    <x v="843"/>
    <x v="843"/>
    <x v="843"/>
  </r>
  <r>
    <x v="843"/>
    <x v="840"/>
    <x v="4"/>
    <x v="11"/>
    <x v="0"/>
    <x v="844"/>
    <x v="775"/>
    <x v="844"/>
    <x v="7"/>
    <x v="1"/>
    <x v="257"/>
    <x v="813"/>
    <x v="9"/>
    <x v="487"/>
    <x v="4"/>
    <x v="4"/>
    <x v="0"/>
    <x v="1"/>
    <x v="0"/>
    <x v="0"/>
    <x v="844"/>
    <x v="844"/>
    <x v="844"/>
    <x v="844"/>
  </r>
  <r>
    <x v="844"/>
    <x v="841"/>
    <x v="4"/>
    <x v="7"/>
    <x v="3"/>
    <x v="845"/>
    <x v="776"/>
    <x v="845"/>
    <x v="14"/>
    <x v="18"/>
    <x v="94"/>
    <x v="814"/>
    <x v="24"/>
    <x v="334"/>
    <x v="1"/>
    <x v="4"/>
    <x v="0"/>
    <x v="3"/>
    <x v="1"/>
    <x v="1"/>
    <x v="845"/>
    <x v="845"/>
    <x v="845"/>
    <x v="845"/>
  </r>
  <r>
    <x v="845"/>
    <x v="842"/>
    <x v="2"/>
    <x v="14"/>
    <x v="3"/>
    <x v="846"/>
    <x v="777"/>
    <x v="846"/>
    <x v="20"/>
    <x v="48"/>
    <x v="161"/>
    <x v="815"/>
    <x v="9"/>
    <x v="488"/>
    <x v="3"/>
    <x v="2"/>
    <x v="2"/>
    <x v="3"/>
    <x v="1"/>
    <x v="1"/>
    <x v="846"/>
    <x v="846"/>
    <x v="846"/>
    <x v="846"/>
  </r>
  <r>
    <x v="846"/>
    <x v="843"/>
    <x v="1"/>
    <x v="8"/>
    <x v="0"/>
    <x v="847"/>
    <x v="778"/>
    <x v="847"/>
    <x v="1"/>
    <x v="47"/>
    <x v="274"/>
    <x v="816"/>
    <x v="3"/>
    <x v="249"/>
    <x v="4"/>
    <x v="2"/>
    <x v="0"/>
    <x v="0"/>
    <x v="1"/>
    <x v="1"/>
    <x v="847"/>
    <x v="847"/>
    <x v="847"/>
    <x v="847"/>
  </r>
  <r>
    <x v="847"/>
    <x v="844"/>
    <x v="1"/>
    <x v="1"/>
    <x v="10"/>
    <x v="848"/>
    <x v="779"/>
    <x v="848"/>
    <x v="18"/>
    <x v="5"/>
    <x v="408"/>
    <x v="817"/>
    <x v="18"/>
    <x v="258"/>
    <x v="3"/>
    <x v="1"/>
    <x v="1"/>
    <x v="3"/>
    <x v="1"/>
    <x v="2"/>
    <x v="848"/>
    <x v="848"/>
    <x v="848"/>
    <x v="848"/>
  </r>
  <r>
    <x v="848"/>
    <x v="845"/>
    <x v="3"/>
    <x v="13"/>
    <x v="0"/>
    <x v="849"/>
    <x v="780"/>
    <x v="849"/>
    <x v="10"/>
    <x v="13"/>
    <x v="175"/>
    <x v="818"/>
    <x v="15"/>
    <x v="96"/>
    <x v="1"/>
    <x v="4"/>
    <x v="2"/>
    <x v="2"/>
    <x v="1"/>
    <x v="1"/>
    <x v="849"/>
    <x v="849"/>
    <x v="849"/>
    <x v="849"/>
  </r>
  <r>
    <x v="849"/>
    <x v="846"/>
    <x v="4"/>
    <x v="6"/>
    <x v="4"/>
    <x v="850"/>
    <x v="781"/>
    <x v="850"/>
    <x v="1"/>
    <x v="45"/>
    <x v="284"/>
    <x v="819"/>
    <x v="22"/>
    <x v="489"/>
    <x v="3"/>
    <x v="2"/>
    <x v="1"/>
    <x v="2"/>
    <x v="1"/>
    <x v="2"/>
    <x v="850"/>
    <x v="850"/>
    <x v="850"/>
    <x v="850"/>
  </r>
  <r>
    <x v="850"/>
    <x v="847"/>
    <x v="2"/>
    <x v="3"/>
    <x v="8"/>
    <x v="851"/>
    <x v="782"/>
    <x v="851"/>
    <x v="10"/>
    <x v="20"/>
    <x v="147"/>
    <x v="820"/>
    <x v="12"/>
    <x v="490"/>
    <x v="1"/>
    <x v="0"/>
    <x v="0"/>
    <x v="1"/>
    <x v="1"/>
    <x v="1"/>
    <x v="851"/>
    <x v="851"/>
    <x v="851"/>
    <x v="851"/>
  </r>
  <r>
    <x v="851"/>
    <x v="848"/>
    <x v="0"/>
    <x v="12"/>
    <x v="6"/>
    <x v="852"/>
    <x v="783"/>
    <x v="852"/>
    <x v="6"/>
    <x v="1"/>
    <x v="409"/>
    <x v="821"/>
    <x v="3"/>
    <x v="491"/>
    <x v="4"/>
    <x v="3"/>
    <x v="1"/>
    <x v="3"/>
    <x v="1"/>
    <x v="1"/>
    <x v="852"/>
    <x v="852"/>
    <x v="852"/>
    <x v="852"/>
  </r>
  <r>
    <x v="852"/>
    <x v="849"/>
    <x v="3"/>
    <x v="5"/>
    <x v="4"/>
    <x v="853"/>
    <x v="784"/>
    <x v="853"/>
    <x v="8"/>
    <x v="27"/>
    <x v="410"/>
    <x v="822"/>
    <x v="6"/>
    <x v="284"/>
    <x v="2"/>
    <x v="2"/>
    <x v="2"/>
    <x v="1"/>
    <x v="1"/>
    <x v="3"/>
    <x v="853"/>
    <x v="853"/>
    <x v="853"/>
    <x v="853"/>
  </r>
  <r>
    <x v="853"/>
    <x v="850"/>
    <x v="1"/>
    <x v="2"/>
    <x v="5"/>
    <x v="854"/>
    <x v="785"/>
    <x v="854"/>
    <x v="8"/>
    <x v="24"/>
    <x v="379"/>
    <x v="823"/>
    <x v="10"/>
    <x v="489"/>
    <x v="1"/>
    <x v="0"/>
    <x v="1"/>
    <x v="1"/>
    <x v="1"/>
    <x v="1"/>
    <x v="854"/>
    <x v="854"/>
    <x v="854"/>
    <x v="854"/>
  </r>
  <r>
    <x v="854"/>
    <x v="851"/>
    <x v="3"/>
    <x v="13"/>
    <x v="9"/>
    <x v="855"/>
    <x v="504"/>
    <x v="855"/>
    <x v="10"/>
    <x v="10"/>
    <x v="411"/>
    <x v="824"/>
    <x v="13"/>
    <x v="492"/>
    <x v="3"/>
    <x v="1"/>
    <x v="0"/>
    <x v="0"/>
    <x v="1"/>
    <x v="2"/>
    <x v="855"/>
    <x v="855"/>
    <x v="855"/>
    <x v="855"/>
  </r>
  <r>
    <x v="855"/>
    <x v="852"/>
    <x v="0"/>
    <x v="12"/>
    <x v="11"/>
    <x v="856"/>
    <x v="786"/>
    <x v="856"/>
    <x v="20"/>
    <x v="126"/>
    <x v="128"/>
    <x v="350"/>
    <x v="10"/>
    <x v="129"/>
    <x v="3"/>
    <x v="1"/>
    <x v="0"/>
    <x v="0"/>
    <x v="1"/>
    <x v="2"/>
    <x v="856"/>
    <x v="856"/>
    <x v="856"/>
    <x v="856"/>
  </r>
  <r>
    <x v="856"/>
    <x v="853"/>
    <x v="0"/>
    <x v="9"/>
    <x v="8"/>
    <x v="857"/>
    <x v="787"/>
    <x v="857"/>
    <x v="15"/>
    <x v="68"/>
    <x v="76"/>
    <x v="825"/>
    <x v="2"/>
    <x v="356"/>
    <x v="1"/>
    <x v="1"/>
    <x v="0"/>
    <x v="3"/>
    <x v="0"/>
    <x v="0"/>
    <x v="857"/>
    <x v="857"/>
    <x v="857"/>
    <x v="857"/>
  </r>
  <r>
    <x v="857"/>
    <x v="854"/>
    <x v="1"/>
    <x v="1"/>
    <x v="0"/>
    <x v="858"/>
    <x v="788"/>
    <x v="858"/>
    <x v="13"/>
    <x v="0"/>
    <x v="99"/>
    <x v="159"/>
    <x v="0"/>
    <x v="493"/>
    <x v="3"/>
    <x v="1"/>
    <x v="1"/>
    <x v="0"/>
    <x v="1"/>
    <x v="3"/>
    <x v="858"/>
    <x v="858"/>
    <x v="858"/>
    <x v="858"/>
  </r>
  <r>
    <x v="858"/>
    <x v="855"/>
    <x v="2"/>
    <x v="3"/>
    <x v="1"/>
    <x v="859"/>
    <x v="789"/>
    <x v="859"/>
    <x v="9"/>
    <x v="31"/>
    <x v="412"/>
    <x v="826"/>
    <x v="4"/>
    <x v="494"/>
    <x v="3"/>
    <x v="3"/>
    <x v="0"/>
    <x v="1"/>
    <x v="1"/>
    <x v="3"/>
    <x v="859"/>
    <x v="859"/>
    <x v="859"/>
    <x v="859"/>
  </r>
  <r>
    <x v="859"/>
    <x v="856"/>
    <x v="3"/>
    <x v="13"/>
    <x v="0"/>
    <x v="860"/>
    <x v="790"/>
    <x v="860"/>
    <x v="15"/>
    <x v="55"/>
    <x v="142"/>
    <x v="827"/>
    <x v="6"/>
    <x v="495"/>
    <x v="5"/>
    <x v="4"/>
    <x v="1"/>
    <x v="3"/>
    <x v="1"/>
    <x v="3"/>
    <x v="860"/>
    <x v="860"/>
    <x v="860"/>
    <x v="860"/>
  </r>
  <r>
    <x v="860"/>
    <x v="857"/>
    <x v="4"/>
    <x v="7"/>
    <x v="7"/>
    <x v="861"/>
    <x v="791"/>
    <x v="861"/>
    <x v="16"/>
    <x v="42"/>
    <x v="140"/>
    <x v="828"/>
    <x v="2"/>
    <x v="295"/>
    <x v="1"/>
    <x v="4"/>
    <x v="1"/>
    <x v="3"/>
    <x v="1"/>
    <x v="3"/>
    <x v="861"/>
    <x v="861"/>
    <x v="861"/>
    <x v="861"/>
  </r>
  <r>
    <x v="861"/>
    <x v="858"/>
    <x v="0"/>
    <x v="0"/>
    <x v="5"/>
    <x v="862"/>
    <x v="792"/>
    <x v="862"/>
    <x v="13"/>
    <x v="127"/>
    <x v="413"/>
    <x v="292"/>
    <x v="18"/>
    <x v="496"/>
    <x v="2"/>
    <x v="0"/>
    <x v="2"/>
    <x v="0"/>
    <x v="1"/>
    <x v="1"/>
    <x v="862"/>
    <x v="862"/>
    <x v="862"/>
    <x v="862"/>
  </r>
  <r>
    <x v="862"/>
    <x v="859"/>
    <x v="0"/>
    <x v="9"/>
    <x v="3"/>
    <x v="863"/>
    <x v="793"/>
    <x v="863"/>
    <x v="15"/>
    <x v="128"/>
    <x v="100"/>
    <x v="829"/>
    <x v="8"/>
    <x v="170"/>
    <x v="2"/>
    <x v="1"/>
    <x v="2"/>
    <x v="3"/>
    <x v="1"/>
    <x v="1"/>
    <x v="863"/>
    <x v="863"/>
    <x v="863"/>
    <x v="863"/>
  </r>
  <r>
    <x v="863"/>
    <x v="860"/>
    <x v="1"/>
    <x v="1"/>
    <x v="0"/>
    <x v="864"/>
    <x v="794"/>
    <x v="864"/>
    <x v="7"/>
    <x v="33"/>
    <x v="414"/>
    <x v="355"/>
    <x v="3"/>
    <x v="419"/>
    <x v="1"/>
    <x v="0"/>
    <x v="0"/>
    <x v="1"/>
    <x v="1"/>
    <x v="2"/>
    <x v="864"/>
    <x v="864"/>
    <x v="864"/>
    <x v="864"/>
  </r>
  <r>
    <x v="864"/>
    <x v="861"/>
    <x v="2"/>
    <x v="3"/>
    <x v="8"/>
    <x v="865"/>
    <x v="795"/>
    <x v="865"/>
    <x v="4"/>
    <x v="20"/>
    <x v="179"/>
    <x v="830"/>
    <x v="15"/>
    <x v="351"/>
    <x v="1"/>
    <x v="3"/>
    <x v="0"/>
    <x v="2"/>
    <x v="1"/>
    <x v="2"/>
    <x v="865"/>
    <x v="865"/>
    <x v="865"/>
    <x v="865"/>
  </r>
  <r>
    <x v="865"/>
    <x v="862"/>
    <x v="2"/>
    <x v="10"/>
    <x v="2"/>
    <x v="866"/>
    <x v="796"/>
    <x v="866"/>
    <x v="0"/>
    <x v="13"/>
    <x v="380"/>
    <x v="59"/>
    <x v="8"/>
    <x v="255"/>
    <x v="2"/>
    <x v="1"/>
    <x v="0"/>
    <x v="1"/>
    <x v="1"/>
    <x v="2"/>
    <x v="866"/>
    <x v="866"/>
    <x v="866"/>
    <x v="866"/>
  </r>
  <r>
    <x v="866"/>
    <x v="863"/>
    <x v="1"/>
    <x v="1"/>
    <x v="4"/>
    <x v="867"/>
    <x v="797"/>
    <x v="867"/>
    <x v="6"/>
    <x v="20"/>
    <x v="359"/>
    <x v="831"/>
    <x v="13"/>
    <x v="497"/>
    <x v="4"/>
    <x v="1"/>
    <x v="2"/>
    <x v="1"/>
    <x v="1"/>
    <x v="3"/>
    <x v="867"/>
    <x v="867"/>
    <x v="867"/>
    <x v="867"/>
  </r>
  <r>
    <x v="867"/>
    <x v="864"/>
    <x v="0"/>
    <x v="15"/>
    <x v="4"/>
    <x v="868"/>
    <x v="116"/>
    <x v="868"/>
    <x v="4"/>
    <x v="2"/>
    <x v="336"/>
    <x v="420"/>
    <x v="14"/>
    <x v="332"/>
    <x v="3"/>
    <x v="0"/>
    <x v="0"/>
    <x v="0"/>
    <x v="1"/>
    <x v="1"/>
    <x v="868"/>
    <x v="868"/>
    <x v="868"/>
    <x v="868"/>
  </r>
  <r>
    <x v="868"/>
    <x v="865"/>
    <x v="3"/>
    <x v="4"/>
    <x v="10"/>
    <x v="869"/>
    <x v="798"/>
    <x v="869"/>
    <x v="2"/>
    <x v="15"/>
    <x v="190"/>
    <x v="832"/>
    <x v="6"/>
    <x v="498"/>
    <x v="2"/>
    <x v="0"/>
    <x v="2"/>
    <x v="2"/>
    <x v="1"/>
    <x v="2"/>
    <x v="869"/>
    <x v="869"/>
    <x v="869"/>
    <x v="869"/>
  </r>
  <r>
    <x v="869"/>
    <x v="866"/>
    <x v="0"/>
    <x v="12"/>
    <x v="9"/>
    <x v="870"/>
    <x v="760"/>
    <x v="870"/>
    <x v="15"/>
    <x v="12"/>
    <x v="97"/>
    <x v="833"/>
    <x v="12"/>
    <x v="499"/>
    <x v="3"/>
    <x v="3"/>
    <x v="0"/>
    <x v="1"/>
    <x v="1"/>
    <x v="1"/>
    <x v="870"/>
    <x v="870"/>
    <x v="870"/>
    <x v="870"/>
  </r>
  <r>
    <x v="870"/>
    <x v="867"/>
    <x v="3"/>
    <x v="13"/>
    <x v="8"/>
    <x v="871"/>
    <x v="799"/>
    <x v="871"/>
    <x v="2"/>
    <x v="28"/>
    <x v="127"/>
    <x v="834"/>
    <x v="1"/>
    <x v="444"/>
    <x v="5"/>
    <x v="2"/>
    <x v="0"/>
    <x v="1"/>
    <x v="1"/>
    <x v="3"/>
    <x v="871"/>
    <x v="871"/>
    <x v="871"/>
    <x v="871"/>
  </r>
  <r>
    <x v="871"/>
    <x v="868"/>
    <x v="3"/>
    <x v="4"/>
    <x v="3"/>
    <x v="872"/>
    <x v="800"/>
    <x v="872"/>
    <x v="13"/>
    <x v="17"/>
    <x v="6"/>
    <x v="835"/>
    <x v="15"/>
    <x v="36"/>
    <x v="2"/>
    <x v="3"/>
    <x v="1"/>
    <x v="3"/>
    <x v="1"/>
    <x v="1"/>
    <x v="872"/>
    <x v="872"/>
    <x v="872"/>
    <x v="872"/>
  </r>
  <r>
    <x v="872"/>
    <x v="869"/>
    <x v="0"/>
    <x v="0"/>
    <x v="1"/>
    <x v="873"/>
    <x v="580"/>
    <x v="873"/>
    <x v="9"/>
    <x v="25"/>
    <x v="415"/>
    <x v="836"/>
    <x v="17"/>
    <x v="350"/>
    <x v="1"/>
    <x v="4"/>
    <x v="1"/>
    <x v="2"/>
    <x v="1"/>
    <x v="2"/>
    <x v="873"/>
    <x v="873"/>
    <x v="873"/>
    <x v="873"/>
  </r>
  <r>
    <x v="873"/>
    <x v="870"/>
    <x v="1"/>
    <x v="1"/>
    <x v="3"/>
    <x v="874"/>
    <x v="419"/>
    <x v="874"/>
    <x v="11"/>
    <x v="34"/>
    <x v="320"/>
    <x v="837"/>
    <x v="5"/>
    <x v="307"/>
    <x v="1"/>
    <x v="2"/>
    <x v="0"/>
    <x v="3"/>
    <x v="1"/>
    <x v="2"/>
    <x v="874"/>
    <x v="874"/>
    <x v="874"/>
    <x v="874"/>
  </r>
  <r>
    <x v="874"/>
    <x v="871"/>
    <x v="2"/>
    <x v="3"/>
    <x v="0"/>
    <x v="875"/>
    <x v="793"/>
    <x v="875"/>
    <x v="22"/>
    <x v="17"/>
    <x v="102"/>
    <x v="838"/>
    <x v="13"/>
    <x v="239"/>
    <x v="2"/>
    <x v="4"/>
    <x v="1"/>
    <x v="1"/>
    <x v="1"/>
    <x v="1"/>
    <x v="875"/>
    <x v="875"/>
    <x v="875"/>
    <x v="875"/>
  </r>
  <r>
    <x v="875"/>
    <x v="872"/>
    <x v="2"/>
    <x v="10"/>
    <x v="0"/>
    <x v="876"/>
    <x v="801"/>
    <x v="876"/>
    <x v="14"/>
    <x v="33"/>
    <x v="93"/>
    <x v="839"/>
    <x v="9"/>
    <x v="350"/>
    <x v="3"/>
    <x v="2"/>
    <x v="2"/>
    <x v="3"/>
    <x v="1"/>
    <x v="3"/>
    <x v="876"/>
    <x v="876"/>
    <x v="876"/>
    <x v="876"/>
  </r>
  <r>
    <x v="876"/>
    <x v="873"/>
    <x v="4"/>
    <x v="6"/>
    <x v="9"/>
    <x v="877"/>
    <x v="802"/>
    <x v="877"/>
    <x v="5"/>
    <x v="129"/>
    <x v="121"/>
    <x v="840"/>
    <x v="4"/>
    <x v="469"/>
    <x v="5"/>
    <x v="1"/>
    <x v="2"/>
    <x v="2"/>
    <x v="1"/>
    <x v="3"/>
    <x v="877"/>
    <x v="877"/>
    <x v="877"/>
    <x v="877"/>
  </r>
  <r>
    <x v="877"/>
    <x v="874"/>
    <x v="1"/>
    <x v="2"/>
    <x v="5"/>
    <x v="878"/>
    <x v="803"/>
    <x v="878"/>
    <x v="8"/>
    <x v="30"/>
    <x v="44"/>
    <x v="841"/>
    <x v="20"/>
    <x v="391"/>
    <x v="4"/>
    <x v="0"/>
    <x v="2"/>
    <x v="0"/>
    <x v="1"/>
    <x v="3"/>
    <x v="878"/>
    <x v="878"/>
    <x v="878"/>
    <x v="878"/>
  </r>
  <r>
    <x v="878"/>
    <x v="875"/>
    <x v="4"/>
    <x v="6"/>
    <x v="7"/>
    <x v="879"/>
    <x v="804"/>
    <x v="879"/>
    <x v="2"/>
    <x v="34"/>
    <x v="416"/>
    <x v="842"/>
    <x v="22"/>
    <x v="500"/>
    <x v="3"/>
    <x v="1"/>
    <x v="0"/>
    <x v="3"/>
    <x v="1"/>
    <x v="3"/>
    <x v="879"/>
    <x v="879"/>
    <x v="879"/>
    <x v="879"/>
  </r>
  <r>
    <x v="879"/>
    <x v="876"/>
    <x v="0"/>
    <x v="15"/>
    <x v="5"/>
    <x v="880"/>
    <x v="805"/>
    <x v="880"/>
    <x v="6"/>
    <x v="103"/>
    <x v="362"/>
    <x v="843"/>
    <x v="17"/>
    <x v="271"/>
    <x v="4"/>
    <x v="1"/>
    <x v="0"/>
    <x v="3"/>
    <x v="1"/>
    <x v="1"/>
    <x v="880"/>
    <x v="880"/>
    <x v="880"/>
    <x v="880"/>
  </r>
  <r>
    <x v="880"/>
    <x v="877"/>
    <x v="2"/>
    <x v="3"/>
    <x v="0"/>
    <x v="881"/>
    <x v="806"/>
    <x v="881"/>
    <x v="17"/>
    <x v="1"/>
    <x v="336"/>
    <x v="844"/>
    <x v="14"/>
    <x v="450"/>
    <x v="2"/>
    <x v="2"/>
    <x v="2"/>
    <x v="3"/>
    <x v="1"/>
    <x v="3"/>
    <x v="881"/>
    <x v="881"/>
    <x v="881"/>
    <x v="881"/>
  </r>
  <r>
    <x v="881"/>
    <x v="878"/>
    <x v="3"/>
    <x v="5"/>
    <x v="3"/>
    <x v="882"/>
    <x v="807"/>
    <x v="882"/>
    <x v="4"/>
    <x v="14"/>
    <x v="1"/>
    <x v="845"/>
    <x v="4"/>
    <x v="54"/>
    <x v="3"/>
    <x v="2"/>
    <x v="2"/>
    <x v="0"/>
    <x v="1"/>
    <x v="2"/>
    <x v="882"/>
    <x v="882"/>
    <x v="882"/>
    <x v="882"/>
  </r>
  <r>
    <x v="882"/>
    <x v="879"/>
    <x v="2"/>
    <x v="14"/>
    <x v="2"/>
    <x v="883"/>
    <x v="808"/>
    <x v="883"/>
    <x v="13"/>
    <x v="48"/>
    <x v="96"/>
    <x v="846"/>
    <x v="8"/>
    <x v="455"/>
    <x v="1"/>
    <x v="1"/>
    <x v="0"/>
    <x v="0"/>
    <x v="1"/>
    <x v="2"/>
    <x v="883"/>
    <x v="883"/>
    <x v="883"/>
    <x v="883"/>
  </r>
  <r>
    <x v="883"/>
    <x v="880"/>
    <x v="1"/>
    <x v="2"/>
    <x v="4"/>
    <x v="884"/>
    <x v="809"/>
    <x v="884"/>
    <x v="5"/>
    <x v="130"/>
    <x v="190"/>
    <x v="847"/>
    <x v="1"/>
    <x v="385"/>
    <x v="2"/>
    <x v="2"/>
    <x v="0"/>
    <x v="1"/>
    <x v="1"/>
    <x v="1"/>
    <x v="884"/>
    <x v="884"/>
    <x v="884"/>
    <x v="884"/>
  </r>
  <r>
    <x v="884"/>
    <x v="881"/>
    <x v="1"/>
    <x v="2"/>
    <x v="5"/>
    <x v="885"/>
    <x v="810"/>
    <x v="885"/>
    <x v="16"/>
    <x v="32"/>
    <x v="149"/>
    <x v="848"/>
    <x v="9"/>
    <x v="501"/>
    <x v="4"/>
    <x v="2"/>
    <x v="1"/>
    <x v="3"/>
    <x v="1"/>
    <x v="3"/>
    <x v="885"/>
    <x v="885"/>
    <x v="885"/>
    <x v="885"/>
  </r>
  <r>
    <x v="885"/>
    <x v="882"/>
    <x v="1"/>
    <x v="8"/>
    <x v="9"/>
    <x v="886"/>
    <x v="811"/>
    <x v="886"/>
    <x v="15"/>
    <x v="9"/>
    <x v="239"/>
    <x v="849"/>
    <x v="19"/>
    <x v="502"/>
    <x v="1"/>
    <x v="4"/>
    <x v="2"/>
    <x v="3"/>
    <x v="1"/>
    <x v="3"/>
    <x v="886"/>
    <x v="886"/>
    <x v="886"/>
    <x v="886"/>
  </r>
  <r>
    <x v="886"/>
    <x v="883"/>
    <x v="2"/>
    <x v="10"/>
    <x v="10"/>
    <x v="887"/>
    <x v="812"/>
    <x v="887"/>
    <x v="6"/>
    <x v="3"/>
    <x v="338"/>
    <x v="850"/>
    <x v="22"/>
    <x v="366"/>
    <x v="0"/>
    <x v="0"/>
    <x v="1"/>
    <x v="1"/>
    <x v="1"/>
    <x v="1"/>
    <x v="887"/>
    <x v="887"/>
    <x v="887"/>
    <x v="887"/>
  </r>
  <r>
    <x v="887"/>
    <x v="884"/>
    <x v="4"/>
    <x v="11"/>
    <x v="2"/>
    <x v="888"/>
    <x v="813"/>
    <x v="888"/>
    <x v="8"/>
    <x v="30"/>
    <x v="417"/>
    <x v="851"/>
    <x v="1"/>
    <x v="503"/>
    <x v="4"/>
    <x v="1"/>
    <x v="0"/>
    <x v="1"/>
    <x v="1"/>
    <x v="3"/>
    <x v="888"/>
    <x v="888"/>
    <x v="888"/>
    <x v="888"/>
  </r>
  <r>
    <x v="888"/>
    <x v="885"/>
    <x v="1"/>
    <x v="1"/>
    <x v="6"/>
    <x v="889"/>
    <x v="814"/>
    <x v="889"/>
    <x v="5"/>
    <x v="42"/>
    <x v="351"/>
    <x v="852"/>
    <x v="16"/>
    <x v="504"/>
    <x v="3"/>
    <x v="1"/>
    <x v="1"/>
    <x v="2"/>
    <x v="1"/>
    <x v="3"/>
    <x v="889"/>
    <x v="889"/>
    <x v="889"/>
    <x v="889"/>
  </r>
  <r>
    <x v="889"/>
    <x v="886"/>
    <x v="2"/>
    <x v="3"/>
    <x v="2"/>
    <x v="890"/>
    <x v="815"/>
    <x v="890"/>
    <x v="19"/>
    <x v="127"/>
    <x v="418"/>
    <x v="853"/>
    <x v="23"/>
    <x v="451"/>
    <x v="4"/>
    <x v="4"/>
    <x v="1"/>
    <x v="1"/>
    <x v="1"/>
    <x v="1"/>
    <x v="890"/>
    <x v="890"/>
    <x v="890"/>
    <x v="890"/>
  </r>
  <r>
    <x v="890"/>
    <x v="887"/>
    <x v="1"/>
    <x v="8"/>
    <x v="7"/>
    <x v="891"/>
    <x v="816"/>
    <x v="891"/>
    <x v="4"/>
    <x v="20"/>
    <x v="50"/>
    <x v="854"/>
    <x v="20"/>
    <x v="498"/>
    <x v="1"/>
    <x v="1"/>
    <x v="0"/>
    <x v="3"/>
    <x v="1"/>
    <x v="3"/>
    <x v="891"/>
    <x v="891"/>
    <x v="891"/>
    <x v="891"/>
  </r>
  <r>
    <x v="891"/>
    <x v="888"/>
    <x v="2"/>
    <x v="10"/>
    <x v="7"/>
    <x v="892"/>
    <x v="817"/>
    <x v="892"/>
    <x v="19"/>
    <x v="3"/>
    <x v="156"/>
    <x v="855"/>
    <x v="17"/>
    <x v="505"/>
    <x v="4"/>
    <x v="3"/>
    <x v="1"/>
    <x v="1"/>
    <x v="1"/>
    <x v="1"/>
    <x v="892"/>
    <x v="892"/>
    <x v="892"/>
    <x v="892"/>
  </r>
  <r>
    <x v="892"/>
    <x v="889"/>
    <x v="1"/>
    <x v="1"/>
    <x v="11"/>
    <x v="893"/>
    <x v="216"/>
    <x v="893"/>
    <x v="2"/>
    <x v="122"/>
    <x v="266"/>
    <x v="856"/>
    <x v="6"/>
    <x v="242"/>
    <x v="3"/>
    <x v="1"/>
    <x v="1"/>
    <x v="2"/>
    <x v="1"/>
    <x v="2"/>
    <x v="893"/>
    <x v="893"/>
    <x v="893"/>
    <x v="893"/>
  </r>
  <r>
    <x v="893"/>
    <x v="890"/>
    <x v="4"/>
    <x v="11"/>
    <x v="10"/>
    <x v="894"/>
    <x v="209"/>
    <x v="894"/>
    <x v="4"/>
    <x v="0"/>
    <x v="419"/>
    <x v="857"/>
    <x v="6"/>
    <x v="192"/>
    <x v="0"/>
    <x v="4"/>
    <x v="2"/>
    <x v="2"/>
    <x v="1"/>
    <x v="2"/>
    <x v="894"/>
    <x v="894"/>
    <x v="894"/>
    <x v="894"/>
  </r>
  <r>
    <x v="894"/>
    <x v="891"/>
    <x v="4"/>
    <x v="11"/>
    <x v="1"/>
    <x v="895"/>
    <x v="818"/>
    <x v="895"/>
    <x v="13"/>
    <x v="40"/>
    <x v="159"/>
    <x v="858"/>
    <x v="8"/>
    <x v="281"/>
    <x v="0"/>
    <x v="4"/>
    <x v="2"/>
    <x v="1"/>
    <x v="1"/>
    <x v="2"/>
    <x v="895"/>
    <x v="895"/>
    <x v="895"/>
    <x v="895"/>
  </r>
  <r>
    <x v="895"/>
    <x v="892"/>
    <x v="1"/>
    <x v="1"/>
    <x v="1"/>
    <x v="896"/>
    <x v="819"/>
    <x v="896"/>
    <x v="3"/>
    <x v="115"/>
    <x v="57"/>
    <x v="859"/>
    <x v="6"/>
    <x v="132"/>
    <x v="4"/>
    <x v="3"/>
    <x v="2"/>
    <x v="0"/>
    <x v="1"/>
    <x v="1"/>
    <x v="896"/>
    <x v="896"/>
    <x v="896"/>
    <x v="896"/>
  </r>
  <r>
    <x v="896"/>
    <x v="893"/>
    <x v="0"/>
    <x v="9"/>
    <x v="0"/>
    <x v="897"/>
    <x v="820"/>
    <x v="897"/>
    <x v="7"/>
    <x v="40"/>
    <x v="342"/>
    <x v="860"/>
    <x v="8"/>
    <x v="179"/>
    <x v="2"/>
    <x v="2"/>
    <x v="2"/>
    <x v="2"/>
    <x v="1"/>
    <x v="2"/>
    <x v="897"/>
    <x v="897"/>
    <x v="897"/>
    <x v="897"/>
  </r>
  <r>
    <x v="897"/>
    <x v="894"/>
    <x v="3"/>
    <x v="4"/>
    <x v="11"/>
    <x v="898"/>
    <x v="821"/>
    <x v="898"/>
    <x v="2"/>
    <x v="131"/>
    <x v="278"/>
    <x v="861"/>
    <x v="21"/>
    <x v="443"/>
    <x v="0"/>
    <x v="0"/>
    <x v="1"/>
    <x v="3"/>
    <x v="1"/>
    <x v="2"/>
    <x v="898"/>
    <x v="898"/>
    <x v="898"/>
    <x v="898"/>
  </r>
  <r>
    <x v="898"/>
    <x v="895"/>
    <x v="3"/>
    <x v="5"/>
    <x v="0"/>
    <x v="899"/>
    <x v="822"/>
    <x v="899"/>
    <x v="15"/>
    <x v="10"/>
    <x v="350"/>
    <x v="862"/>
    <x v="13"/>
    <x v="506"/>
    <x v="3"/>
    <x v="3"/>
    <x v="1"/>
    <x v="0"/>
    <x v="1"/>
    <x v="2"/>
    <x v="899"/>
    <x v="899"/>
    <x v="899"/>
    <x v="899"/>
  </r>
  <r>
    <x v="899"/>
    <x v="896"/>
    <x v="4"/>
    <x v="7"/>
    <x v="10"/>
    <x v="900"/>
    <x v="799"/>
    <x v="900"/>
    <x v="4"/>
    <x v="23"/>
    <x v="324"/>
    <x v="863"/>
    <x v="25"/>
    <x v="295"/>
    <x v="4"/>
    <x v="4"/>
    <x v="0"/>
    <x v="0"/>
    <x v="1"/>
    <x v="2"/>
    <x v="900"/>
    <x v="900"/>
    <x v="900"/>
    <x v="900"/>
  </r>
  <r>
    <x v="900"/>
    <x v="897"/>
    <x v="0"/>
    <x v="12"/>
    <x v="8"/>
    <x v="901"/>
    <x v="29"/>
    <x v="901"/>
    <x v="11"/>
    <x v="30"/>
    <x v="414"/>
    <x v="557"/>
    <x v="11"/>
    <x v="507"/>
    <x v="3"/>
    <x v="1"/>
    <x v="2"/>
    <x v="1"/>
    <x v="1"/>
    <x v="2"/>
    <x v="901"/>
    <x v="901"/>
    <x v="901"/>
    <x v="901"/>
  </r>
  <r>
    <x v="901"/>
    <x v="898"/>
    <x v="0"/>
    <x v="0"/>
    <x v="11"/>
    <x v="902"/>
    <x v="823"/>
    <x v="902"/>
    <x v="7"/>
    <x v="81"/>
    <x v="94"/>
    <x v="864"/>
    <x v="25"/>
    <x v="414"/>
    <x v="1"/>
    <x v="0"/>
    <x v="0"/>
    <x v="0"/>
    <x v="1"/>
    <x v="1"/>
    <x v="902"/>
    <x v="902"/>
    <x v="902"/>
    <x v="902"/>
  </r>
  <r>
    <x v="902"/>
    <x v="899"/>
    <x v="3"/>
    <x v="5"/>
    <x v="5"/>
    <x v="903"/>
    <x v="824"/>
    <x v="903"/>
    <x v="8"/>
    <x v="23"/>
    <x v="330"/>
    <x v="865"/>
    <x v="23"/>
    <x v="75"/>
    <x v="0"/>
    <x v="2"/>
    <x v="1"/>
    <x v="3"/>
    <x v="1"/>
    <x v="1"/>
    <x v="903"/>
    <x v="903"/>
    <x v="903"/>
    <x v="903"/>
  </r>
  <r>
    <x v="903"/>
    <x v="900"/>
    <x v="0"/>
    <x v="15"/>
    <x v="11"/>
    <x v="904"/>
    <x v="761"/>
    <x v="904"/>
    <x v="9"/>
    <x v="62"/>
    <x v="367"/>
    <x v="866"/>
    <x v="24"/>
    <x v="55"/>
    <x v="2"/>
    <x v="2"/>
    <x v="1"/>
    <x v="2"/>
    <x v="1"/>
    <x v="2"/>
    <x v="904"/>
    <x v="904"/>
    <x v="904"/>
    <x v="904"/>
  </r>
  <r>
    <x v="904"/>
    <x v="901"/>
    <x v="1"/>
    <x v="1"/>
    <x v="6"/>
    <x v="905"/>
    <x v="825"/>
    <x v="905"/>
    <x v="1"/>
    <x v="132"/>
    <x v="420"/>
    <x v="867"/>
    <x v="3"/>
    <x v="508"/>
    <x v="3"/>
    <x v="2"/>
    <x v="1"/>
    <x v="1"/>
    <x v="1"/>
    <x v="2"/>
    <x v="905"/>
    <x v="905"/>
    <x v="905"/>
    <x v="905"/>
  </r>
  <r>
    <x v="905"/>
    <x v="902"/>
    <x v="0"/>
    <x v="9"/>
    <x v="2"/>
    <x v="906"/>
    <x v="826"/>
    <x v="906"/>
    <x v="11"/>
    <x v="44"/>
    <x v="227"/>
    <x v="868"/>
    <x v="6"/>
    <x v="239"/>
    <x v="4"/>
    <x v="2"/>
    <x v="0"/>
    <x v="2"/>
    <x v="1"/>
    <x v="3"/>
    <x v="906"/>
    <x v="906"/>
    <x v="906"/>
    <x v="906"/>
  </r>
  <r>
    <x v="906"/>
    <x v="903"/>
    <x v="0"/>
    <x v="15"/>
    <x v="8"/>
    <x v="907"/>
    <x v="827"/>
    <x v="907"/>
    <x v="24"/>
    <x v="10"/>
    <x v="421"/>
    <x v="869"/>
    <x v="17"/>
    <x v="111"/>
    <x v="5"/>
    <x v="2"/>
    <x v="0"/>
    <x v="0"/>
    <x v="0"/>
    <x v="0"/>
    <x v="907"/>
    <x v="907"/>
    <x v="907"/>
    <x v="907"/>
  </r>
  <r>
    <x v="907"/>
    <x v="904"/>
    <x v="3"/>
    <x v="13"/>
    <x v="7"/>
    <x v="908"/>
    <x v="446"/>
    <x v="908"/>
    <x v="18"/>
    <x v="14"/>
    <x v="168"/>
    <x v="870"/>
    <x v="16"/>
    <x v="402"/>
    <x v="4"/>
    <x v="0"/>
    <x v="2"/>
    <x v="2"/>
    <x v="1"/>
    <x v="2"/>
    <x v="908"/>
    <x v="908"/>
    <x v="908"/>
    <x v="908"/>
  </r>
  <r>
    <x v="908"/>
    <x v="905"/>
    <x v="0"/>
    <x v="9"/>
    <x v="1"/>
    <x v="909"/>
    <x v="828"/>
    <x v="909"/>
    <x v="3"/>
    <x v="10"/>
    <x v="2"/>
    <x v="871"/>
    <x v="17"/>
    <x v="33"/>
    <x v="4"/>
    <x v="0"/>
    <x v="1"/>
    <x v="3"/>
    <x v="1"/>
    <x v="3"/>
    <x v="909"/>
    <x v="909"/>
    <x v="909"/>
    <x v="909"/>
  </r>
  <r>
    <x v="909"/>
    <x v="906"/>
    <x v="3"/>
    <x v="5"/>
    <x v="3"/>
    <x v="910"/>
    <x v="524"/>
    <x v="910"/>
    <x v="7"/>
    <x v="9"/>
    <x v="70"/>
    <x v="872"/>
    <x v="0"/>
    <x v="404"/>
    <x v="2"/>
    <x v="1"/>
    <x v="1"/>
    <x v="1"/>
    <x v="1"/>
    <x v="3"/>
    <x v="910"/>
    <x v="910"/>
    <x v="910"/>
    <x v="910"/>
  </r>
  <r>
    <x v="910"/>
    <x v="907"/>
    <x v="4"/>
    <x v="7"/>
    <x v="2"/>
    <x v="911"/>
    <x v="829"/>
    <x v="911"/>
    <x v="16"/>
    <x v="33"/>
    <x v="265"/>
    <x v="873"/>
    <x v="9"/>
    <x v="249"/>
    <x v="4"/>
    <x v="1"/>
    <x v="2"/>
    <x v="3"/>
    <x v="0"/>
    <x v="0"/>
    <x v="911"/>
    <x v="911"/>
    <x v="911"/>
    <x v="911"/>
  </r>
  <r>
    <x v="911"/>
    <x v="908"/>
    <x v="0"/>
    <x v="15"/>
    <x v="2"/>
    <x v="912"/>
    <x v="830"/>
    <x v="912"/>
    <x v="13"/>
    <x v="86"/>
    <x v="422"/>
    <x v="874"/>
    <x v="10"/>
    <x v="447"/>
    <x v="5"/>
    <x v="3"/>
    <x v="1"/>
    <x v="2"/>
    <x v="1"/>
    <x v="2"/>
    <x v="912"/>
    <x v="912"/>
    <x v="912"/>
    <x v="912"/>
  </r>
  <r>
    <x v="912"/>
    <x v="909"/>
    <x v="4"/>
    <x v="11"/>
    <x v="3"/>
    <x v="913"/>
    <x v="831"/>
    <x v="913"/>
    <x v="7"/>
    <x v="23"/>
    <x v="85"/>
    <x v="875"/>
    <x v="6"/>
    <x v="69"/>
    <x v="4"/>
    <x v="2"/>
    <x v="0"/>
    <x v="0"/>
    <x v="1"/>
    <x v="3"/>
    <x v="913"/>
    <x v="913"/>
    <x v="913"/>
    <x v="913"/>
  </r>
  <r>
    <x v="913"/>
    <x v="910"/>
    <x v="0"/>
    <x v="0"/>
    <x v="7"/>
    <x v="914"/>
    <x v="832"/>
    <x v="914"/>
    <x v="8"/>
    <x v="24"/>
    <x v="396"/>
    <x v="876"/>
    <x v="24"/>
    <x v="509"/>
    <x v="4"/>
    <x v="0"/>
    <x v="1"/>
    <x v="3"/>
    <x v="1"/>
    <x v="3"/>
    <x v="914"/>
    <x v="914"/>
    <x v="914"/>
    <x v="914"/>
  </r>
  <r>
    <x v="914"/>
    <x v="911"/>
    <x v="3"/>
    <x v="4"/>
    <x v="8"/>
    <x v="915"/>
    <x v="833"/>
    <x v="915"/>
    <x v="17"/>
    <x v="133"/>
    <x v="173"/>
    <x v="877"/>
    <x v="16"/>
    <x v="510"/>
    <x v="1"/>
    <x v="4"/>
    <x v="0"/>
    <x v="0"/>
    <x v="1"/>
    <x v="1"/>
    <x v="915"/>
    <x v="915"/>
    <x v="915"/>
    <x v="915"/>
  </r>
  <r>
    <x v="915"/>
    <x v="912"/>
    <x v="2"/>
    <x v="3"/>
    <x v="5"/>
    <x v="916"/>
    <x v="613"/>
    <x v="916"/>
    <x v="2"/>
    <x v="65"/>
    <x v="1"/>
    <x v="878"/>
    <x v="22"/>
    <x v="511"/>
    <x v="1"/>
    <x v="2"/>
    <x v="2"/>
    <x v="3"/>
    <x v="1"/>
    <x v="1"/>
    <x v="916"/>
    <x v="916"/>
    <x v="916"/>
    <x v="916"/>
  </r>
  <r>
    <x v="916"/>
    <x v="913"/>
    <x v="2"/>
    <x v="14"/>
    <x v="3"/>
    <x v="917"/>
    <x v="834"/>
    <x v="917"/>
    <x v="6"/>
    <x v="8"/>
    <x v="421"/>
    <x v="879"/>
    <x v="3"/>
    <x v="331"/>
    <x v="3"/>
    <x v="1"/>
    <x v="2"/>
    <x v="2"/>
    <x v="1"/>
    <x v="2"/>
    <x v="917"/>
    <x v="917"/>
    <x v="917"/>
    <x v="917"/>
  </r>
  <r>
    <x v="917"/>
    <x v="914"/>
    <x v="4"/>
    <x v="11"/>
    <x v="5"/>
    <x v="918"/>
    <x v="835"/>
    <x v="918"/>
    <x v="16"/>
    <x v="28"/>
    <x v="169"/>
    <x v="880"/>
    <x v="24"/>
    <x v="405"/>
    <x v="3"/>
    <x v="1"/>
    <x v="0"/>
    <x v="1"/>
    <x v="1"/>
    <x v="2"/>
    <x v="918"/>
    <x v="918"/>
    <x v="918"/>
    <x v="918"/>
  </r>
  <r>
    <x v="918"/>
    <x v="915"/>
    <x v="1"/>
    <x v="1"/>
    <x v="9"/>
    <x v="919"/>
    <x v="836"/>
    <x v="919"/>
    <x v="4"/>
    <x v="24"/>
    <x v="383"/>
    <x v="881"/>
    <x v="7"/>
    <x v="512"/>
    <x v="2"/>
    <x v="4"/>
    <x v="1"/>
    <x v="1"/>
    <x v="1"/>
    <x v="3"/>
    <x v="919"/>
    <x v="919"/>
    <x v="919"/>
    <x v="919"/>
  </r>
  <r>
    <x v="919"/>
    <x v="916"/>
    <x v="0"/>
    <x v="9"/>
    <x v="2"/>
    <x v="920"/>
    <x v="837"/>
    <x v="920"/>
    <x v="11"/>
    <x v="6"/>
    <x v="250"/>
    <x v="882"/>
    <x v="3"/>
    <x v="96"/>
    <x v="0"/>
    <x v="2"/>
    <x v="2"/>
    <x v="1"/>
    <x v="1"/>
    <x v="3"/>
    <x v="920"/>
    <x v="920"/>
    <x v="920"/>
    <x v="920"/>
  </r>
  <r>
    <x v="920"/>
    <x v="917"/>
    <x v="2"/>
    <x v="3"/>
    <x v="3"/>
    <x v="921"/>
    <x v="838"/>
    <x v="921"/>
    <x v="13"/>
    <x v="134"/>
    <x v="384"/>
    <x v="883"/>
    <x v="8"/>
    <x v="471"/>
    <x v="0"/>
    <x v="0"/>
    <x v="0"/>
    <x v="1"/>
    <x v="1"/>
    <x v="3"/>
    <x v="921"/>
    <x v="921"/>
    <x v="921"/>
    <x v="921"/>
  </r>
  <r>
    <x v="921"/>
    <x v="918"/>
    <x v="4"/>
    <x v="6"/>
    <x v="10"/>
    <x v="922"/>
    <x v="839"/>
    <x v="922"/>
    <x v="5"/>
    <x v="16"/>
    <x v="367"/>
    <x v="884"/>
    <x v="1"/>
    <x v="251"/>
    <x v="1"/>
    <x v="1"/>
    <x v="0"/>
    <x v="1"/>
    <x v="1"/>
    <x v="3"/>
    <x v="922"/>
    <x v="922"/>
    <x v="922"/>
    <x v="922"/>
  </r>
  <r>
    <x v="922"/>
    <x v="919"/>
    <x v="3"/>
    <x v="5"/>
    <x v="8"/>
    <x v="923"/>
    <x v="840"/>
    <x v="923"/>
    <x v="9"/>
    <x v="20"/>
    <x v="234"/>
    <x v="885"/>
    <x v="16"/>
    <x v="199"/>
    <x v="1"/>
    <x v="4"/>
    <x v="0"/>
    <x v="2"/>
    <x v="1"/>
    <x v="2"/>
    <x v="923"/>
    <x v="923"/>
    <x v="923"/>
    <x v="923"/>
  </r>
  <r>
    <x v="923"/>
    <x v="920"/>
    <x v="3"/>
    <x v="13"/>
    <x v="9"/>
    <x v="924"/>
    <x v="841"/>
    <x v="924"/>
    <x v="20"/>
    <x v="69"/>
    <x v="100"/>
    <x v="886"/>
    <x v="21"/>
    <x v="344"/>
    <x v="3"/>
    <x v="3"/>
    <x v="2"/>
    <x v="1"/>
    <x v="1"/>
    <x v="3"/>
    <x v="924"/>
    <x v="924"/>
    <x v="924"/>
    <x v="924"/>
  </r>
  <r>
    <x v="924"/>
    <x v="921"/>
    <x v="4"/>
    <x v="6"/>
    <x v="4"/>
    <x v="925"/>
    <x v="842"/>
    <x v="925"/>
    <x v="4"/>
    <x v="65"/>
    <x v="422"/>
    <x v="887"/>
    <x v="19"/>
    <x v="513"/>
    <x v="0"/>
    <x v="4"/>
    <x v="0"/>
    <x v="2"/>
    <x v="1"/>
    <x v="2"/>
    <x v="925"/>
    <x v="925"/>
    <x v="925"/>
    <x v="925"/>
  </r>
  <r>
    <x v="925"/>
    <x v="922"/>
    <x v="2"/>
    <x v="10"/>
    <x v="7"/>
    <x v="926"/>
    <x v="843"/>
    <x v="926"/>
    <x v="0"/>
    <x v="35"/>
    <x v="423"/>
    <x v="888"/>
    <x v="17"/>
    <x v="6"/>
    <x v="5"/>
    <x v="3"/>
    <x v="1"/>
    <x v="2"/>
    <x v="0"/>
    <x v="0"/>
    <x v="926"/>
    <x v="926"/>
    <x v="926"/>
    <x v="926"/>
  </r>
  <r>
    <x v="926"/>
    <x v="923"/>
    <x v="0"/>
    <x v="0"/>
    <x v="6"/>
    <x v="927"/>
    <x v="52"/>
    <x v="927"/>
    <x v="4"/>
    <x v="9"/>
    <x v="92"/>
    <x v="889"/>
    <x v="20"/>
    <x v="59"/>
    <x v="2"/>
    <x v="0"/>
    <x v="1"/>
    <x v="0"/>
    <x v="1"/>
    <x v="3"/>
    <x v="927"/>
    <x v="927"/>
    <x v="927"/>
    <x v="927"/>
  </r>
  <r>
    <x v="927"/>
    <x v="924"/>
    <x v="4"/>
    <x v="7"/>
    <x v="6"/>
    <x v="928"/>
    <x v="844"/>
    <x v="928"/>
    <x v="7"/>
    <x v="1"/>
    <x v="424"/>
    <x v="890"/>
    <x v="9"/>
    <x v="249"/>
    <x v="5"/>
    <x v="3"/>
    <x v="1"/>
    <x v="1"/>
    <x v="1"/>
    <x v="3"/>
    <x v="928"/>
    <x v="928"/>
    <x v="928"/>
    <x v="928"/>
  </r>
  <r>
    <x v="928"/>
    <x v="925"/>
    <x v="4"/>
    <x v="7"/>
    <x v="5"/>
    <x v="929"/>
    <x v="845"/>
    <x v="929"/>
    <x v="8"/>
    <x v="17"/>
    <x v="425"/>
    <x v="634"/>
    <x v="17"/>
    <x v="473"/>
    <x v="3"/>
    <x v="1"/>
    <x v="0"/>
    <x v="0"/>
    <x v="1"/>
    <x v="1"/>
    <x v="929"/>
    <x v="929"/>
    <x v="929"/>
    <x v="929"/>
  </r>
  <r>
    <x v="929"/>
    <x v="926"/>
    <x v="4"/>
    <x v="7"/>
    <x v="11"/>
    <x v="930"/>
    <x v="846"/>
    <x v="930"/>
    <x v="10"/>
    <x v="135"/>
    <x v="120"/>
    <x v="891"/>
    <x v="18"/>
    <x v="488"/>
    <x v="1"/>
    <x v="3"/>
    <x v="0"/>
    <x v="3"/>
    <x v="1"/>
    <x v="2"/>
    <x v="930"/>
    <x v="930"/>
    <x v="930"/>
    <x v="930"/>
  </r>
  <r>
    <x v="930"/>
    <x v="927"/>
    <x v="0"/>
    <x v="0"/>
    <x v="6"/>
    <x v="931"/>
    <x v="847"/>
    <x v="931"/>
    <x v="11"/>
    <x v="30"/>
    <x v="131"/>
    <x v="892"/>
    <x v="13"/>
    <x v="277"/>
    <x v="1"/>
    <x v="3"/>
    <x v="2"/>
    <x v="2"/>
    <x v="0"/>
    <x v="0"/>
    <x v="931"/>
    <x v="931"/>
    <x v="931"/>
    <x v="931"/>
  </r>
  <r>
    <x v="931"/>
    <x v="928"/>
    <x v="3"/>
    <x v="4"/>
    <x v="7"/>
    <x v="932"/>
    <x v="848"/>
    <x v="932"/>
    <x v="13"/>
    <x v="3"/>
    <x v="426"/>
    <x v="893"/>
    <x v="6"/>
    <x v="100"/>
    <x v="4"/>
    <x v="3"/>
    <x v="0"/>
    <x v="2"/>
    <x v="1"/>
    <x v="3"/>
    <x v="932"/>
    <x v="932"/>
    <x v="932"/>
    <x v="932"/>
  </r>
  <r>
    <x v="932"/>
    <x v="929"/>
    <x v="3"/>
    <x v="5"/>
    <x v="1"/>
    <x v="933"/>
    <x v="849"/>
    <x v="933"/>
    <x v="15"/>
    <x v="25"/>
    <x v="155"/>
    <x v="894"/>
    <x v="12"/>
    <x v="483"/>
    <x v="2"/>
    <x v="0"/>
    <x v="1"/>
    <x v="0"/>
    <x v="1"/>
    <x v="1"/>
    <x v="933"/>
    <x v="933"/>
    <x v="933"/>
    <x v="933"/>
  </r>
  <r>
    <x v="933"/>
    <x v="930"/>
    <x v="1"/>
    <x v="2"/>
    <x v="6"/>
    <x v="934"/>
    <x v="279"/>
    <x v="934"/>
    <x v="2"/>
    <x v="33"/>
    <x v="51"/>
    <x v="895"/>
    <x v="9"/>
    <x v="514"/>
    <x v="1"/>
    <x v="2"/>
    <x v="2"/>
    <x v="3"/>
    <x v="1"/>
    <x v="2"/>
    <x v="934"/>
    <x v="934"/>
    <x v="934"/>
    <x v="934"/>
  </r>
  <r>
    <x v="934"/>
    <x v="931"/>
    <x v="2"/>
    <x v="10"/>
    <x v="9"/>
    <x v="935"/>
    <x v="850"/>
    <x v="935"/>
    <x v="19"/>
    <x v="80"/>
    <x v="329"/>
    <x v="896"/>
    <x v="20"/>
    <x v="324"/>
    <x v="2"/>
    <x v="0"/>
    <x v="2"/>
    <x v="2"/>
    <x v="0"/>
    <x v="0"/>
    <x v="935"/>
    <x v="935"/>
    <x v="935"/>
    <x v="935"/>
  </r>
  <r>
    <x v="935"/>
    <x v="932"/>
    <x v="1"/>
    <x v="1"/>
    <x v="8"/>
    <x v="936"/>
    <x v="851"/>
    <x v="936"/>
    <x v="15"/>
    <x v="45"/>
    <x v="427"/>
    <x v="897"/>
    <x v="0"/>
    <x v="434"/>
    <x v="4"/>
    <x v="2"/>
    <x v="1"/>
    <x v="3"/>
    <x v="0"/>
    <x v="0"/>
    <x v="936"/>
    <x v="936"/>
    <x v="936"/>
    <x v="936"/>
  </r>
  <r>
    <x v="936"/>
    <x v="933"/>
    <x v="4"/>
    <x v="7"/>
    <x v="4"/>
    <x v="937"/>
    <x v="852"/>
    <x v="937"/>
    <x v="10"/>
    <x v="1"/>
    <x v="96"/>
    <x v="898"/>
    <x v="9"/>
    <x v="499"/>
    <x v="2"/>
    <x v="0"/>
    <x v="2"/>
    <x v="2"/>
    <x v="1"/>
    <x v="2"/>
    <x v="937"/>
    <x v="937"/>
    <x v="937"/>
    <x v="937"/>
  </r>
  <r>
    <x v="937"/>
    <x v="934"/>
    <x v="0"/>
    <x v="9"/>
    <x v="5"/>
    <x v="938"/>
    <x v="853"/>
    <x v="938"/>
    <x v="17"/>
    <x v="48"/>
    <x v="117"/>
    <x v="899"/>
    <x v="23"/>
    <x v="515"/>
    <x v="5"/>
    <x v="0"/>
    <x v="0"/>
    <x v="0"/>
    <x v="1"/>
    <x v="1"/>
    <x v="938"/>
    <x v="938"/>
    <x v="938"/>
    <x v="938"/>
  </r>
  <r>
    <x v="938"/>
    <x v="935"/>
    <x v="1"/>
    <x v="8"/>
    <x v="9"/>
    <x v="939"/>
    <x v="854"/>
    <x v="939"/>
    <x v="8"/>
    <x v="58"/>
    <x v="394"/>
    <x v="900"/>
    <x v="25"/>
    <x v="480"/>
    <x v="2"/>
    <x v="4"/>
    <x v="2"/>
    <x v="3"/>
    <x v="0"/>
    <x v="0"/>
    <x v="939"/>
    <x v="939"/>
    <x v="939"/>
    <x v="939"/>
  </r>
  <r>
    <x v="939"/>
    <x v="936"/>
    <x v="3"/>
    <x v="13"/>
    <x v="7"/>
    <x v="940"/>
    <x v="855"/>
    <x v="940"/>
    <x v="15"/>
    <x v="68"/>
    <x v="1"/>
    <x v="901"/>
    <x v="5"/>
    <x v="340"/>
    <x v="5"/>
    <x v="1"/>
    <x v="0"/>
    <x v="0"/>
    <x v="1"/>
    <x v="1"/>
    <x v="940"/>
    <x v="940"/>
    <x v="940"/>
    <x v="940"/>
  </r>
  <r>
    <x v="940"/>
    <x v="937"/>
    <x v="0"/>
    <x v="15"/>
    <x v="10"/>
    <x v="941"/>
    <x v="856"/>
    <x v="941"/>
    <x v="3"/>
    <x v="7"/>
    <x v="279"/>
    <x v="660"/>
    <x v="6"/>
    <x v="239"/>
    <x v="5"/>
    <x v="2"/>
    <x v="1"/>
    <x v="0"/>
    <x v="1"/>
    <x v="3"/>
    <x v="941"/>
    <x v="941"/>
    <x v="941"/>
    <x v="941"/>
  </r>
  <r>
    <x v="941"/>
    <x v="938"/>
    <x v="0"/>
    <x v="15"/>
    <x v="1"/>
    <x v="942"/>
    <x v="857"/>
    <x v="942"/>
    <x v="3"/>
    <x v="11"/>
    <x v="367"/>
    <x v="902"/>
    <x v="6"/>
    <x v="19"/>
    <x v="3"/>
    <x v="2"/>
    <x v="2"/>
    <x v="2"/>
    <x v="1"/>
    <x v="2"/>
    <x v="942"/>
    <x v="942"/>
    <x v="942"/>
    <x v="942"/>
  </r>
  <r>
    <x v="942"/>
    <x v="939"/>
    <x v="3"/>
    <x v="5"/>
    <x v="0"/>
    <x v="943"/>
    <x v="858"/>
    <x v="943"/>
    <x v="20"/>
    <x v="17"/>
    <x v="247"/>
    <x v="903"/>
    <x v="12"/>
    <x v="379"/>
    <x v="0"/>
    <x v="2"/>
    <x v="1"/>
    <x v="2"/>
    <x v="1"/>
    <x v="1"/>
    <x v="943"/>
    <x v="943"/>
    <x v="943"/>
    <x v="943"/>
  </r>
  <r>
    <x v="943"/>
    <x v="940"/>
    <x v="3"/>
    <x v="13"/>
    <x v="7"/>
    <x v="944"/>
    <x v="859"/>
    <x v="944"/>
    <x v="7"/>
    <x v="136"/>
    <x v="371"/>
    <x v="904"/>
    <x v="19"/>
    <x v="6"/>
    <x v="4"/>
    <x v="2"/>
    <x v="0"/>
    <x v="1"/>
    <x v="0"/>
    <x v="0"/>
    <x v="944"/>
    <x v="944"/>
    <x v="944"/>
    <x v="944"/>
  </r>
  <r>
    <x v="944"/>
    <x v="941"/>
    <x v="2"/>
    <x v="10"/>
    <x v="4"/>
    <x v="945"/>
    <x v="860"/>
    <x v="945"/>
    <x v="4"/>
    <x v="0"/>
    <x v="158"/>
    <x v="905"/>
    <x v="9"/>
    <x v="316"/>
    <x v="5"/>
    <x v="3"/>
    <x v="0"/>
    <x v="3"/>
    <x v="1"/>
    <x v="1"/>
    <x v="945"/>
    <x v="945"/>
    <x v="945"/>
    <x v="945"/>
  </r>
  <r>
    <x v="945"/>
    <x v="942"/>
    <x v="0"/>
    <x v="15"/>
    <x v="4"/>
    <x v="946"/>
    <x v="861"/>
    <x v="946"/>
    <x v="3"/>
    <x v="73"/>
    <x v="342"/>
    <x v="906"/>
    <x v="5"/>
    <x v="266"/>
    <x v="0"/>
    <x v="4"/>
    <x v="2"/>
    <x v="0"/>
    <x v="0"/>
    <x v="0"/>
    <x v="946"/>
    <x v="946"/>
    <x v="946"/>
    <x v="946"/>
  </r>
  <r>
    <x v="946"/>
    <x v="943"/>
    <x v="3"/>
    <x v="5"/>
    <x v="3"/>
    <x v="947"/>
    <x v="862"/>
    <x v="947"/>
    <x v="16"/>
    <x v="9"/>
    <x v="428"/>
    <x v="907"/>
    <x v="8"/>
    <x v="375"/>
    <x v="5"/>
    <x v="3"/>
    <x v="2"/>
    <x v="1"/>
    <x v="1"/>
    <x v="1"/>
    <x v="947"/>
    <x v="947"/>
    <x v="947"/>
    <x v="947"/>
  </r>
  <r>
    <x v="947"/>
    <x v="944"/>
    <x v="2"/>
    <x v="14"/>
    <x v="7"/>
    <x v="948"/>
    <x v="863"/>
    <x v="948"/>
    <x v="1"/>
    <x v="54"/>
    <x v="426"/>
    <x v="908"/>
    <x v="11"/>
    <x v="168"/>
    <x v="4"/>
    <x v="2"/>
    <x v="0"/>
    <x v="0"/>
    <x v="1"/>
    <x v="3"/>
    <x v="948"/>
    <x v="948"/>
    <x v="948"/>
    <x v="948"/>
  </r>
  <r>
    <x v="948"/>
    <x v="945"/>
    <x v="4"/>
    <x v="7"/>
    <x v="3"/>
    <x v="949"/>
    <x v="864"/>
    <x v="949"/>
    <x v="2"/>
    <x v="15"/>
    <x v="238"/>
    <x v="909"/>
    <x v="19"/>
    <x v="369"/>
    <x v="5"/>
    <x v="2"/>
    <x v="2"/>
    <x v="1"/>
    <x v="1"/>
    <x v="1"/>
    <x v="949"/>
    <x v="949"/>
    <x v="949"/>
    <x v="949"/>
  </r>
  <r>
    <x v="949"/>
    <x v="946"/>
    <x v="0"/>
    <x v="12"/>
    <x v="4"/>
    <x v="950"/>
    <x v="865"/>
    <x v="950"/>
    <x v="9"/>
    <x v="37"/>
    <x v="165"/>
    <x v="910"/>
    <x v="15"/>
    <x v="193"/>
    <x v="3"/>
    <x v="4"/>
    <x v="0"/>
    <x v="2"/>
    <x v="1"/>
    <x v="3"/>
    <x v="950"/>
    <x v="950"/>
    <x v="950"/>
    <x v="950"/>
  </r>
  <r>
    <x v="950"/>
    <x v="947"/>
    <x v="4"/>
    <x v="11"/>
    <x v="8"/>
    <x v="951"/>
    <x v="866"/>
    <x v="951"/>
    <x v="18"/>
    <x v="5"/>
    <x v="414"/>
    <x v="911"/>
    <x v="13"/>
    <x v="516"/>
    <x v="5"/>
    <x v="2"/>
    <x v="1"/>
    <x v="1"/>
    <x v="1"/>
    <x v="3"/>
    <x v="951"/>
    <x v="951"/>
    <x v="951"/>
    <x v="951"/>
  </r>
  <r>
    <x v="951"/>
    <x v="948"/>
    <x v="0"/>
    <x v="12"/>
    <x v="2"/>
    <x v="952"/>
    <x v="867"/>
    <x v="952"/>
    <x v="9"/>
    <x v="72"/>
    <x v="303"/>
    <x v="912"/>
    <x v="1"/>
    <x v="517"/>
    <x v="5"/>
    <x v="3"/>
    <x v="1"/>
    <x v="3"/>
    <x v="1"/>
    <x v="3"/>
    <x v="952"/>
    <x v="952"/>
    <x v="952"/>
    <x v="952"/>
  </r>
  <r>
    <x v="952"/>
    <x v="949"/>
    <x v="3"/>
    <x v="4"/>
    <x v="1"/>
    <x v="953"/>
    <x v="868"/>
    <x v="953"/>
    <x v="16"/>
    <x v="25"/>
    <x v="251"/>
    <x v="913"/>
    <x v="2"/>
    <x v="256"/>
    <x v="4"/>
    <x v="3"/>
    <x v="1"/>
    <x v="1"/>
    <x v="1"/>
    <x v="2"/>
    <x v="953"/>
    <x v="953"/>
    <x v="953"/>
    <x v="953"/>
  </r>
  <r>
    <x v="953"/>
    <x v="950"/>
    <x v="2"/>
    <x v="3"/>
    <x v="0"/>
    <x v="954"/>
    <x v="14"/>
    <x v="954"/>
    <x v="3"/>
    <x v="34"/>
    <x v="363"/>
    <x v="636"/>
    <x v="21"/>
    <x v="518"/>
    <x v="5"/>
    <x v="1"/>
    <x v="2"/>
    <x v="3"/>
    <x v="1"/>
    <x v="2"/>
    <x v="954"/>
    <x v="954"/>
    <x v="954"/>
    <x v="954"/>
  </r>
  <r>
    <x v="954"/>
    <x v="951"/>
    <x v="2"/>
    <x v="10"/>
    <x v="3"/>
    <x v="955"/>
    <x v="869"/>
    <x v="955"/>
    <x v="8"/>
    <x v="10"/>
    <x v="287"/>
    <x v="914"/>
    <x v="7"/>
    <x v="41"/>
    <x v="2"/>
    <x v="2"/>
    <x v="0"/>
    <x v="3"/>
    <x v="1"/>
    <x v="1"/>
    <x v="955"/>
    <x v="955"/>
    <x v="955"/>
    <x v="955"/>
  </r>
  <r>
    <x v="955"/>
    <x v="952"/>
    <x v="4"/>
    <x v="11"/>
    <x v="6"/>
    <x v="956"/>
    <x v="870"/>
    <x v="956"/>
    <x v="5"/>
    <x v="71"/>
    <x v="326"/>
    <x v="915"/>
    <x v="7"/>
    <x v="493"/>
    <x v="3"/>
    <x v="4"/>
    <x v="0"/>
    <x v="2"/>
    <x v="1"/>
    <x v="2"/>
    <x v="956"/>
    <x v="956"/>
    <x v="956"/>
    <x v="956"/>
  </r>
  <r>
    <x v="956"/>
    <x v="953"/>
    <x v="2"/>
    <x v="3"/>
    <x v="11"/>
    <x v="957"/>
    <x v="871"/>
    <x v="957"/>
    <x v="1"/>
    <x v="6"/>
    <x v="175"/>
    <x v="916"/>
    <x v="14"/>
    <x v="325"/>
    <x v="5"/>
    <x v="2"/>
    <x v="2"/>
    <x v="2"/>
    <x v="1"/>
    <x v="1"/>
    <x v="957"/>
    <x v="957"/>
    <x v="957"/>
    <x v="957"/>
  </r>
  <r>
    <x v="957"/>
    <x v="954"/>
    <x v="1"/>
    <x v="2"/>
    <x v="7"/>
    <x v="958"/>
    <x v="872"/>
    <x v="958"/>
    <x v="4"/>
    <x v="17"/>
    <x v="162"/>
    <x v="917"/>
    <x v="19"/>
    <x v="519"/>
    <x v="3"/>
    <x v="3"/>
    <x v="2"/>
    <x v="3"/>
    <x v="1"/>
    <x v="2"/>
    <x v="958"/>
    <x v="958"/>
    <x v="958"/>
    <x v="958"/>
  </r>
  <r>
    <x v="958"/>
    <x v="955"/>
    <x v="4"/>
    <x v="6"/>
    <x v="3"/>
    <x v="959"/>
    <x v="173"/>
    <x v="959"/>
    <x v="4"/>
    <x v="30"/>
    <x v="422"/>
    <x v="225"/>
    <x v="22"/>
    <x v="520"/>
    <x v="4"/>
    <x v="1"/>
    <x v="2"/>
    <x v="2"/>
    <x v="1"/>
    <x v="2"/>
    <x v="959"/>
    <x v="959"/>
    <x v="959"/>
    <x v="959"/>
  </r>
  <r>
    <x v="959"/>
    <x v="956"/>
    <x v="0"/>
    <x v="9"/>
    <x v="11"/>
    <x v="960"/>
    <x v="198"/>
    <x v="960"/>
    <x v="9"/>
    <x v="14"/>
    <x v="86"/>
    <x v="918"/>
    <x v="22"/>
    <x v="236"/>
    <x v="3"/>
    <x v="4"/>
    <x v="1"/>
    <x v="0"/>
    <x v="1"/>
    <x v="2"/>
    <x v="960"/>
    <x v="960"/>
    <x v="960"/>
    <x v="960"/>
  </r>
  <r>
    <x v="960"/>
    <x v="957"/>
    <x v="3"/>
    <x v="13"/>
    <x v="11"/>
    <x v="961"/>
    <x v="873"/>
    <x v="961"/>
    <x v="9"/>
    <x v="32"/>
    <x v="14"/>
    <x v="919"/>
    <x v="5"/>
    <x v="521"/>
    <x v="1"/>
    <x v="3"/>
    <x v="2"/>
    <x v="0"/>
    <x v="1"/>
    <x v="3"/>
    <x v="961"/>
    <x v="961"/>
    <x v="961"/>
    <x v="961"/>
  </r>
  <r>
    <x v="961"/>
    <x v="923"/>
    <x v="2"/>
    <x v="3"/>
    <x v="9"/>
    <x v="962"/>
    <x v="874"/>
    <x v="962"/>
    <x v="26"/>
    <x v="42"/>
    <x v="196"/>
    <x v="920"/>
    <x v="9"/>
    <x v="522"/>
    <x v="3"/>
    <x v="4"/>
    <x v="1"/>
    <x v="2"/>
    <x v="1"/>
    <x v="3"/>
    <x v="962"/>
    <x v="962"/>
    <x v="962"/>
    <x v="962"/>
  </r>
  <r>
    <x v="962"/>
    <x v="958"/>
    <x v="4"/>
    <x v="7"/>
    <x v="8"/>
    <x v="963"/>
    <x v="875"/>
    <x v="963"/>
    <x v="2"/>
    <x v="47"/>
    <x v="429"/>
    <x v="921"/>
    <x v="4"/>
    <x v="523"/>
    <x v="5"/>
    <x v="4"/>
    <x v="0"/>
    <x v="1"/>
    <x v="1"/>
    <x v="2"/>
    <x v="963"/>
    <x v="963"/>
    <x v="963"/>
    <x v="963"/>
  </r>
  <r>
    <x v="963"/>
    <x v="959"/>
    <x v="2"/>
    <x v="10"/>
    <x v="11"/>
    <x v="964"/>
    <x v="774"/>
    <x v="964"/>
    <x v="20"/>
    <x v="72"/>
    <x v="7"/>
    <x v="922"/>
    <x v="1"/>
    <x v="524"/>
    <x v="0"/>
    <x v="0"/>
    <x v="0"/>
    <x v="0"/>
    <x v="1"/>
    <x v="3"/>
    <x v="964"/>
    <x v="964"/>
    <x v="964"/>
    <x v="964"/>
  </r>
  <r>
    <x v="964"/>
    <x v="960"/>
    <x v="3"/>
    <x v="5"/>
    <x v="10"/>
    <x v="965"/>
    <x v="876"/>
    <x v="965"/>
    <x v="10"/>
    <x v="24"/>
    <x v="116"/>
    <x v="923"/>
    <x v="6"/>
    <x v="313"/>
    <x v="1"/>
    <x v="4"/>
    <x v="0"/>
    <x v="2"/>
    <x v="1"/>
    <x v="3"/>
    <x v="965"/>
    <x v="965"/>
    <x v="965"/>
    <x v="965"/>
  </r>
  <r>
    <x v="965"/>
    <x v="961"/>
    <x v="2"/>
    <x v="3"/>
    <x v="6"/>
    <x v="966"/>
    <x v="877"/>
    <x v="966"/>
    <x v="16"/>
    <x v="20"/>
    <x v="275"/>
    <x v="924"/>
    <x v="3"/>
    <x v="178"/>
    <x v="3"/>
    <x v="3"/>
    <x v="1"/>
    <x v="3"/>
    <x v="1"/>
    <x v="2"/>
    <x v="966"/>
    <x v="966"/>
    <x v="966"/>
    <x v="966"/>
  </r>
  <r>
    <x v="966"/>
    <x v="962"/>
    <x v="0"/>
    <x v="0"/>
    <x v="7"/>
    <x v="967"/>
    <x v="878"/>
    <x v="967"/>
    <x v="11"/>
    <x v="133"/>
    <x v="309"/>
    <x v="925"/>
    <x v="25"/>
    <x v="258"/>
    <x v="0"/>
    <x v="0"/>
    <x v="1"/>
    <x v="3"/>
    <x v="1"/>
    <x v="3"/>
    <x v="967"/>
    <x v="967"/>
    <x v="967"/>
    <x v="967"/>
  </r>
  <r>
    <x v="967"/>
    <x v="963"/>
    <x v="4"/>
    <x v="7"/>
    <x v="4"/>
    <x v="968"/>
    <x v="879"/>
    <x v="968"/>
    <x v="10"/>
    <x v="22"/>
    <x v="43"/>
    <x v="926"/>
    <x v="17"/>
    <x v="192"/>
    <x v="2"/>
    <x v="3"/>
    <x v="1"/>
    <x v="2"/>
    <x v="1"/>
    <x v="3"/>
    <x v="968"/>
    <x v="968"/>
    <x v="968"/>
    <x v="968"/>
  </r>
  <r>
    <x v="968"/>
    <x v="964"/>
    <x v="0"/>
    <x v="9"/>
    <x v="5"/>
    <x v="969"/>
    <x v="880"/>
    <x v="969"/>
    <x v="0"/>
    <x v="11"/>
    <x v="34"/>
    <x v="927"/>
    <x v="17"/>
    <x v="525"/>
    <x v="1"/>
    <x v="3"/>
    <x v="0"/>
    <x v="0"/>
    <x v="0"/>
    <x v="0"/>
    <x v="969"/>
    <x v="969"/>
    <x v="969"/>
    <x v="969"/>
  </r>
  <r>
    <x v="969"/>
    <x v="965"/>
    <x v="3"/>
    <x v="13"/>
    <x v="10"/>
    <x v="970"/>
    <x v="5"/>
    <x v="970"/>
    <x v="7"/>
    <x v="86"/>
    <x v="327"/>
    <x v="928"/>
    <x v="10"/>
    <x v="253"/>
    <x v="2"/>
    <x v="3"/>
    <x v="2"/>
    <x v="3"/>
    <x v="1"/>
    <x v="3"/>
    <x v="970"/>
    <x v="970"/>
    <x v="970"/>
    <x v="970"/>
  </r>
  <r>
    <x v="970"/>
    <x v="966"/>
    <x v="4"/>
    <x v="11"/>
    <x v="5"/>
    <x v="971"/>
    <x v="244"/>
    <x v="971"/>
    <x v="17"/>
    <x v="95"/>
    <x v="71"/>
    <x v="929"/>
    <x v="0"/>
    <x v="26"/>
    <x v="4"/>
    <x v="0"/>
    <x v="0"/>
    <x v="2"/>
    <x v="1"/>
    <x v="3"/>
    <x v="971"/>
    <x v="971"/>
    <x v="971"/>
    <x v="971"/>
  </r>
  <r>
    <x v="971"/>
    <x v="967"/>
    <x v="2"/>
    <x v="10"/>
    <x v="11"/>
    <x v="972"/>
    <x v="881"/>
    <x v="972"/>
    <x v="3"/>
    <x v="18"/>
    <x v="212"/>
    <x v="930"/>
    <x v="5"/>
    <x v="526"/>
    <x v="1"/>
    <x v="3"/>
    <x v="0"/>
    <x v="2"/>
    <x v="1"/>
    <x v="3"/>
    <x v="972"/>
    <x v="972"/>
    <x v="972"/>
    <x v="972"/>
  </r>
  <r>
    <x v="972"/>
    <x v="968"/>
    <x v="0"/>
    <x v="9"/>
    <x v="7"/>
    <x v="973"/>
    <x v="882"/>
    <x v="973"/>
    <x v="22"/>
    <x v="20"/>
    <x v="428"/>
    <x v="931"/>
    <x v="15"/>
    <x v="221"/>
    <x v="3"/>
    <x v="0"/>
    <x v="0"/>
    <x v="1"/>
    <x v="1"/>
    <x v="1"/>
    <x v="973"/>
    <x v="973"/>
    <x v="973"/>
    <x v="973"/>
  </r>
  <r>
    <x v="973"/>
    <x v="969"/>
    <x v="0"/>
    <x v="15"/>
    <x v="8"/>
    <x v="974"/>
    <x v="883"/>
    <x v="974"/>
    <x v="1"/>
    <x v="137"/>
    <x v="354"/>
    <x v="365"/>
    <x v="5"/>
    <x v="301"/>
    <x v="2"/>
    <x v="4"/>
    <x v="0"/>
    <x v="2"/>
    <x v="1"/>
    <x v="2"/>
    <x v="974"/>
    <x v="974"/>
    <x v="974"/>
    <x v="974"/>
  </r>
  <r>
    <x v="974"/>
    <x v="970"/>
    <x v="2"/>
    <x v="10"/>
    <x v="9"/>
    <x v="975"/>
    <x v="884"/>
    <x v="975"/>
    <x v="16"/>
    <x v="25"/>
    <x v="2"/>
    <x v="932"/>
    <x v="1"/>
    <x v="5"/>
    <x v="2"/>
    <x v="1"/>
    <x v="0"/>
    <x v="1"/>
    <x v="1"/>
    <x v="2"/>
    <x v="975"/>
    <x v="975"/>
    <x v="975"/>
    <x v="975"/>
  </r>
  <r>
    <x v="975"/>
    <x v="971"/>
    <x v="1"/>
    <x v="8"/>
    <x v="1"/>
    <x v="976"/>
    <x v="592"/>
    <x v="976"/>
    <x v="1"/>
    <x v="23"/>
    <x v="66"/>
    <x v="933"/>
    <x v="9"/>
    <x v="100"/>
    <x v="2"/>
    <x v="3"/>
    <x v="2"/>
    <x v="1"/>
    <x v="1"/>
    <x v="2"/>
    <x v="976"/>
    <x v="976"/>
    <x v="976"/>
    <x v="976"/>
  </r>
  <r>
    <x v="976"/>
    <x v="972"/>
    <x v="2"/>
    <x v="10"/>
    <x v="3"/>
    <x v="977"/>
    <x v="885"/>
    <x v="977"/>
    <x v="18"/>
    <x v="20"/>
    <x v="430"/>
    <x v="934"/>
    <x v="9"/>
    <x v="527"/>
    <x v="3"/>
    <x v="1"/>
    <x v="2"/>
    <x v="1"/>
    <x v="1"/>
    <x v="3"/>
    <x v="977"/>
    <x v="977"/>
    <x v="977"/>
    <x v="977"/>
  </r>
  <r>
    <x v="977"/>
    <x v="973"/>
    <x v="2"/>
    <x v="10"/>
    <x v="8"/>
    <x v="978"/>
    <x v="492"/>
    <x v="978"/>
    <x v="10"/>
    <x v="55"/>
    <x v="431"/>
    <x v="935"/>
    <x v="2"/>
    <x v="527"/>
    <x v="1"/>
    <x v="1"/>
    <x v="0"/>
    <x v="2"/>
    <x v="1"/>
    <x v="3"/>
    <x v="978"/>
    <x v="978"/>
    <x v="978"/>
    <x v="978"/>
  </r>
  <r>
    <x v="978"/>
    <x v="974"/>
    <x v="3"/>
    <x v="13"/>
    <x v="8"/>
    <x v="979"/>
    <x v="886"/>
    <x v="979"/>
    <x v="12"/>
    <x v="32"/>
    <x v="129"/>
    <x v="936"/>
    <x v="5"/>
    <x v="528"/>
    <x v="1"/>
    <x v="1"/>
    <x v="1"/>
    <x v="1"/>
    <x v="1"/>
    <x v="2"/>
    <x v="979"/>
    <x v="979"/>
    <x v="979"/>
    <x v="979"/>
  </r>
  <r>
    <x v="979"/>
    <x v="975"/>
    <x v="3"/>
    <x v="13"/>
    <x v="4"/>
    <x v="980"/>
    <x v="887"/>
    <x v="980"/>
    <x v="10"/>
    <x v="95"/>
    <x v="178"/>
    <x v="784"/>
    <x v="18"/>
    <x v="44"/>
    <x v="1"/>
    <x v="3"/>
    <x v="0"/>
    <x v="1"/>
    <x v="1"/>
    <x v="2"/>
    <x v="980"/>
    <x v="980"/>
    <x v="980"/>
    <x v="980"/>
  </r>
  <r>
    <x v="980"/>
    <x v="976"/>
    <x v="2"/>
    <x v="14"/>
    <x v="9"/>
    <x v="981"/>
    <x v="888"/>
    <x v="981"/>
    <x v="22"/>
    <x v="2"/>
    <x v="122"/>
    <x v="937"/>
    <x v="12"/>
    <x v="529"/>
    <x v="2"/>
    <x v="3"/>
    <x v="2"/>
    <x v="0"/>
    <x v="1"/>
    <x v="3"/>
    <x v="981"/>
    <x v="981"/>
    <x v="981"/>
    <x v="981"/>
  </r>
  <r>
    <x v="981"/>
    <x v="977"/>
    <x v="0"/>
    <x v="9"/>
    <x v="4"/>
    <x v="982"/>
    <x v="131"/>
    <x v="982"/>
    <x v="12"/>
    <x v="1"/>
    <x v="169"/>
    <x v="468"/>
    <x v="24"/>
    <x v="204"/>
    <x v="3"/>
    <x v="3"/>
    <x v="1"/>
    <x v="1"/>
    <x v="1"/>
    <x v="2"/>
    <x v="982"/>
    <x v="982"/>
    <x v="982"/>
    <x v="982"/>
  </r>
  <r>
    <x v="982"/>
    <x v="978"/>
    <x v="0"/>
    <x v="12"/>
    <x v="0"/>
    <x v="983"/>
    <x v="889"/>
    <x v="983"/>
    <x v="11"/>
    <x v="19"/>
    <x v="171"/>
    <x v="938"/>
    <x v="16"/>
    <x v="216"/>
    <x v="1"/>
    <x v="4"/>
    <x v="1"/>
    <x v="3"/>
    <x v="1"/>
    <x v="3"/>
    <x v="983"/>
    <x v="983"/>
    <x v="983"/>
    <x v="983"/>
  </r>
  <r>
    <x v="983"/>
    <x v="979"/>
    <x v="1"/>
    <x v="2"/>
    <x v="2"/>
    <x v="984"/>
    <x v="890"/>
    <x v="984"/>
    <x v="7"/>
    <x v="9"/>
    <x v="155"/>
    <x v="939"/>
    <x v="24"/>
    <x v="492"/>
    <x v="0"/>
    <x v="0"/>
    <x v="2"/>
    <x v="3"/>
    <x v="1"/>
    <x v="3"/>
    <x v="984"/>
    <x v="984"/>
    <x v="984"/>
    <x v="984"/>
  </r>
  <r>
    <x v="984"/>
    <x v="980"/>
    <x v="3"/>
    <x v="13"/>
    <x v="7"/>
    <x v="985"/>
    <x v="891"/>
    <x v="985"/>
    <x v="16"/>
    <x v="31"/>
    <x v="432"/>
    <x v="940"/>
    <x v="21"/>
    <x v="134"/>
    <x v="1"/>
    <x v="3"/>
    <x v="0"/>
    <x v="3"/>
    <x v="0"/>
    <x v="0"/>
    <x v="985"/>
    <x v="985"/>
    <x v="985"/>
    <x v="985"/>
  </r>
  <r>
    <x v="985"/>
    <x v="981"/>
    <x v="4"/>
    <x v="7"/>
    <x v="1"/>
    <x v="986"/>
    <x v="892"/>
    <x v="986"/>
    <x v="13"/>
    <x v="20"/>
    <x v="66"/>
    <x v="941"/>
    <x v="0"/>
    <x v="530"/>
    <x v="1"/>
    <x v="4"/>
    <x v="0"/>
    <x v="1"/>
    <x v="1"/>
    <x v="2"/>
    <x v="986"/>
    <x v="986"/>
    <x v="986"/>
    <x v="986"/>
  </r>
  <r>
    <x v="986"/>
    <x v="982"/>
    <x v="4"/>
    <x v="7"/>
    <x v="7"/>
    <x v="987"/>
    <x v="893"/>
    <x v="987"/>
    <x v="23"/>
    <x v="73"/>
    <x v="134"/>
    <x v="942"/>
    <x v="3"/>
    <x v="74"/>
    <x v="4"/>
    <x v="4"/>
    <x v="0"/>
    <x v="3"/>
    <x v="1"/>
    <x v="3"/>
    <x v="987"/>
    <x v="987"/>
    <x v="987"/>
    <x v="987"/>
  </r>
  <r>
    <x v="987"/>
    <x v="983"/>
    <x v="3"/>
    <x v="5"/>
    <x v="0"/>
    <x v="988"/>
    <x v="894"/>
    <x v="988"/>
    <x v="15"/>
    <x v="19"/>
    <x v="433"/>
    <x v="943"/>
    <x v="24"/>
    <x v="442"/>
    <x v="0"/>
    <x v="4"/>
    <x v="1"/>
    <x v="0"/>
    <x v="1"/>
    <x v="2"/>
    <x v="988"/>
    <x v="988"/>
    <x v="988"/>
    <x v="988"/>
  </r>
  <r>
    <x v="988"/>
    <x v="984"/>
    <x v="3"/>
    <x v="13"/>
    <x v="7"/>
    <x v="989"/>
    <x v="895"/>
    <x v="989"/>
    <x v="3"/>
    <x v="18"/>
    <x v="53"/>
    <x v="944"/>
    <x v="25"/>
    <x v="144"/>
    <x v="5"/>
    <x v="4"/>
    <x v="2"/>
    <x v="0"/>
    <x v="1"/>
    <x v="1"/>
    <x v="989"/>
    <x v="989"/>
    <x v="989"/>
    <x v="989"/>
  </r>
  <r>
    <x v="989"/>
    <x v="985"/>
    <x v="0"/>
    <x v="0"/>
    <x v="7"/>
    <x v="990"/>
    <x v="896"/>
    <x v="990"/>
    <x v="18"/>
    <x v="3"/>
    <x v="340"/>
    <x v="945"/>
    <x v="12"/>
    <x v="531"/>
    <x v="4"/>
    <x v="2"/>
    <x v="2"/>
    <x v="2"/>
    <x v="1"/>
    <x v="2"/>
    <x v="990"/>
    <x v="990"/>
    <x v="990"/>
    <x v="990"/>
  </r>
  <r>
    <x v="990"/>
    <x v="986"/>
    <x v="2"/>
    <x v="14"/>
    <x v="0"/>
    <x v="991"/>
    <x v="897"/>
    <x v="991"/>
    <x v="3"/>
    <x v="0"/>
    <x v="82"/>
    <x v="946"/>
    <x v="17"/>
    <x v="523"/>
    <x v="3"/>
    <x v="0"/>
    <x v="2"/>
    <x v="1"/>
    <x v="1"/>
    <x v="3"/>
    <x v="991"/>
    <x v="991"/>
    <x v="991"/>
    <x v="991"/>
  </r>
  <r>
    <x v="991"/>
    <x v="987"/>
    <x v="2"/>
    <x v="10"/>
    <x v="9"/>
    <x v="992"/>
    <x v="898"/>
    <x v="992"/>
    <x v="16"/>
    <x v="18"/>
    <x v="301"/>
    <x v="947"/>
    <x v="19"/>
    <x v="147"/>
    <x v="3"/>
    <x v="1"/>
    <x v="2"/>
    <x v="3"/>
    <x v="1"/>
    <x v="2"/>
    <x v="992"/>
    <x v="992"/>
    <x v="992"/>
    <x v="992"/>
  </r>
  <r>
    <x v="992"/>
    <x v="988"/>
    <x v="4"/>
    <x v="7"/>
    <x v="4"/>
    <x v="993"/>
    <x v="899"/>
    <x v="993"/>
    <x v="16"/>
    <x v="76"/>
    <x v="434"/>
    <x v="948"/>
    <x v="21"/>
    <x v="110"/>
    <x v="2"/>
    <x v="2"/>
    <x v="1"/>
    <x v="0"/>
    <x v="1"/>
    <x v="3"/>
    <x v="993"/>
    <x v="993"/>
    <x v="993"/>
    <x v="993"/>
  </r>
  <r>
    <x v="993"/>
    <x v="989"/>
    <x v="2"/>
    <x v="3"/>
    <x v="0"/>
    <x v="994"/>
    <x v="353"/>
    <x v="994"/>
    <x v="13"/>
    <x v="86"/>
    <x v="346"/>
    <x v="949"/>
    <x v="23"/>
    <x v="264"/>
    <x v="4"/>
    <x v="2"/>
    <x v="2"/>
    <x v="1"/>
    <x v="1"/>
    <x v="1"/>
    <x v="994"/>
    <x v="994"/>
    <x v="994"/>
    <x v="994"/>
  </r>
  <r>
    <x v="994"/>
    <x v="990"/>
    <x v="3"/>
    <x v="4"/>
    <x v="2"/>
    <x v="995"/>
    <x v="68"/>
    <x v="995"/>
    <x v="1"/>
    <x v="20"/>
    <x v="403"/>
    <x v="639"/>
    <x v="17"/>
    <x v="337"/>
    <x v="0"/>
    <x v="2"/>
    <x v="0"/>
    <x v="2"/>
    <x v="1"/>
    <x v="2"/>
    <x v="995"/>
    <x v="995"/>
    <x v="995"/>
    <x v="995"/>
  </r>
  <r>
    <x v="995"/>
    <x v="991"/>
    <x v="2"/>
    <x v="14"/>
    <x v="5"/>
    <x v="996"/>
    <x v="738"/>
    <x v="996"/>
    <x v="13"/>
    <x v="0"/>
    <x v="435"/>
    <x v="950"/>
    <x v="1"/>
    <x v="75"/>
    <x v="5"/>
    <x v="1"/>
    <x v="1"/>
    <x v="2"/>
    <x v="1"/>
    <x v="2"/>
    <x v="996"/>
    <x v="996"/>
    <x v="996"/>
    <x v="996"/>
  </r>
  <r>
    <x v="996"/>
    <x v="992"/>
    <x v="4"/>
    <x v="6"/>
    <x v="7"/>
    <x v="997"/>
    <x v="900"/>
    <x v="997"/>
    <x v="18"/>
    <x v="38"/>
    <x v="212"/>
    <x v="951"/>
    <x v="9"/>
    <x v="172"/>
    <x v="5"/>
    <x v="0"/>
    <x v="1"/>
    <x v="0"/>
    <x v="0"/>
    <x v="0"/>
    <x v="997"/>
    <x v="997"/>
    <x v="997"/>
    <x v="997"/>
  </r>
  <r>
    <x v="997"/>
    <x v="993"/>
    <x v="0"/>
    <x v="12"/>
    <x v="10"/>
    <x v="998"/>
    <x v="901"/>
    <x v="998"/>
    <x v="1"/>
    <x v="17"/>
    <x v="162"/>
    <x v="952"/>
    <x v="20"/>
    <x v="110"/>
    <x v="4"/>
    <x v="4"/>
    <x v="1"/>
    <x v="1"/>
    <x v="1"/>
    <x v="1"/>
    <x v="998"/>
    <x v="998"/>
    <x v="998"/>
    <x v="998"/>
  </r>
  <r>
    <x v="998"/>
    <x v="994"/>
    <x v="4"/>
    <x v="6"/>
    <x v="6"/>
    <x v="999"/>
    <x v="902"/>
    <x v="999"/>
    <x v="3"/>
    <x v="24"/>
    <x v="436"/>
    <x v="953"/>
    <x v="24"/>
    <x v="312"/>
    <x v="1"/>
    <x v="3"/>
    <x v="2"/>
    <x v="1"/>
    <x v="1"/>
    <x v="3"/>
    <x v="999"/>
    <x v="999"/>
    <x v="999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765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1:B7" firstHeaderRow="1" firstDataRow="1" firstDataCol="1"/>
  <pivotFields count="24">
    <pivotField compact="0" showAll="0">
      <items count="1000">
        <item x="443"/>
        <item x="996"/>
        <item x="233"/>
        <item x="146"/>
        <item x="321"/>
        <item x="515"/>
        <item x="234"/>
        <item x="658"/>
        <item x="739"/>
        <item x="424"/>
        <item x="693"/>
        <item x="639"/>
        <item x="104"/>
        <item x="715"/>
        <item x="495"/>
        <item x="754"/>
        <item x="891"/>
        <item x="561"/>
        <item x="546"/>
        <item x="848"/>
        <item x="149"/>
        <item x="975"/>
        <item x="125"/>
        <item x="574"/>
        <item x="588"/>
        <item x="678"/>
        <item x="51"/>
        <item x="462"/>
        <item x="139"/>
        <item x="195"/>
        <item x="171"/>
        <item x="841"/>
        <item x="791"/>
        <item x="172"/>
        <item x="746"/>
        <item x="72"/>
        <item x="60"/>
        <item x="759"/>
        <item x="188"/>
        <item x="20"/>
        <item x="451"/>
        <item x="115"/>
        <item x="713"/>
        <item x="799"/>
        <item x="228"/>
        <item x="480"/>
        <item x="865"/>
        <item x="121"/>
        <item x="577"/>
        <item x="506"/>
        <item x="41"/>
        <item x="956"/>
        <item x="351"/>
        <item x="697"/>
        <item x="821"/>
        <item x="834"/>
        <item x="317"/>
        <item x="931"/>
        <item x="485"/>
        <item x="852"/>
        <item x="373"/>
        <item x="617"/>
        <item x="352"/>
        <item x="565"/>
        <item x="378"/>
        <item x="844"/>
        <item x="81"/>
        <item x="169"/>
        <item x="160"/>
        <item x="655"/>
        <item x="608"/>
        <item x="779"/>
        <item x="253"/>
        <item x="333"/>
        <item x="361"/>
        <item x="88"/>
        <item x="556"/>
        <item x="976"/>
        <item x="124"/>
        <item x="27"/>
        <item x="484"/>
        <item x="690"/>
        <item x="181"/>
        <item x="12"/>
        <item x="955"/>
        <item x="394"/>
        <item x="914"/>
        <item x="971"/>
        <item x="514"/>
        <item x="106"/>
        <item x="341"/>
        <item x="475"/>
        <item x="814"/>
        <item x="151"/>
        <item x="148"/>
        <item x="238"/>
        <item x="531"/>
        <item x="643"/>
        <item x="616"/>
        <item x="993"/>
        <item x="380"/>
        <item x="331"/>
        <item x="670"/>
        <item x="809"/>
        <item x="698"/>
        <item x="817"/>
        <item x="801"/>
        <item x="611"/>
        <item x="135"/>
        <item x="967"/>
        <item x="981"/>
        <item x="163"/>
        <item x="1"/>
        <item x="785"/>
        <item x="563"/>
        <item x="674"/>
        <item x="439"/>
        <item x="293"/>
        <item x="504"/>
        <item x="374"/>
        <item x="767"/>
        <item x="158"/>
        <item x="923"/>
        <item x="855"/>
        <item x="229"/>
        <item x="911"/>
        <item x="591"/>
        <item x="949"/>
        <item x="478"/>
        <item x="763"/>
        <item x="805"/>
        <item x="725"/>
        <item x="702"/>
        <item x="429"/>
        <item x="721"/>
        <item x="428"/>
        <item x="285"/>
        <item x="299"/>
        <item x="764"/>
        <item x="636"/>
        <item x="94"/>
        <item x="614"/>
        <item x="334"/>
        <item x="696"/>
        <item x="907"/>
        <item x="868"/>
        <item x="745"/>
        <item x="756"/>
        <item x="932"/>
        <item x="47"/>
        <item x="520"/>
        <item x="162"/>
        <item x="679"/>
        <item x="872"/>
        <item x="668"/>
        <item x="880"/>
        <item x="244"/>
        <item x="34"/>
        <item x="491"/>
        <item x="598"/>
        <item x="410"/>
        <item x="190"/>
        <item x="942"/>
        <item x="575"/>
        <item x="640"/>
        <item x="472"/>
        <item x="613"/>
        <item x="789"/>
        <item x="433"/>
        <item x="684"/>
        <item x="266"/>
        <item x="339"/>
        <item x="57"/>
        <item x="218"/>
        <item x="82"/>
        <item x="600"/>
        <item x="887"/>
        <item x="857"/>
        <item x="349"/>
        <item x="704"/>
        <item x="235"/>
        <item x="490"/>
        <item x="989"/>
        <item x="882"/>
        <item x="289"/>
        <item x="783"/>
        <item x="534"/>
        <item x="306"/>
        <item x="964"/>
        <item x="262"/>
        <item x="280"/>
        <item x="761"/>
        <item x="755"/>
        <item x="385"/>
        <item x="444"/>
        <item x="486"/>
        <item x="53"/>
        <item x="153"/>
        <item x="950"/>
        <item x="771"/>
        <item x="79"/>
        <item x="836"/>
        <item x="939"/>
        <item x="957"/>
        <item x="884"/>
        <item x="243"/>
        <item x="762"/>
        <item x="406"/>
        <item x="430"/>
        <item x="140"/>
        <item x="807"/>
        <item x="275"/>
        <item x="393"/>
        <item x="364"/>
        <item x="724"/>
        <item x="607"/>
        <item x="810"/>
        <item x="564"/>
        <item x="901"/>
        <item x="568"/>
        <item x="904"/>
        <item x="750"/>
        <item x="987"/>
        <item x="441"/>
        <item x="757"/>
        <item x="808"/>
        <item x="851"/>
        <item x="450"/>
        <item x="706"/>
        <item x="941"/>
        <item x="342"/>
        <item x="386"/>
        <item x="792"/>
        <item x="318"/>
        <item x="332"/>
        <item x="35"/>
        <item x="822"/>
        <item x="856"/>
        <item x="297"/>
        <item x="630"/>
        <item x="903"/>
        <item x="535"/>
        <item x="671"/>
        <item x="788"/>
        <item x="32"/>
        <item x="784"/>
        <item x="141"/>
        <item x="3"/>
        <item x="330"/>
        <item x="707"/>
        <item x="365"/>
        <item x="8"/>
        <item x="236"/>
        <item x="250"/>
        <item x="753"/>
        <item x="459"/>
        <item x="369"/>
        <item x="432"/>
        <item x="221"/>
        <item x="603"/>
        <item x="392"/>
        <item x="338"/>
        <item x="417"/>
        <item x="820"/>
        <item x="488"/>
        <item x="770"/>
        <item x="86"/>
        <item x="624"/>
        <item x="692"/>
        <item x="951"/>
        <item x="517"/>
        <item x="152"/>
        <item x="112"/>
        <item x="977"/>
        <item x="345"/>
        <item x="16"/>
        <item x="208"/>
        <item x="205"/>
        <item x="760"/>
        <item x="587"/>
        <item x="648"/>
        <item x="461"/>
        <item x="0"/>
        <item x="606"/>
        <item x="897"/>
        <item x="29"/>
        <item x="593"/>
        <item x="312"/>
        <item x="24"/>
        <item x="353"/>
        <item x="543"/>
        <item x="558"/>
        <item x="161"/>
        <item x="420"/>
        <item x="960"/>
        <item x="501"/>
        <item x="110"/>
        <item x="425"/>
        <item x="290"/>
        <item x="838"/>
        <item x="30"/>
        <item x="375"/>
        <item x="927"/>
        <item x="494"/>
        <item x="362"/>
        <item x="781"/>
        <item x="847"/>
        <item x="255"/>
        <item x="391"/>
        <item x="890"/>
        <item x="523"/>
        <item x="708"/>
        <item x="270"/>
        <item x="224"/>
        <item x="340"/>
        <item x="751"/>
        <item x="336"/>
        <item x="143"/>
        <item x="749"/>
        <item x="183"/>
        <item x="894"/>
        <item x="445"/>
        <item x="396"/>
        <item x="802"/>
        <item x="113"/>
        <item x="56"/>
        <item x="477"/>
        <item x="402"/>
        <item x="722"/>
        <item x="896"/>
        <item x="73"/>
        <item x="211"/>
        <item x="357"/>
        <item x="595"/>
        <item x="752"/>
        <item x="100"/>
        <item x="573"/>
        <item x="510"/>
        <item x="703"/>
        <item x="398"/>
        <item x="26"/>
        <item x="209"/>
        <item x="638"/>
        <item x="223"/>
        <item x="93"/>
        <item x="545"/>
        <item x="765"/>
        <item x="920"/>
        <item x="279"/>
        <item x="408"/>
        <item x="75"/>
        <item x="423"/>
        <item x="470"/>
        <item x="446"/>
        <item x="947"/>
        <item x="833"/>
        <item x="758"/>
        <item x="744"/>
        <item x="877"/>
        <item x="878"/>
        <item x="946"/>
        <item x="986"/>
        <item x="350"/>
        <item x="258"/>
        <item x="954"/>
        <item x="982"/>
        <item x="204"/>
        <item x="259"/>
        <item x="774"/>
        <item x="861"/>
        <item x="363"/>
        <item x="463"/>
        <item x="154"/>
        <item x="970"/>
        <item x="128"/>
        <item x="695"/>
        <item x="647"/>
        <item x="387"/>
        <item x="736"/>
        <item x="952"/>
        <item x="427"/>
        <item x="456"/>
        <item x="377"/>
        <item x="43"/>
        <item x="256"/>
        <item x="283"/>
        <item x="780"/>
        <item x="19"/>
        <item x="916"/>
        <item x="627"/>
        <item x="164"/>
        <item x="732"/>
        <item x="541"/>
        <item x="863"/>
        <item x="251"/>
        <item x="585"/>
        <item x="144"/>
        <item x="68"/>
        <item x="778"/>
        <item x="59"/>
        <item x="900"/>
        <item x="22"/>
        <item x="594"/>
        <item x="468"/>
        <item x="277"/>
        <item x="859"/>
        <item x="566"/>
        <item x="69"/>
        <item x="794"/>
        <item x="687"/>
        <item x="720"/>
        <item x="215"/>
        <item x="929"/>
        <item x="555"/>
        <item x="729"/>
        <item x="15"/>
        <item x="500"/>
        <item x="252"/>
        <item x="268"/>
        <item x="455"/>
        <item x="620"/>
        <item x="62"/>
        <item x="522"/>
        <item x="276"/>
        <item x="6"/>
        <item x="886"/>
        <item x="681"/>
        <item x="189"/>
        <item x="389"/>
        <item x="322"/>
        <item x="413"/>
        <item x="688"/>
        <item x="933"/>
        <item x="953"/>
        <item x="467"/>
        <item x="642"/>
        <item x="958"/>
        <item x="61"/>
        <item x="471"/>
        <item x="656"/>
        <item x="988"/>
        <item x="469"/>
        <item x="296"/>
        <item x="766"/>
        <item x="274"/>
        <item x="182"/>
        <item x="284"/>
        <item x="42"/>
        <item x="210"/>
        <item x="435"/>
        <item x="769"/>
        <item x="404"/>
        <item x="487"/>
        <item x="278"/>
        <item x="881"/>
        <item x="431"/>
        <item x="40"/>
        <item x="502"/>
        <item x="625"/>
        <item x="134"/>
        <item x="177"/>
        <item x="879"/>
        <item x="709"/>
        <item x="705"/>
        <item x="2"/>
        <item x="175"/>
        <item x="908"/>
        <item x="329"/>
        <item x="281"/>
        <item x="921"/>
        <item x="242"/>
        <item x="936"/>
        <item x="985"/>
        <item x="853"/>
        <item x="108"/>
        <item x="649"/>
        <item x="819"/>
        <item x="919"/>
        <item x="747"/>
        <item x="44"/>
        <item x="912"/>
        <item x="507"/>
        <item x="604"/>
        <item x="797"/>
        <item x="382"/>
        <item x="926"/>
        <item x="586"/>
        <item x="168"/>
        <item x="683"/>
        <item x="49"/>
        <item x="540"/>
        <item x="980"/>
        <item x="641"/>
        <item x="107"/>
        <item x="966"/>
        <item x="167"/>
        <item x="937"/>
        <item x="240"/>
        <item x="186"/>
        <item x="372"/>
        <item x="308"/>
        <item x="157"/>
        <item x="55"/>
        <item x="938"/>
        <item x="826"/>
        <item x="906"/>
        <item x="314"/>
        <item x="264"/>
        <item x="539"/>
        <item x="521"/>
        <item x="31"/>
        <item x="298"/>
        <item x="282"/>
        <item x="860"/>
        <item x="267"/>
        <item x="197"/>
        <item x="58"/>
        <item x="207"/>
        <item x="538"/>
        <item x="92"/>
        <item x="723"/>
        <item x="63"/>
        <item x="91"/>
        <item x="644"/>
        <item x="984"/>
        <item x="237"/>
        <item x="409"/>
        <item x="526"/>
        <item x="726"/>
        <item x="734"/>
        <item x="944"/>
        <item x="798"/>
        <item x="657"/>
        <item x="581"/>
        <item x="672"/>
        <item x="129"/>
        <item x="516"/>
        <item x="358"/>
        <item x="25"/>
        <item x="918"/>
        <item x="493"/>
        <item x="962"/>
        <item x="843"/>
        <item x="998"/>
        <item x="411"/>
        <item x="74"/>
        <item x="397"/>
        <item x="830"/>
        <item x="131"/>
        <item x="775"/>
        <item x="11"/>
        <item x="103"/>
        <item x="371"/>
        <item x="184"/>
        <item x="436"/>
        <item x="191"/>
        <item x="818"/>
        <item x="733"/>
        <item x="328"/>
        <item x="337"/>
        <item x="14"/>
        <item x="273"/>
        <item x="482"/>
        <item x="360"/>
        <item x="200"/>
        <item x="249"/>
        <item x="786"/>
        <item x="304"/>
        <item x="803"/>
        <item x="288"/>
        <item x="28"/>
        <item x="98"/>
        <item x="327"/>
        <item x="301"/>
        <item x="738"/>
        <item x="866"/>
        <item x="665"/>
        <item x="232"/>
        <item x="787"/>
        <item x="50"/>
        <item x="544"/>
        <item x="492"/>
        <item x="198"/>
        <item x="873"/>
        <item x="458"/>
        <item x="978"/>
        <item x="699"/>
        <item x="536"/>
        <item x="159"/>
        <item x="416"/>
        <item x="633"/>
        <item x="677"/>
        <item x="934"/>
        <item x="823"/>
        <item x="875"/>
        <item x="265"/>
        <item x="701"/>
        <item x="673"/>
        <item x="592"/>
        <item x="310"/>
        <item x="994"/>
        <item x="737"/>
        <item x="10"/>
        <item x="497"/>
        <item x="979"/>
        <item x="579"/>
        <item x="127"/>
        <item x="883"/>
        <item x="307"/>
        <item x="597"/>
        <item x="718"/>
        <item x="773"/>
        <item x="559"/>
        <item x="864"/>
        <item x="572"/>
        <item x="180"/>
        <item x="220"/>
        <item x="940"/>
        <item x="827"/>
        <item x="132"/>
        <item x="174"/>
        <item x="17"/>
        <item x="570"/>
        <item x="571"/>
        <item x="261"/>
        <item x="37"/>
        <item x="85"/>
        <item x="660"/>
        <item x="97"/>
        <item x="326"/>
        <item x="178"/>
        <item x="893"/>
        <item x="147"/>
        <item x="54"/>
        <item x="816"/>
        <item x="295"/>
        <item x="222"/>
        <item x="219"/>
        <item x="583"/>
        <item x="460"/>
        <item x="401"/>
        <item x="136"/>
        <item x="272"/>
        <item x="305"/>
        <item x="476"/>
        <item x="483"/>
        <item x="9"/>
        <item x="662"/>
        <item x="84"/>
        <item x="622"/>
        <item x="532"/>
        <item x="782"/>
        <item x="384"/>
        <item x="731"/>
        <item x="685"/>
        <item x="511"/>
        <item x="176"/>
        <item x="623"/>
        <item x="580"/>
        <item x="412"/>
        <item x="983"/>
        <item x="5"/>
        <item x="216"/>
        <item x="503"/>
        <item x="653"/>
        <item x="710"/>
        <item x="992"/>
        <item x="712"/>
        <item x="652"/>
        <item x="38"/>
        <item x="119"/>
        <item x="554"/>
        <item x="126"/>
        <item x="388"/>
        <item x="415"/>
        <item x="150"/>
        <item x="885"/>
        <item x="325"/>
        <item x="742"/>
        <item x="777"/>
        <item x="155"/>
        <item x="347"/>
        <item x="917"/>
        <item x="650"/>
        <item x="542"/>
        <item x="499"/>
        <item x="145"/>
        <item x="99"/>
        <item x="137"/>
        <item x="876"/>
        <item x="90"/>
        <item x="948"/>
        <item x="974"/>
        <item x="390"/>
        <item x="7"/>
        <item x="682"/>
        <item x="619"/>
        <item x="700"/>
        <item x="612"/>
        <item x="601"/>
        <item x="376"/>
        <item x="496"/>
        <item x="187"/>
        <item x="508"/>
        <item x="206"/>
        <item x="70"/>
        <item x="214"/>
        <item x="812"/>
        <item x="109"/>
        <item x="519"/>
        <item x="95"/>
        <item x="589"/>
        <item x="924"/>
        <item x="969"/>
        <item x="902"/>
        <item x="596"/>
        <item x="910"/>
        <item x="631"/>
        <item x="202"/>
        <item x="717"/>
        <item x="313"/>
        <item x="324"/>
        <item x="804"/>
        <item x="359"/>
        <item x="862"/>
        <item x="442"/>
        <item x="344"/>
        <item x="995"/>
        <item x="114"/>
        <item x="80"/>
        <item x="680"/>
        <item x="111"/>
        <item x="201"/>
        <item x="323"/>
        <item x="381"/>
        <item x="659"/>
        <item x="269"/>
        <item x="227"/>
        <item x="898"/>
        <item x="254"/>
        <item x="832"/>
        <item x="120"/>
        <item x="294"/>
        <item x="935"/>
        <item x="105"/>
        <item x="530"/>
        <item x="399"/>
        <item x="675"/>
        <item x="407"/>
        <item x="997"/>
        <item x="839"/>
        <item x="669"/>
        <item x="403"/>
        <item x="489"/>
        <item x="87"/>
        <item x="419"/>
        <item x="421"/>
        <item x="319"/>
        <item x="551"/>
        <item x="553"/>
        <item x="65"/>
        <item x="225"/>
        <item x="122"/>
        <item x="248"/>
        <item x="300"/>
        <item x="870"/>
        <item x="241"/>
        <item x="449"/>
        <item x="719"/>
        <item x="414"/>
        <item x="676"/>
        <item x="973"/>
        <item x="735"/>
        <item x="846"/>
        <item x="226"/>
        <item x="824"/>
        <item x="39"/>
        <item x="562"/>
        <item x="664"/>
        <item x="584"/>
        <item x="849"/>
        <item x="776"/>
        <item x="464"/>
        <item x="651"/>
        <item x="405"/>
        <item x="447"/>
        <item x="203"/>
        <item x="686"/>
        <item x="123"/>
        <item x="291"/>
        <item x="813"/>
        <item x="302"/>
        <item x="192"/>
        <item x="621"/>
        <item x="922"/>
        <item x="173"/>
        <item x="609"/>
        <item x="990"/>
        <item x="991"/>
        <item x="96"/>
        <item x="89"/>
        <item x="524"/>
        <item x="348"/>
        <item x="346"/>
        <item x="370"/>
        <item x="440"/>
        <item x="320"/>
        <item x="257"/>
        <item x="367"/>
        <item x="815"/>
        <item x="632"/>
        <item x="448"/>
        <item x="533"/>
        <item x="309"/>
        <item x="418"/>
        <item x="194"/>
        <item x="730"/>
        <item x="610"/>
        <item x="18"/>
        <item x="888"/>
        <item x="965"/>
        <item x="67"/>
        <item x="287"/>
        <item x="465"/>
        <item x="196"/>
        <item x="654"/>
        <item x="52"/>
        <item x="46"/>
        <item x="260"/>
        <item x="605"/>
        <item x="77"/>
        <item x="793"/>
        <item x="21"/>
        <item x="968"/>
        <item x="78"/>
        <item x="474"/>
        <item x="867"/>
        <item x="811"/>
        <item x="547"/>
        <item x="130"/>
        <item x="479"/>
        <item x="4"/>
        <item x="845"/>
        <item x="874"/>
        <item x="343"/>
        <item x="576"/>
        <item x="806"/>
        <item x="689"/>
        <item x="231"/>
        <item x="796"/>
        <item x="909"/>
        <item x="537"/>
        <item x="895"/>
        <item x="740"/>
        <item x="453"/>
        <item x="552"/>
        <item x="76"/>
        <item x="578"/>
        <item x="666"/>
        <item x="663"/>
        <item x="13"/>
        <item x="434"/>
        <item x="915"/>
        <item x="714"/>
        <item x="64"/>
        <item x="212"/>
        <item x="743"/>
        <item x="837"/>
        <item x="943"/>
        <item x="959"/>
        <item x="899"/>
        <item x="101"/>
        <item x="170"/>
        <item x="263"/>
        <item x="637"/>
        <item x="569"/>
        <item x="972"/>
        <item x="772"/>
        <item x="550"/>
        <item x="842"/>
        <item x="513"/>
        <item x="854"/>
        <item x="945"/>
        <item x="716"/>
        <item x="481"/>
        <item x="582"/>
        <item x="217"/>
        <item x="795"/>
        <item x="635"/>
        <item x="549"/>
        <item x="454"/>
        <item x="142"/>
        <item x="66"/>
        <item x="518"/>
        <item x="509"/>
        <item x="335"/>
        <item x="629"/>
        <item x="452"/>
        <item x="422"/>
        <item x="527"/>
        <item x="548"/>
        <item x="116"/>
        <item x="691"/>
        <item x="179"/>
        <item x="557"/>
        <item x="645"/>
        <item x="590"/>
        <item x="498"/>
        <item x="626"/>
        <item x="118"/>
        <item x="83"/>
        <item x="437"/>
        <item x="368"/>
        <item x="133"/>
        <item x="930"/>
        <item x="850"/>
        <item x="628"/>
        <item x="286"/>
        <item x="634"/>
        <item x="23"/>
        <item x="400"/>
        <item x="829"/>
        <item x="366"/>
        <item x="512"/>
        <item x="213"/>
        <item x="117"/>
        <item x="840"/>
        <item x="869"/>
        <item x="45"/>
        <item x="615"/>
        <item x="383"/>
        <item x="230"/>
        <item x="667"/>
        <item x="355"/>
        <item x="247"/>
        <item x="529"/>
        <item x="193"/>
        <item x="831"/>
        <item x="800"/>
        <item x="835"/>
        <item x="528"/>
        <item x="525"/>
        <item x="438"/>
        <item x="694"/>
        <item x="560"/>
        <item x="466"/>
        <item x="356"/>
        <item x="185"/>
        <item x="871"/>
        <item x="505"/>
        <item x="246"/>
        <item x="354"/>
        <item x="790"/>
        <item x="379"/>
        <item x="925"/>
        <item x="889"/>
        <item x="316"/>
        <item x="36"/>
        <item x="825"/>
        <item x="71"/>
        <item x="292"/>
        <item x="166"/>
        <item x="928"/>
        <item x="156"/>
        <item x="395"/>
        <item x="48"/>
        <item x="33"/>
        <item x="567"/>
        <item x="858"/>
        <item x="245"/>
        <item x="727"/>
        <item x="165"/>
        <item x="741"/>
        <item x="711"/>
        <item x="618"/>
        <item x="768"/>
        <item x="599"/>
        <item x="963"/>
        <item x="728"/>
        <item x="303"/>
        <item x="457"/>
        <item x="748"/>
        <item x="138"/>
        <item x="646"/>
        <item x="199"/>
        <item x="602"/>
        <item x="892"/>
        <item x="661"/>
        <item x="913"/>
        <item x="315"/>
        <item x="271"/>
        <item x="426"/>
        <item x="473"/>
        <item x="828"/>
        <item x="239"/>
        <item x="905"/>
        <item x="961"/>
        <item x="102"/>
        <item x="311"/>
        <item t="default"/>
      </items>
    </pivotField>
    <pivotField compact="0" showAll="0">
      <items count="996">
        <item x="48"/>
        <item x="653"/>
        <item x="497"/>
        <item x="903"/>
        <item x="895"/>
        <item x="245"/>
        <item x="683"/>
        <item x="634"/>
        <item x="415"/>
        <item x="511"/>
        <item x="414"/>
        <item x="614"/>
        <item x="263"/>
        <item x="922"/>
        <item x="900"/>
        <item x="860"/>
        <item x="321"/>
        <item x="113"/>
        <item x="547"/>
        <item x="400"/>
        <item x="344"/>
        <item x="943"/>
        <item x="526"/>
        <item x="482"/>
        <item x="507"/>
        <item x="372"/>
        <item x="711"/>
        <item x="334"/>
        <item x="128"/>
        <item x="963"/>
        <item x="849"/>
        <item x="881"/>
        <item x="590"/>
        <item x="63"/>
        <item x="365"/>
        <item x="178"/>
        <item x="778"/>
        <item x="19"/>
        <item x="40"/>
        <item x="879"/>
        <item x="398"/>
        <item x="43"/>
        <item x="701"/>
        <item x="296"/>
        <item x="305"/>
        <item x="64"/>
        <item x="630"/>
        <item x="947"/>
        <item x="602"/>
        <item x="961"/>
        <item x="626"/>
        <item x="932"/>
        <item x="103"/>
        <item x="558"/>
        <item x="330"/>
        <item x="462"/>
        <item x="485"/>
        <item x="456"/>
        <item x="813"/>
        <item x="307"/>
        <item x="689"/>
        <item x="955"/>
        <item x="585"/>
        <item x="882"/>
        <item x="623"/>
        <item x="812"/>
        <item x="51"/>
        <item x="270"/>
        <item x="865"/>
        <item x="248"/>
        <item x="125"/>
        <item x="639"/>
        <item x="210"/>
        <item x="962"/>
        <item x="975"/>
        <item x="520"/>
        <item x="474"/>
        <item x="719"/>
        <item x="145"/>
        <item x="733"/>
        <item x="240"/>
        <item x="735"/>
        <item x="155"/>
        <item x="986"/>
        <item x="16"/>
        <item x="885"/>
        <item x="227"/>
        <item x="203"/>
        <item x="887"/>
        <item x="358"/>
        <item x="120"/>
        <item x="315"/>
        <item x="910"/>
        <item x="800"/>
        <item x="914"/>
        <item x="179"/>
        <item x="619"/>
        <item x="624"/>
        <item x="459"/>
        <item x="714"/>
        <item x="656"/>
        <item x="690"/>
        <item x="85"/>
        <item x="24"/>
        <item x="479"/>
        <item x="488"/>
        <item x="575"/>
        <item x="960"/>
        <item x="340"/>
        <item x="199"/>
        <item x="223"/>
        <item x="254"/>
        <item x="799"/>
        <item x="28"/>
        <item x="105"/>
        <item x="981"/>
        <item x="536"/>
        <item x="135"/>
        <item x="71"/>
        <item x="591"/>
        <item x="408"/>
        <item x="322"/>
        <item x="555"/>
        <item x="756"/>
        <item x="11"/>
        <item x="953"/>
        <item x="353"/>
        <item x="134"/>
        <item x="320"/>
        <item x="811"/>
        <item x="909"/>
        <item x="698"/>
        <item x="779"/>
        <item x="563"/>
        <item x="317"/>
        <item x="525"/>
        <item x="911"/>
        <item x="152"/>
        <item x="278"/>
        <item x="675"/>
        <item x="375"/>
        <item x="349"/>
        <item x="423"/>
        <item x="441"/>
        <item x="692"/>
        <item x="518"/>
        <item x="282"/>
        <item x="754"/>
        <item x="420"/>
        <item x="23"/>
        <item x="294"/>
        <item x="545"/>
        <item x="230"/>
        <item x="298"/>
        <item x="850"/>
        <item x="610"/>
        <item x="65"/>
        <item x="133"/>
        <item x="117"/>
        <item x="449"/>
        <item x="872"/>
        <item x="743"/>
        <item x="554"/>
        <item x="521"/>
        <item x="693"/>
        <item x="886"/>
        <item x="183"/>
        <item x="728"/>
        <item x="445"/>
        <item x="355"/>
        <item x="581"/>
        <item x="613"/>
        <item x="596"/>
        <item x="318"/>
        <item x="430"/>
        <item x="969"/>
        <item x="695"/>
        <item x="803"/>
        <item x="300"/>
        <item x="392"/>
        <item x="243"/>
        <item x="740"/>
        <item x="226"/>
        <item x="972"/>
        <item x="877"/>
        <item x="713"/>
        <item x="173"/>
        <item x="280"/>
        <item x="655"/>
        <item x="262"/>
        <item x="867"/>
        <item x="371"/>
        <item x="588"/>
        <item x="292"/>
        <item x="188"/>
        <item x="140"/>
        <item x="104"/>
        <item x="212"/>
        <item x="668"/>
        <item x="505"/>
        <item x="730"/>
        <item x="598"/>
        <item x="108"/>
        <item x="312"/>
        <item x="729"/>
        <item x="722"/>
        <item x="830"/>
        <item x="82"/>
        <item x="699"/>
        <item x="324"/>
        <item x="546"/>
        <item x="198"/>
        <item x="983"/>
        <item x="332"/>
        <item x="848"/>
        <item x="802"/>
        <item x="413"/>
        <item x="789"/>
        <item x="611"/>
        <item x="170"/>
        <item x="424"/>
        <item x="473"/>
        <item x="845"/>
        <item x="959"/>
        <item x="15"/>
        <item x="543"/>
        <item x="66"/>
        <item x="978"/>
        <item x="816"/>
        <item x="17"/>
        <item x="88"/>
        <item x="107"/>
        <item x="535"/>
        <item x="964"/>
        <item x="385"/>
        <item x="494"/>
        <item x="992"/>
        <item x="764"/>
        <item x="508"/>
        <item x="777"/>
        <item x="493"/>
        <item x="644"/>
        <item x="706"/>
        <item x="691"/>
        <item x="966"/>
        <item x="977"/>
        <item x="924"/>
        <item x="717"/>
        <item x="478"/>
        <item x="14"/>
        <item x="612"/>
        <item x="339"/>
        <item x="640"/>
        <item x="674"/>
        <item x="185"/>
        <item x="994"/>
        <item x="833"/>
        <item x="817"/>
        <item x="252"/>
        <item x="534"/>
        <item x="616"/>
        <item x="177"/>
        <item x="442"/>
        <item x="599"/>
        <item x="750"/>
        <item x="327"/>
        <item x="687"/>
        <item x="927"/>
        <item x="114"/>
        <item x="47"/>
        <item x="5"/>
        <item x="77"/>
        <item x="455"/>
        <item x="985"/>
        <item x="923"/>
        <item x="410"/>
        <item x="87"/>
        <item x="67"/>
        <item x="702"/>
        <item x="411"/>
        <item x="395"/>
        <item x="609"/>
        <item x="705"/>
        <item x="495"/>
        <item x="30"/>
        <item x="257"/>
        <item x="377"/>
        <item x="950"/>
        <item x="965"/>
        <item x="957"/>
        <item x="825"/>
        <item x="551"/>
        <item x="838"/>
        <item x="700"/>
        <item x="753"/>
        <item x="921"/>
        <item x="460"/>
        <item x="25"/>
        <item x="571"/>
        <item x="504"/>
        <item x="351"/>
        <item x="208"/>
        <item x="126"/>
        <item x="553"/>
        <item x="1"/>
        <item x="236"/>
        <item x="2"/>
        <item x="75"/>
        <item x="290"/>
        <item x="709"/>
        <item x="439"/>
        <item x="0"/>
        <item x="418"/>
        <item x="594"/>
        <item x="906"/>
        <item x="216"/>
        <item x="467"/>
        <item x="902"/>
        <item x="246"/>
        <item x="489"/>
        <item x="600"/>
        <item x="542"/>
        <item x="57"/>
        <item x="642"/>
        <item x="941"/>
        <item x="106"/>
        <item x="436"/>
        <item x="798"/>
        <item x="384"/>
        <item x="659"/>
        <item x="786"/>
        <item x="272"/>
        <item x="266"/>
        <item x="176"/>
        <item x="517"/>
        <item x="513"/>
        <item x="333"/>
        <item x="788"/>
        <item x="550"/>
        <item x="39"/>
        <item x="90"/>
        <item x="127"/>
        <item x="454"/>
        <item x="401"/>
        <item x="81"/>
        <item x="832"/>
        <item x="528"/>
        <item x="883"/>
        <item x="529"/>
        <item x="744"/>
        <item x="681"/>
        <item x="55"/>
        <item x="335"/>
        <item x="745"/>
        <item x="233"/>
        <item x="403"/>
        <item x="501"/>
        <item x="234"/>
        <item x="258"/>
        <item x="805"/>
        <item x="10"/>
        <item x="308"/>
        <item x="515"/>
        <item x="484"/>
        <item x="34"/>
        <item x="574"/>
        <item x="807"/>
        <item x="13"/>
        <item x="451"/>
        <item x="533"/>
        <item x="888"/>
        <item x="277"/>
        <item x="98"/>
        <item x="222"/>
        <item x="694"/>
        <item x="620"/>
        <item x="265"/>
        <item x="573"/>
        <item x="387"/>
        <item x="636"/>
        <item x="36"/>
        <item x="6"/>
        <item x="297"/>
        <item x="661"/>
        <item x="815"/>
        <item x="310"/>
        <item x="638"/>
        <item x="875"/>
        <item x="316"/>
        <item x="819"/>
        <item x="537"/>
        <item x="736"/>
        <item x="541"/>
        <item x="787"/>
        <item x="156"/>
        <item x="781"/>
        <item x="453"/>
        <item x="86"/>
        <item x="726"/>
        <item x="993"/>
        <item x="249"/>
        <item x="731"/>
        <item x="622"/>
        <item x="427"/>
        <item x="948"/>
        <item x="606"/>
        <item x="286"/>
        <item x="342"/>
        <item x="407"/>
        <item x="221"/>
        <item x="100"/>
        <item x="59"/>
        <item x="214"/>
        <item x="281"/>
        <item x="783"/>
        <item x="46"/>
        <item x="670"/>
        <item x="79"/>
        <item x="631"/>
        <item x="837"/>
        <item x="899"/>
        <item x="256"/>
        <item x="566"/>
        <item x="664"/>
        <item x="121"/>
        <item x="752"/>
        <item x="416"/>
        <item x="884"/>
        <item x="540"/>
        <item x="241"/>
        <item x="394"/>
        <item x="18"/>
        <item x="137"/>
        <item x="604"/>
        <item x="148"/>
        <item x="27"/>
        <item x="516"/>
        <item x="271"/>
        <item x="9"/>
        <item x="519"/>
        <item x="31"/>
        <item x="814"/>
        <item x="172"/>
        <item x="284"/>
        <item x="204"/>
        <item x="404"/>
        <item x="360"/>
        <item x="366"/>
        <item x="570"/>
        <item x="643"/>
        <item x="149"/>
        <item x="823"/>
        <item x="219"/>
        <item x="132"/>
        <item x="944"/>
        <item x="348"/>
        <item x="274"/>
        <item x="633"/>
        <item x="62"/>
        <item x="232"/>
        <item x="42"/>
        <item x="946"/>
        <item x="136"/>
        <item x="20"/>
        <item x="215"/>
        <item x="269"/>
        <item x="466"/>
        <item x="587"/>
        <item x="412"/>
        <item x="938"/>
        <item x="841"/>
        <item x="229"/>
        <item x="3"/>
        <item x="231"/>
        <item x="417"/>
        <item x="180"/>
        <item x="846"/>
        <item x="158"/>
        <item x="770"/>
        <item x="918"/>
        <item x="652"/>
        <item x="503"/>
        <item x="242"/>
        <item x="448"/>
        <item x="273"/>
        <item x="723"/>
        <item x="559"/>
        <item x="299"/>
        <item x="92"/>
        <item x="487"/>
        <item x="220"/>
        <item x="759"/>
        <item x="556"/>
        <item x="428"/>
        <item x="452"/>
        <item x="363"/>
        <item x="477"/>
        <item x="195"/>
        <item x="746"/>
        <item x="868"/>
        <item x="853"/>
        <item x="716"/>
        <item x="329"/>
        <item x="564"/>
        <item x="806"/>
        <item x="828"/>
        <item x="396"/>
        <item x="917"/>
        <item x="123"/>
        <item x="524"/>
        <item x="926"/>
        <item x="391"/>
        <item x="346"/>
        <item x="749"/>
        <item x="984"/>
        <item x="264"/>
        <item x="874"/>
        <item x="703"/>
        <item x="739"/>
        <item x="677"/>
        <item x="141"/>
        <item x="771"/>
        <item x="897"/>
        <item x="486"/>
        <item x="933"/>
        <item x="255"/>
        <item x="774"/>
        <item x="217"/>
        <item x="119"/>
        <item x="531"/>
        <item x="498"/>
        <item x="112"/>
        <item x="768"/>
        <item x="514"/>
        <item x="52"/>
        <item x="325"/>
        <item x="506"/>
        <item x="12"/>
        <item x="761"/>
        <item x="373"/>
        <item x="878"/>
        <item x="405"/>
        <item x="301"/>
        <item x="679"/>
        <item x="60"/>
        <item x="793"/>
        <item x="549"/>
        <item x="680"/>
        <item x="896"/>
        <item x="378"/>
        <item x="804"/>
        <item x="118"/>
        <item x="870"/>
        <item x="356"/>
        <item x="625"/>
        <item x="228"/>
        <item x="810"/>
        <item x="446"/>
        <item x="124"/>
        <item x="952"/>
        <item x="509"/>
        <item x="150"/>
        <item x="354"/>
        <item x="429"/>
        <item x="569"/>
        <item x="858"/>
        <item x="89"/>
        <item x="94"/>
        <item x="532"/>
        <item x="235"/>
        <item x="492"/>
        <item x="97"/>
        <item x="794"/>
        <item x="873"/>
        <item x="399"/>
        <item x="102"/>
        <item x="949"/>
        <item x="912"/>
        <item x="218"/>
        <item x="250"/>
        <item x="279"/>
        <item x="259"/>
        <item x="627"/>
        <item x="313"/>
        <item x="974"/>
        <item x="171"/>
        <item x="737"/>
        <item x="58"/>
        <item x="657"/>
        <item x="871"/>
        <item x="260"/>
        <item x="942"/>
        <item x="206"/>
        <item x="288"/>
        <item x="345"/>
        <item x="864"/>
        <item x="26"/>
        <item x="287"/>
        <item x="22"/>
        <item x="465"/>
        <item x="111"/>
        <item x="765"/>
        <item x="710"/>
        <item x="295"/>
        <item x="37"/>
        <item x="762"/>
        <item x="144"/>
        <item x="597"/>
        <item x="283"/>
        <item x="772"/>
        <item x="893"/>
        <item x="826"/>
        <item x="671"/>
        <item x="187"/>
        <item x="647"/>
        <item x="763"/>
        <item x="293"/>
        <item x="56"/>
        <item x="432"/>
        <item x="980"/>
        <item x="818"/>
        <item x="936"/>
        <item x="393"/>
        <item x="49"/>
        <item x="143"/>
        <item x="801"/>
        <item x="131"/>
        <item x="898"/>
        <item x="827"/>
        <item x="734"/>
        <item x="357"/>
        <item x="667"/>
        <item x="651"/>
        <item x="979"/>
        <item x="129"/>
        <item x="658"/>
        <item x="697"/>
        <item x="809"/>
        <item x="303"/>
        <item x="890"/>
        <item x="784"/>
        <item x="678"/>
        <item x="982"/>
        <item x="920"/>
        <item x="306"/>
        <item x="181"/>
        <item x="721"/>
        <item x="4"/>
        <item x="958"/>
        <item x="168"/>
        <item x="708"/>
        <item x="648"/>
        <item x="350"/>
        <item x="839"/>
        <item x="409"/>
        <item x="382"/>
        <item x="341"/>
        <item x="641"/>
        <item x="457"/>
        <item x="205"/>
        <item x="919"/>
        <item x="935"/>
        <item x="663"/>
        <item x="41"/>
        <item x="523"/>
        <item x="840"/>
        <item x="361"/>
        <item x="847"/>
        <item x="380"/>
        <item x="908"/>
        <item x="855"/>
        <item x="213"/>
        <item x="421"/>
        <item x="869"/>
        <item x="836"/>
        <item x="196"/>
        <item x="374"/>
        <item x="751"/>
        <item x="712"/>
        <item x="876"/>
        <item x="684"/>
        <item x="632"/>
        <item x="376"/>
        <item x="660"/>
        <item x="931"/>
        <item x="766"/>
        <item x="96"/>
        <item x="790"/>
        <item x="164"/>
        <item x="527"/>
        <item x="843"/>
        <item x="314"/>
        <item x="80"/>
        <item x="192"/>
        <item x="435"/>
        <item x="769"/>
        <item x="364"/>
        <item x="741"/>
        <item x="72"/>
        <item x="146"/>
        <item x="184"/>
        <item x="561"/>
        <item x="548"/>
        <item x="95"/>
        <item x="207"/>
        <item x="291"/>
        <item x="469"/>
        <item x="579"/>
        <item x="757"/>
        <item x="32"/>
        <item x="99"/>
        <item x="929"/>
        <item x="338"/>
        <item x="151"/>
        <item x="916"/>
        <item x="512"/>
        <item x="831"/>
        <item x="464"/>
        <item x="311"/>
        <item x="857"/>
        <item x="463"/>
        <item x="607"/>
        <item x="191"/>
        <item x="53"/>
        <item x="989"/>
        <item x="605"/>
        <item x="934"/>
        <item x="91"/>
        <item x="724"/>
        <item x="760"/>
        <item x="422"/>
        <item x="239"/>
        <item x="159"/>
        <item x="562"/>
        <item x="336"/>
        <item x="792"/>
        <item x="567"/>
        <item x="165"/>
        <item x="592"/>
        <item x="190"/>
        <item x="444"/>
        <item x="225"/>
        <item x="672"/>
        <item x="720"/>
        <item x="905"/>
        <item x="68"/>
        <item x="362"/>
        <item x="450"/>
        <item x="892"/>
        <item x="629"/>
        <item x="685"/>
        <item x="406"/>
        <item x="727"/>
        <item x="209"/>
        <item x="758"/>
        <item x="472"/>
        <item x="862"/>
        <item x="237"/>
        <item x="70"/>
        <item x="45"/>
        <item x="773"/>
        <item x="116"/>
        <item x="122"/>
        <item x="688"/>
        <item x="538"/>
        <item x="383"/>
        <item x="182"/>
        <item x="939"/>
        <item x="33"/>
        <item x="101"/>
        <item x="359"/>
        <item x="499"/>
        <item x="381"/>
        <item x="202"/>
        <item x="608"/>
        <item x="343"/>
        <item x="447"/>
        <item x="646"/>
        <item x="725"/>
        <item x="552"/>
        <item x="76"/>
        <item x="732"/>
        <item x="480"/>
        <item x="863"/>
        <item x="502"/>
        <item x="38"/>
        <item x="268"/>
        <item x="707"/>
        <item x="956"/>
        <item x="842"/>
        <item x="74"/>
        <item x="645"/>
        <item x="138"/>
        <item x="851"/>
        <item x="565"/>
        <item x="434"/>
        <item x="510"/>
        <item x="224"/>
        <item x="253"/>
        <item x="285"/>
        <item x="238"/>
        <item x="578"/>
        <item x="267"/>
        <item x="483"/>
        <item x="476"/>
        <item x="337"/>
        <item x="189"/>
        <item x="142"/>
        <item x="347"/>
        <item x="820"/>
        <item x="21"/>
        <item x="580"/>
        <item x="157"/>
        <item x="991"/>
        <item x="370"/>
        <item x="945"/>
        <item x="715"/>
        <item x="583"/>
        <item x="576"/>
        <item x="201"/>
        <item x="880"/>
        <item x="628"/>
        <item x="669"/>
        <item x="29"/>
        <item x="115"/>
        <item x="475"/>
        <item x="522"/>
        <item x="866"/>
        <item x="388"/>
        <item x="775"/>
        <item x="673"/>
        <item x="970"/>
        <item x="738"/>
        <item x="951"/>
        <item x="78"/>
        <item x="481"/>
        <item x="782"/>
        <item x="61"/>
        <item x="584"/>
        <item x="397"/>
        <item x="162"/>
        <item x="54"/>
        <item x="572"/>
        <item x="73"/>
        <item x="649"/>
        <item x="891"/>
        <item x="973"/>
        <item x="968"/>
        <item x="496"/>
        <item x="326"/>
        <item x="615"/>
        <item x="824"/>
        <item x="186"/>
        <item x="617"/>
        <item x="438"/>
        <item x="601"/>
        <item x="44"/>
        <item x="174"/>
        <item x="139"/>
        <item x="704"/>
        <item x="309"/>
        <item x="852"/>
        <item x="167"/>
        <item x="431"/>
        <item x="544"/>
        <item x="780"/>
        <item x="666"/>
        <item x="582"/>
        <item x="928"/>
        <item x="971"/>
        <item x="603"/>
        <item x="954"/>
        <item x="589"/>
        <item x="83"/>
        <item x="676"/>
        <item x="560"/>
        <item x="915"/>
        <item x="586"/>
        <item x="84"/>
        <item x="637"/>
        <item x="211"/>
        <item x="665"/>
        <item x="861"/>
        <item x="166"/>
        <item x="654"/>
        <item x="593"/>
        <item x="907"/>
        <item x="154"/>
        <item x="386"/>
        <item x="153"/>
        <item x="747"/>
        <item x="767"/>
        <item x="621"/>
        <item x="856"/>
        <item x="491"/>
        <item x="976"/>
        <item x="160"/>
        <item x="539"/>
        <item x="662"/>
        <item x="276"/>
        <item x="35"/>
        <item x="7"/>
        <item x="69"/>
        <item x="889"/>
        <item x="650"/>
        <item x="194"/>
        <item x="328"/>
        <item x="568"/>
        <item x="175"/>
        <item x="368"/>
        <item x="331"/>
        <item x="200"/>
        <item x="169"/>
        <item x="251"/>
        <item x="937"/>
        <item x="426"/>
        <item x="557"/>
        <item x="930"/>
        <item x="302"/>
        <item x="163"/>
        <item x="289"/>
        <item x="854"/>
        <item x="490"/>
        <item x="402"/>
        <item x="844"/>
        <item x="319"/>
        <item x="718"/>
        <item x="530"/>
        <item x="461"/>
        <item x="419"/>
        <item x="913"/>
        <item x="696"/>
        <item x="577"/>
        <item x="682"/>
        <item x="304"/>
        <item x="437"/>
        <item x="244"/>
        <item x="742"/>
        <item x="500"/>
        <item x="261"/>
        <item x="389"/>
        <item x="940"/>
        <item x="161"/>
        <item x="967"/>
        <item x="990"/>
        <item x="130"/>
        <item x="440"/>
        <item x="635"/>
        <item x="822"/>
        <item x="901"/>
        <item x="247"/>
        <item x="859"/>
        <item x="470"/>
        <item x="686"/>
        <item x="785"/>
        <item x="618"/>
        <item x="776"/>
        <item x="458"/>
        <item x="379"/>
        <item x="367"/>
        <item x="796"/>
        <item x="894"/>
        <item x="93"/>
        <item x="988"/>
        <item x="50"/>
        <item x="369"/>
        <item x="987"/>
        <item x="110"/>
        <item x="755"/>
        <item x="147"/>
        <item x="433"/>
        <item x="834"/>
        <item x="425"/>
        <item x="791"/>
        <item x="443"/>
        <item x="468"/>
        <item x="835"/>
        <item x="323"/>
        <item x="352"/>
        <item x="808"/>
        <item x="471"/>
        <item x="925"/>
        <item x="275"/>
        <item x="197"/>
        <item x="904"/>
        <item x="821"/>
        <item x="390"/>
        <item x="193"/>
        <item x="795"/>
        <item x="109"/>
        <item x="8"/>
        <item x="797"/>
        <item x="748"/>
        <item x="829"/>
        <item x="595"/>
        <item t="default"/>
      </items>
    </pivotField>
    <pivotField axis="axisRow" compact="0" showAll="0">
      <items count="6">
        <item x="2"/>
        <item x="4"/>
        <item x="0"/>
        <item x="3"/>
        <item x="1"/>
        <item t="default"/>
      </items>
    </pivotField>
    <pivotField compact="0" showAll="0">
      <items count="17">
        <item x="12"/>
        <item x="8"/>
        <item x="4"/>
        <item x="2"/>
        <item x="5"/>
        <item x="14"/>
        <item x="15"/>
        <item x="6"/>
        <item x="13"/>
        <item x="9"/>
        <item x="3"/>
        <item x="11"/>
        <item x="0"/>
        <item x="1"/>
        <item x="10"/>
        <item x="7"/>
        <item t="default"/>
      </items>
    </pivotField>
    <pivotField compact="0" showAll="0">
      <items count="13">
        <item x="4"/>
        <item x="5"/>
        <item x="7"/>
        <item x="0"/>
        <item x="3"/>
        <item x="10"/>
        <item x="9"/>
        <item x="6"/>
        <item x="11"/>
        <item x="1"/>
        <item x="2"/>
        <item x="8"/>
        <item t="default"/>
      </items>
    </pivotField>
    <pivotField compact="0" showAll="0">
      <items count="1001">
        <item x="604"/>
        <item x="525"/>
        <item x="718"/>
        <item x="887"/>
        <item x="756"/>
        <item x="992"/>
        <item x="387"/>
        <item x="305"/>
        <item x="392"/>
        <item x="774"/>
        <item x="712"/>
        <item x="684"/>
        <item x="353"/>
        <item x="471"/>
        <item x="775"/>
        <item x="884"/>
        <item x="492"/>
        <item x="955"/>
        <item x="894"/>
        <item x="766"/>
        <item x="976"/>
        <item x="582"/>
        <item x="557"/>
        <item x="706"/>
        <item x="47"/>
        <item x="52"/>
        <item x="959"/>
        <item x="584"/>
        <item x="405"/>
        <item x="162"/>
        <item x="876"/>
        <item x="728"/>
        <item x="363"/>
        <item x="374"/>
        <item x="109"/>
        <item x="167"/>
        <item x="495"/>
        <item x="558"/>
        <item x="840"/>
        <item x="271"/>
        <item x="3"/>
        <item x="698"/>
        <item x="608"/>
        <item x="668"/>
        <item x="126"/>
        <item x="928"/>
        <item x="296"/>
        <item x="709"/>
        <item x="639"/>
        <item x="335"/>
        <item x="682"/>
        <item x="617"/>
        <item x="324"/>
        <item x="724"/>
        <item x="30"/>
        <item x="807"/>
        <item x="366"/>
        <item x="247"/>
        <item x="490"/>
        <item x="211"/>
        <item x="240"/>
        <item x="613"/>
        <item x="900"/>
        <item x="885"/>
        <item x="103"/>
        <item x="155"/>
        <item x="156"/>
        <item x="62"/>
        <item x="971"/>
        <item x="785"/>
        <item x="214"/>
        <item x="994"/>
        <item x="741"/>
        <item x="762"/>
        <item x="793"/>
        <item x="56"/>
        <item x="739"/>
        <item x="432"/>
        <item x="422"/>
        <item x="430"/>
        <item x="199"/>
        <item x="710"/>
        <item x="721"/>
        <item x="881"/>
        <item x="38"/>
        <item x="372"/>
        <item x="386"/>
        <item x="267"/>
        <item x="570"/>
        <item x="371"/>
        <item x="818"/>
        <item x="861"/>
        <item x="395"/>
        <item x="6"/>
        <item x="399"/>
        <item x="388"/>
        <item x="560"/>
        <item x="954"/>
        <item x="227"/>
        <item x="923"/>
        <item x="455"/>
        <item x="221"/>
        <item x="278"/>
        <item x="580"/>
        <item x="568"/>
        <item x="996"/>
        <item x="783"/>
        <item x="803"/>
        <item x="217"/>
        <item x="500"/>
        <item x="391"/>
        <item x="74"/>
        <item x="195"/>
        <item x="298"/>
        <item x="273"/>
        <item x="674"/>
        <item x="444"/>
        <item x="893"/>
        <item x="734"/>
        <item x="921"/>
        <item x="627"/>
        <item x="903"/>
        <item x="789"/>
        <item x="390"/>
        <item x="865"/>
        <item x="439"/>
        <item x="185"/>
        <item x="573"/>
        <item x="524"/>
        <item x="272"/>
        <item x="949"/>
        <item x="352"/>
        <item x="173"/>
        <item x="66"/>
        <item x="97"/>
        <item x="318"/>
        <item x="615"/>
        <item x="14"/>
        <item x="79"/>
        <item x="338"/>
        <item x="193"/>
        <item x="810"/>
        <item x="24"/>
        <item x="922"/>
        <item x="87"/>
        <item x="847"/>
        <item x="788"/>
        <item x="192"/>
        <item x="640"/>
        <item x="951"/>
        <item x="239"/>
        <item x="453"/>
        <item x="322"/>
        <item x="290"/>
        <item x="207"/>
        <item x="269"/>
        <item x="61"/>
        <item x="136"/>
        <item x="559"/>
        <item x="92"/>
        <item x="461"/>
        <item x="437"/>
        <item x="845"/>
        <item x="502"/>
        <item x="7"/>
        <item x="159"/>
        <item x="746"/>
        <item x="916"/>
        <item x="660"/>
        <item x="327"/>
        <item x="661"/>
        <item x="855"/>
        <item x="55"/>
        <item x="312"/>
        <item x="144"/>
        <item x="270"/>
        <item x="812"/>
        <item x="187"/>
        <item x="456"/>
        <item x="859"/>
        <item x="400"/>
        <item x="179"/>
        <item x="134"/>
        <item x="251"/>
        <item x="316"/>
        <item x="467"/>
        <item x="866"/>
        <item x="320"/>
        <item x="121"/>
        <item x="636"/>
        <item x="930"/>
        <item x="742"/>
        <item x="434"/>
        <item x="970"/>
        <item x="464"/>
        <item x="737"/>
        <item x="289"/>
        <item x="808"/>
        <item x="917"/>
        <item x="58"/>
        <item x="84"/>
        <item x="991"/>
        <item x="25"/>
        <item x="114"/>
        <item x="315"/>
        <item x="518"/>
        <item x="890"/>
        <item x="534"/>
        <item x="414"/>
        <item x="359"/>
        <item x="703"/>
        <item x="689"/>
        <item x="606"/>
        <item x="929"/>
        <item x="753"/>
        <item x="477"/>
        <item x="22"/>
        <item x="846"/>
        <item x="435"/>
        <item x="65"/>
        <item x="484"/>
        <item x="377"/>
        <item x="482"/>
        <item x="782"/>
        <item x="125"/>
        <item x="54"/>
        <item x="817"/>
        <item x="425"/>
        <item x="761"/>
        <item x="380"/>
        <item x="118"/>
        <item x="569"/>
        <item x="21"/>
        <item x="381"/>
        <item x="282"/>
        <item x="830"/>
        <item x="410"/>
        <item x="591"/>
        <item x="645"/>
        <item x="100"/>
        <item x="770"/>
        <item x="843"/>
        <item x="112"/>
        <item x="787"/>
        <item x="138"/>
        <item x="486"/>
        <item x="262"/>
        <item x="57"/>
        <item x="657"/>
        <item x="286"/>
        <item x="554"/>
        <item x="940"/>
        <item x="966"/>
        <item x="957"/>
        <item x="877"/>
        <item x="496"/>
        <item x="768"/>
        <item x="587"/>
        <item x="602"/>
        <item x="671"/>
        <item x="911"/>
        <item x="70"/>
        <item x="189"/>
        <item x="784"/>
        <item x="463"/>
        <item x="999"/>
        <item x="480"/>
        <item x="579"/>
        <item x="297"/>
        <item x="243"/>
        <item x="732"/>
        <item x="544"/>
        <item x="458"/>
        <item x="104"/>
        <item x="181"/>
        <item x="924"/>
        <item x="981"/>
        <item x="252"/>
        <item x="82"/>
        <item x="73"/>
        <item x="552"/>
        <item x="514"/>
        <item x="700"/>
        <item x="829"/>
        <item x="735"/>
        <item x="605"/>
        <item x="224"/>
        <item x="317"/>
        <item x="541"/>
        <item x="337"/>
        <item x="384"/>
        <item x="925"/>
        <item x="723"/>
        <item x="12"/>
        <item x="28"/>
        <item x="553"/>
        <item x="393"/>
        <item x="81"/>
        <item x="744"/>
        <item x="658"/>
        <item x="69"/>
        <item x="341"/>
        <item x="220"/>
        <item x="715"/>
        <item x="823"/>
        <item x="595"/>
        <item x="446"/>
        <item x="727"/>
        <item x="548"/>
        <item x="293"/>
        <item x="612"/>
        <item x="450"/>
        <item x="442"/>
        <item x="172"/>
        <item x="815"/>
        <item x="310"/>
        <item x="853"/>
        <item x="997"/>
        <item x="204"/>
        <item x="457"/>
        <item x="945"/>
        <item x="149"/>
        <item x="713"/>
        <item x="867"/>
        <item x="132"/>
        <item x="504"/>
        <item x="404"/>
        <item x="498"/>
        <item x="792"/>
        <item x="895"/>
        <item x="494"/>
        <item x="879"/>
        <item x="711"/>
        <item x="620"/>
        <item x="152"/>
        <item x="567"/>
        <item x="111"/>
        <item x="31"/>
        <item x="63"/>
        <item x="869"/>
        <item x="665"/>
        <item x="962"/>
        <item x="913"/>
        <item x="382"/>
        <item x="987"/>
        <item x="757"/>
        <item x="506"/>
        <item x="168"/>
        <item x="129"/>
        <item x="963"/>
        <item x="743"/>
        <item x="519"/>
        <item x="153"/>
        <item x="417"/>
        <item x="137"/>
        <item x="8"/>
        <item x="299"/>
        <item x="816"/>
        <item x="652"/>
        <item x="826"/>
        <item x="88"/>
        <item x="233"/>
        <item x="592"/>
        <item x="166"/>
        <item x="851"/>
        <item x="342"/>
        <item x="745"/>
        <item x="445"/>
        <item x="722"/>
        <item x="844"/>
        <item x="836"/>
        <item x="850"/>
        <item x="638"/>
        <item x="686"/>
        <item x="839"/>
        <item x="685"/>
        <item x="683"/>
        <item x="811"/>
        <item x="421"/>
        <item x="702"/>
        <item x="538"/>
        <item x="29"/>
        <item x="9"/>
        <item x="131"/>
        <item x="896"/>
        <item x="304"/>
        <item x="64"/>
        <item x="708"/>
        <item x="532"/>
        <item x="549"/>
        <item x="964"/>
        <item x="956"/>
        <item x="123"/>
        <item x="556"/>
        <item x="349"/>
        <item x="242"/>
        <item x="203"/>
        <item x="507"/>
        <item x="40"/>
        <item x="222"/>
        <item x="468"/>
        <item x="574"/>
        <item x="50"/>
        <item x="451"/>
        <item x="564"/>
        <item x="937"/>
        <item x="266"/>
        <item x="854"/>
        <item x="986"/>
        <item x="707"/>
        <item x="696"/>
        <item x="295"/>
        <item x="261"/>
        <item x="116"/>
        <item x="730"/>
        <item x="590"/>
        <item x="284"/>
        <item x="874"/>
        <item x="364"/>
        <item x="416"/>
        <item x="60"/>
        <item x="302"/>
        <item x="41"/>
        <item x="975"/>
        <item x="561"/>
        <item x="688"/>
        <item x="972"/>
        <item x="448"/>
        <item x="935"/>
        <item x="27"/>
        <item x="107"/>
        <item x="719"/>
        <item x="462"/>
        <item x="447"/>
        <item x="151"/>
        <item x="264"/>
        <item x="841"/>
        <item x="546"/>
        <item x="184"/>
        <item x="747"/>
        <item x="731"/>
        <item x="926"/>
        <item x="594"/>
        <item x="309"/>
        <item x="995"/>
        <item x="78"/>
        <item x="287"/>
        <item x="102"/>
        <item x="822"/>
        <item x="122"/>
        <item x="258"/>
        <item x="288"/>
        <item x="160"/>
        <item x="101"/>
        <item x="77"/>
        <item x="169"/>
        <item x="918"/>
        <item x="48"/>
        <item x="313"/>
        <item x="944"/>
        <item x="948"/>
        <item x="740"/>
        <item x="135"/>
        <item x="285"/>
        <item x="643"/>
        <item x="328"/>
        <item x="440"/>
        <item x="110"/>
        <item x="254"/>
        <item x="978"/>
        <item x="760"/>
        <item x="259"/>
        <item x="357"/>
        <item x="616"/>
        <item x="888"/>
        <item x="672"/>
        <item x="625"/>
        <item x="750"/>
        <item x="244"/>
        <item x="516"/>
        <item x="33"/>
        <item x="968"/>
        <item x="301"/>
        <item x="280"/>
        <item x="413"/>
        <item x="892"/>
        <item x="804"/>
        <item x="993"/>
        <item x="755"/>
        <item x="150"/>
        <item x="623"/>
        <item x="609"/>
        <item x="476"/>
        <item x="145"/>
        <item x="245"/>
        <item x="418"/>
        <item x="368"/>
        <item x="106"/>
        <item x="883"/>
        <item x="347"/>
        <item x="875"/>
        <item x="42"/>
        <item x="198"/>
        <item x="834"/>
        <item x="654"/>
        <item x="614"/>
        <item x="491"/>
        <item x="571"/>
        <item x="98"/>
        <item x="527"/>
        <item x="630"/>
        <item x="75"/>
        <item x="113"/>
        <item x="977"/>
        <item x="642"/>
        <item x="275"/>
        <item x="488"/>
        <item x="872"/>
        <item x="751"/>
        <item x="882"/>
        <item x="10"/>
        <item x="292"/>
        <item x="748"/>
        <item x="330"/>
        <item x="528"/>
        <item x="39"/>
        <item x="424"/>
        <item x="419"/>
        <item x="329"/>
        <item x="206"/>
        <item x="889"/>
        <item x="990"/>
        <item x="947"/>
        <item x="733"/>
        <item x="909"/>
        <item x="43"/>
        <item x="412"/>
        <item x="566"/>
        <item x="161"/>
        <item x="5"/>
        <item x="294"/>
        <item x="378"/>
        <item x="370"/>
        <item x="99"/>
        <item x="677"/>
        <item x="958"/>
        <item x="835"/>
        <item x="68"/>
        <item x="763"/>
        <item x="321"/>
        <item x="758"/>
        <item x="283"/>
        <item x="479"/>
        <item x="230"/>
        <item x="776"/>
        <item x="984"/>
        <item x="828"/>
        <item x="838"/>
        <item x="177"/>
        <item x="409"/>
        <item x="562"/>
        <item x="260"/>
        <item x="752"/>
        <item x="572"/>
        <item x="943"/>
        <item x="693"/>
        <item x="858"/>
        <item x="701"/>
        <item x="37"/>
        <item x="809"/>
        <item x="596"/>
        <item x="142"/>
        <item x="907"/>
        <item x="157"/>
        <item x="517"/>
        <item x="848"/>
        <item x="598"/>
        <item x="953"/>
        <item x="773"/>
        <item x="469"/>
        <item x="864"/>
        <item x="531"/>
        <item x="512"/>
        <item x="202"/>
        <item x="398"/>
        <item x="659"/>
        <item x="249"/>
        <item x="420"/>
        <item x="449"/>
        <item x="188"/>
        <item x="535"/>
        <item x="729"/>
        <item x="650"/>
        <item x="960"/>
        <item x="291"/>
        <item x="474"/>
        <item x="691"/>
        <item x="832"/>
        <item x="326"/>
        <item x="800"/>
        <item x="212"/>
        <item x="555"/>
        <item x="790"/>
        <item x="176"/>
        <item x="988"/>
        <item x="229"/>
        <item x="255"/>
        <item x="396"/>
        <item x="401"/>
        <item x="35"/>
        <item x="256"/>
        <item x="76"/>
        <item x="663"/>
        <item x="820"/>
        <item x="946"/>
        <item x="667"/>
        <item x="238"/>
        <item x="72"/>
        <item x="86"/>
        <item x="1"/>
        <item x="174"/>
        <item x="717"/>
        <item x="979"/>
        <item x="205"/>
        <item x="791"/>
        <item x="786"/>
        <item x="232"/>
        <item x="351"/>
        <item x="311"/>
        <item x="632"/>
        <item x="837"/>
        <item x="454"/>
        <item x="769"/>
        <item x="624"/>
        <item x="537"/>
        <item x="215"/>
        <item x="360"/>
        <item x="801"/>
        <item x="690"/>
        <item x="669"/>
        <item x="307"/>
        <item x="18"/>
        <item x="279"/>
        <item x="346"/>
        <item x="891"/>
        <item x="32"/>
        <item x="241"/>
        <item x="593"/>
        <item x="575"/>
        <item x="629"/>
        <item x="536"/>
        <item x="662"/>
        <item x="915"/>
        <item x="154"/>
        <item x="34"/>
        <item x="190"/>
        <item x="551"/>
        <item x="499"/>
        <item x="794"/>
        <item x="481"/>
        <item x="51"/>
        <item x="147"/>
        <item x="253"/>
        <item x="423"/>
        <item x="15"/>
        <item x="508"/>
        <item x="656"/>
        <item x="4"/>
        <item x="910"/>
        <item x="483"/>
        <item x="695"/>
        <item x="223"/>
        <item x="231"/>
        <item x="919"/>
        <item x="543"/>
        <item x="670"/>
        <item x="878"/>
        <item x="459"/>
        <item x="547"/>
        <item x="526"/>
        <item x="331"/>
        <item x="646"/>
        <item x="936"/>
        <item x="373"/>
        <item x="509"/>
        <item x="170"/>
        <item x="225"/>
        <item x="799"/>
        <item x="300"/>
        <item x="186"/>
        <item x="666"/>
        <item x="67"/>
        <item x="250"/>
        <item x="403"/>
        <item x="234"/>
        <item x="334"/>
        <item x="389"/>
        <item x="899"/>
        <item x="20"/>
        <item x="610"/>
        <item x="143"/>
        <item x="618"/>
        <item x="158"/>
        <item x="655"/>
        <item x="314"/>
        <item x="200"/>
        <item x="433"/>
        <item x="139"/>
        <item x="849"/>
        <item x="599"/>
        <item x="117"/>
        <item x="367"/>
        <item x="780"/>
        <item x="49"/>
        <item x="641"/>
        <item x="942"/>
        <item x="767"/>
        <item x="237"/>
        <item x="133"/>
        <item x="522"/>
        <item x="540"/>
        <item x="95"/>
        <item x="989"/>
        <item x="17"/>
        <item x="871"/>
        <item x="905"/>
        <item x="634"/>
        <item x="694"/>
        <item x="939"/>
        <item x="164"/>
        <item x="521"/>
        <item x="886"/>
        <item x="460"/>
        <item x="497"/>
        <item x="676"/>
        <item x="576"/>
        <item x="246"/>
        <item x="178"/>
        <item x="934"/>
        <item x="408"/>
        <item x="438"/>
        <item x="274"/>
        <item x="348"/>
        <item x="415"/>
        <item x="343"/>
        <item x="824"/>
        <item x="648"/>
        <item x="209"/>
        <item x="71"/>
        <item x="860"/>
        <item x="795"/>
        <item x="358"/>
        <item x="96"/>
        <item x="985"/>
        <item x="578"/>
        <item x="961"/>
        <item x="431"/>
        <item x="749"/>
        <item x="679"/>
        <item x="720"/>
        <item x="622"/>
        <item x="633"/>
        <item x="965"/>
        <item x="183"/>
        <item x="649"/>
        <item x="2"/>
        <item x="83"/>
        <item x="908"/>
        <item x="361"/>
        <item x="323"/>
        <item x="631"/>
        <item x="369"/>
        <item x="130"/>
        <item x="175"/>
        <item x="725"/>
        <item x="354"/>
        <item x="210"/>
        <item x="586"/>
        <item x="452"/>
        <item x="897"/>
        <item x="898"/>
        <item x="105"/>
        <item x="306"/>
        <item x="692"/>
        <item x="806"/>
        <item x="681"/>
        <item x="675"/>
        <item x="332"/>
        <item x="340"/>
        <item x="182"/>
        <item x="124"/>
        <item x="533"/>
        <item x="91"/>
        <item x="529"/>
        <item x="46"/>
        <item x="856"/>
        <item x="738"/>
        <item x="303"/>
        <item x="128"/>
        <item x="503"/>
        <item x="319"/>
        <item x="119"/>
        <item x="180"/>
        <item x="11"/>
        <item x="406"/>
        <item x="197"/>
        <item x="140"/>
        <item x="93"/>
        <item x="932"/>
        <item x="759"/>
        <item x="603"/>
        <item x="601"/>
        <item x="473"/>
        <item x="472"/>
        <item x="980"/>
        <item x="411"/>
        <item x="933"/>
        <item x="754"/>
        <item x="165"/>
        <item x="407"/>
        <item x="487"/>
        <item x="345"/>
        <item x="441"/>
        <item x="644"/>
        <item x="478"/>
        <item x="394"/>
        <item x="226"/>
        <item x="163"/>
        <item x="443"/>
        <item x="333"/>
        <item x="146"/>
        <item x="530"/>
        <item x="716"/>
        <item x="904"/>
        <item x="611"/>
        <item x="862"/>
        <item x="515"/>
        <item x="148"/>
        <item x="699"/>
        <item x="952"/>
        <item x="219"/>
        <item x="833"/>
        <item x="585"/>
        <item x="857"/>
        <item x="777"/>
        <item x="426"/>
        <item x="356"/>
        <item x="350"/>
        <item x="545"/>
        <item x="998"/>
        <item x="26"/>
        <item x="383"/>
        <item x="651"/>
        <item x="827"/>
        <item x="510"/>
        <item x="436"/>
        <item x="385"/>
        <item x="80"/>
        <item x="397"/>
        <item x="59"/>
        <item x="880"/>
        <item x="914"/>
        <item x="653"/>
        <item x="704"/>
        <item x="550"/>
        <item x="281"/>
        <item x="0"/>
        <item x="813"/>
        <item x="781"/>
        <item x="705"/>
        <item x="523"/>
        <item x="983"/>
        <item x="607"/>
        <item x="821"/>
        <item x="427"/>
        <item x="376"/>
        <item x="779"/>
        <item x="201"/>
        <item x="213"/>
        <item x="577"/>
        <item x="475"/>
        <item x="277"/>
        <item x="974"/>
        <item x="805"/>
        <item x="489"/>
        <item x="621"/>
        <item x="89"/>
        <item x="470"/>
        <item x="950"/>
        <item x="637"/>
        <item x="493"/>
        <item x="235"/>
        <item x="772"/>
        <item x="927"/>
        <item x="583"/>
        <item x="969"/>
        <item x="402"/>
        <item x="973"/>
        <item x="127"/>
        <item x="308"/>
        <item x="726"/>
        <item x="36"/>
        <item x="678"/>
        <item x="513"/>
        <item x="736"/>
        <item x="19"/>
        <item x="588"/>
        <item x="263"/>
        <item x="565"/>
        <item x="967"/>
        <item x="597"/>
        <item x="505"/>
        <item x="276"/>
        <item x="798"/>
        <item x="141"/>
        <item x="863"/>
        <item x="771"/>
        <item x="628"/>
        <item x="796"/>
        <item x="802"/>
        <item x="13"/>
        <item x="325"/>
        <item x="194"/>
        <item x="870"/>
        <item x="268"/>
        <item x="466"/>
        <item x="90"/>
        <item x="44"/>
        <item x="619"/>
        <item x="191"/>
        <item x="941"/>
        <item x="362"/>
        <item x="819"/>
        <item x="600"/>
        <item x="85"/>
        <item x="53"/>
        <item x="375"/>
        <item x="902"/>
        <item x="236"/>
        <item x="697"/>
        <item x="248"/>
        <item x="873"/>
        <item x="45"/>
        <item x="228"/>
        <item x="931"/>
        <item x="379"/>
        <item x="581"/>
        <item x="714"/>
        <item x="901"/>
        <item x="680"/>
        <item x="912"/>
        <item x="120"/>
        <item x="265"/>
        <item x="208"/>
        <item x="868"/>
        <item x="336"/>
        <item x="465"/>
        <item x="339"/>
        <item x="589"/>
        <item x="171"/>
        <item x="825"/>
        <item x="196"/>
        <item x="647"/>
        <item x="365"/>
        <item x="94"/>
        <item x="852"/>
        <item x="938"/>
        <item x="673"/>
        <item x="778"/>
        <item x="814"/>
        <item x="906"/>
        <item x="831"/>
        <item x="520"/>
        <item x="797"/>
        <item x="635"/>
        <item x="428"/>
        <item x="257"/>
        <item x="216"/>
        <item x="542"/>
        <item x="429"/>
        <item x="626"/>
        <item x="664"/>
        <item x="108"/>
        <item x="982"/>
        <item x="511"/>
        <item x="687"/>
        <item x="115"/>
        <item x="920"/>
        <item x="501"/>
        <item x="23"/>
        <item x="16"/>
        <item x="355"/>
        <item x="485"/>
        <item x="842"/>
        <item x="764"/>
        <item x="539"/>
        <item x="765"/>
        <item x="344"/>
        <item x="218"/>
        <item x="563"/>
        <item t="default"/>
      </items>
    </pivotField>
    <pivotField compact="0" showAll="0">
      <items count="904">
        <item x="819"/>
        <item x="255"/>
        <item x="685"/>
        <item x="778"/>
        <item x="1"/>
        <item x="455"/>
        <item x="644"/>
        <item x="859"/>
        <item x="442"/>
        <item x="162"/>
        <item x="353"/>
        <item x="675"/>
        <item x="412"/>
        <item x="32"/>
        <item x="823"/>
        <item x="511"/>
        <item x="822"/>
        <item x="428"/>
        <item x="510"/>
        <item x="573"/>
        <item x="552"/>
        <item x="505"/>
        <item x="349"/>
        <item x="316"/>
        <item x="854"/>
        <item x="93"/>
        <item x="575"/>
        <item x="167"/>
        <item x="144"/>
        <item x="564"/>
        <item x="342"/>
        <item x="508"/>
        <item x="895"/>
        <item x="373"/>
        <item x="35"/>
        <item x="616"/>
        <item x="234"/>
        <item x="654"/>
        <item x="621"/>
        <item x="178"/>
        <item x="228"/>
        <item x="579"/>
        <item x="581"/>
        <item x="768"/>
        <item x="672"/>
        <item x="420"/>
        <item x="699"/>
        <item x="441"/>
        <item x="481"/>
        <item x="90"/>
        <item x="207"/>
        <item x="468"/>
        <item x="480"/>
        <item x="9"/>
        <item x="832"/>
        <item x="518"/>
        <item x="273"/>
        <item x="212"/>
        <item x="302"/>
        <item x="434"/>
        <item x="890"/>
        <item x="603"/>
        <item x="738"/>
        <item x="374"/>
        <item x="334"/>
        <item x="751"/>
        <item x="410"/>
        <item x="253"/>
        <item x="78"/>
        <item x="697"/>
        <item x="362"/>
        <item x="531"/>
        <item x="716"/>
        <item x="868"/>
        <item x="855"/>
        <item x="617"/>
        <item x="477"/>
        <item x="154"/>
        <item x="125"/>
        <item x="718"/>
        <item x="752"/>
        <item x="771"/>
        <item x="368"/>
        <item x="330"/>
        <item x="61"/>
        <item x="281"/>
        <item x="124"/>
        <item x="558"/>
        <item x="0"/>
        <item x="877"/>
        <item x="532"/>
        <item x="235"/>
        <item x="260"/>
        <item x="51"/>
        <item x="230"/>
        <item x="104"/>
        <item x="570"/>
        <item x="387"/>
        <item x="478"/>
        <item x="329"/>
        <item x="237"/>
        <item x="876"/>
        <item x="215"/>
        <item x="888"/>
        <item x="692"/>
        <item x="288"/>
        <item x="402"/>
        <item x="66"/>
        <item x="720"/>
        <item x="307"/>
        <item x="148"/>
        <item x="560"/>
        <item x="656"/>
        <item x="782"/>
        <item x="27"/>
        <item x="123"/>
        <item x="185"/>
        <item x="867"/>
        <item x="241"/>
        <item x="703"/>
        <item x="450"/>
        <item x="809"/>
        <item x="400"/>
        <item x="354"/>
        <item x="391"/>
        <item x="714"/>
        <item x="492"/>
        <item x="853"/>
        <item x="666"/>
        <item x="489"/>
        <item x="335"/>
        <item x="137"/>
        <item x="378"/>
        <item x="586"/>
        <item x="62"/>
        <item x="299"/>
        <item x="18"/>
        <item x="661"/>
        <item x="232"/>
        <item x="12"/>
        <item x="463"/>
        <item x="16"/>
        <item x="624"/>
        <item x="308"/>
        <item x="339"/>
        <item x="430"/>
        <item x="198"/>
        <item x="655"/>
        <item x="796"/>
        <item x="220"/>
        <item x="474"/>
        <item x="271"/>
        <item x="840"/>
        <item x="43"/>
        <item x="571"/>
        <item x="201"/>
        <item x="395"/>
        <item x="47"/>
        <item x="346"/>
        <item x="415"/>
        <item x="648"/>
        <item x="486"/>
        <item x="192"/>
        <item x="873"/>
        <item x="86"/>
        <item x="447"/>
        <item x="118"/>
        <item x="127"/>
        <item x="208"/>
        <item x="52"/>
        <item x="817"/>
        <item x="469"/>
        <item x="225"/>
        <item x="808"/>
        <item x="680"/>
        <item x="602"/>
        <item x="643"/>
        <item x="423"/>
        <item x="491"/>
        <item x="204"/>
        <item x="874"/>
        <item x="140"/>
        <item x="407"/>
        <item x="121"/>
        <item x="731"/>
        <item x="591"/>
        <item x="592"/>
        <item x="263"/>
        <item x="351"/>
        <item x="582"/>
        <item x="248"/>
        <item x="37"/>
        <item x="323"/>
        <item x="176"/>
        <item x="526"/>
        <item x="483"/>
        <item x="550"/>
        <item x="861"/>
        <item x="490"/>
        <item x="887"/>
        <item x="860"/>
        <item x="437"/>
        <item x="23"/>
        <item x="411"/>
        <item x="383"/>
        <item x="39"/>
        <item x="98"/>
        <item x="636"/>
        <item x="214"/>
        <item x="139"/>
        <item x="392"/>
        <item x="542"/>
        <item x="553"/>
        <item x="848"/>
        <item x="783"/>
        <item x="367"/>
        <item x="97"/>
        <item x="896"/>
        <item x="795"/>
        <item x="790"/>
        <item x="609"/>
        <item x="321"/>
        <item x="807"/>
        <item x="122"/>
        <item x="839"/>
        <item x="541"/>
        <item x="25"/>
        <item x="5"/>
        <item x="658"/>
        <item x="451"/>
        <item x="343"/>
        <item x="57"/>
        <item x="494"/>
        <item x="756"/>
        <item x="393"/>
        <item x="345"/>
        <item x="217"/>
        <item x="540"/>
        <item x="812"/>
        <item x="618"/>
        <item x="746"/>
        <item x="320"/>
        <item x="74"/>
        <item x="561"/>
        <item x="233"/>
        <item x="26"/>
        <item x="464"/>
        <item x="424"/>
        <item x="168"/>
        <item x="259"/>
        <item x="627"/>
        <item x="529"/>
        <item x="227"/>
        <item x="740"/>
        <item x="679"/>
        <item x="793"/>
        <item x="19"/>
        <item x="739"/>
        <item x="704"/>
        <item x="728"/>
        <item x="787"/>
        <item x="735"/>
        <item x="236"/>
        <item x="268"/>
        <item x="712"/>
        <item x="138"/>
        <item x="668"/>
        <item x="580"/>
        <item x="556"/>
        <item x="882"/>
        <item x="615"/>
        <item x="405"/>
        <item x="524"/>
        <item x="160"/>
        <item x="698"/>
        <item x="385"/>
        <item x="816"/>
        <item x="10"/>
        <item x="340"/>
        <item x="279"/>
        <item x="585"/>
        <item x="422"/>
        <item x="433"/>
        <item x="794"/>
        <item x="182"/>
        <item x="390"/>
        <item x="344"/>
        <item x="398"/>
        <item x="341"/>
        <item x="470"/>
        <item x="34"/>
        <item x="670"/>
        <item x="641"/>
        <item x="56"/>
        <item x="473"/>
        <item x="629"/>
        <item x="209"/>
        <item x="33"/>
        <item x="258"/>
        <item x="291"/>
        <item x="457"/>
        <item x="562"/>
        <item x="729"/>
        <item x="587"/>
        <item x="827"/>
        <item x="328"/>
        <item x="619"/>
        <item x="538"/>
        <item x="691"/>
        <item x="240"/>
        <item x="891"/>
        <item x="256"/>
        <item x="309"/>
        <item x="870"/>
        <item x="76"/>
        <item x="75"/>
        <item x="744"/>
        <item x="834"/>
        <item x="102"/>
        <item x="889"/>
        <item x="58"/>
        <item x="522"/>
        <item x="332"/>
        <item x="690"/>
        <item x="598"/>
        <item x="789"/>
        <item x="745"/>
        <item x="446"/>
        <item x="360"/>
        <item x="444"/>
        <item x="702"/>
        <item x="244"/>
        <item x="210"/>
        <item x="584"/>
        <item x="527"/>
        <item x="536"/>
        <item x="485"/>
        <item x="171"/>
        <item x="760"/>
        <item x="116"/>
        <item x="83"/>
        <item x="681"/>
        <item x="754"/>
        <item x="461"/>
        <item x="533"/>
        <item x="770"/>
        <item x="610"/>
        <item x="893"/>
        <item x="568"/>
        <item x="250"/>
        <item x="883"/>
        <item x="11"/>
        <item x="820"/>
        <item x="543"/>
        <item x="322"/>
        <item x="229"/>
        <item x="856"/>
        <item x="252"/>
        <item x="136"/>
        <item x="849"/>
        <item x="628"/>
        <item x="243"/>
        <item x="63"/>
        <item x="747"/>
        <item x="427"/>
        <item x="567"/>
        <item x="779"/>
        <item x="199"/>
        <item x="837"/>
        <item x="196"/>
        <item x="129"/>
        <item x="438"/>
        <item x="317"/>
        <item x="663"/>
        <item x="8"/>
        <item x="3"/>
        <item x="28"/>
        <item x="403"/>
        <item x="293"/>
        <item x="408"/>
        <item x="544"/>
        <item x="521"/>
        <item x="682"/>
        <item x="224"/>
        <item x="640"/>
        <item x="152"/>
        <item x="265"/>
        <item x="142"/>
        <item x="631"/>
        <item x="380"/>
        <item x="642"/>
        <item x="899"/>
        <item x="89"/>
        <item x="205"/>
        <item x="669"/>
        <item x="88"/>
        <item x="886"/>
        <item x="722"/>
        <item x="725"/>
        <item x="858"/>
        <item x="630"/>
        <item x="601"/>
        <item x="769"/>
        <item x="158"/>
        <item x="324"/>
        <item x="851"/>
        <item x="326"/>
        <item x="2"/>
        <item x="94"/>
        <item x="404"/>
        <item x="798"/>
        <item x="202"/>
        <item x="80"/>
        <item x="459"/>
        <item x="665"/>
        <item x="239"/>
        <item x="465"/>
        <item x="695"/>
        <item x="72"/>
        <item x="350"/>
        <item x="355"/>
        <item x="266"/>
        <item x="901"/>
        <item x="150"/>
        <item x="815"/>
        <item x="761"/>
        <item x="600"/>
        <item x="164"/>
        <item x="501"/>
        <item x="275"/>
        <item x="384"/>
        <item x="312"/>
        <item x="191"/>
        <item x="806"/>
        <item x="213"/>
        <item x="247"/>
        <item x="792"/>
        <item x="534"/>
        <item x="476"/>
        <item x="742"/>
        <item x="515"/>
        <item x="414"/>
        <item x="21"/>
        <item x="688"/>
        <item x="285"/>
        <item x="449"/>
        <item x="418"/>
        <item x="53"/>
        <item x="454"/>
        <item x="493"/>
        <item x="713"/>
        <item x="700"/>
        <item x="251"/>
        <item x="605"/>
        <item x="419"/>
        <item x="805"/>
        <item x="612"/>
        <item x="130"/>
        <item x="432"/>
        <item x="379"/>
        <item x="810"/>
        <item x="880"/>
        <item x="278"/>
        <item x="717"/>
        <item x="81"/>
        <item x="818"/>
        <item x="736"/>
        <item x="773"/>
        <item x="828"/>
        <item x="608"/>
        <item x="386"/>
        <item x="881"/>
        <item x="146"/>
        <item x="46"/>
        <item x="502"/>
        <item x="289"/>
        <item x="364"/>
        <item x="370"/>
        <item x="180"/>
        <item x="780"/>
        <item x="757"/>
        <item x="254"/>
        <item x="517"/>
        <item x="830"/>
        <item x="471"/>
        <item x="484"/>
        <item x="48"/>
        <item x="183"/>
        <item x="262"/>
        <item x="871"/>
        <item x="719"/>
        <item x="381"/>
        <item x="100"/>
        <item x="847"/>
        <item x="686"/>
        <item x="696"/>
        <item x="417"/>
        <item x="177"/>
        <item x="551"/>
        <item x="435"/>
        <item x="44"/>
        <item x="338"/>
        <item x="758"/>
        <item x="134"/>
        <item x="416"/>
        <item x="366"/>
        <item x="421"/>
        <item x="388"/>
        <item x="31"/>
        <item x="831"/>
        <item x="799"/>
        <item x="284"/>
        <item x="514"/>
        <item x="884"/>
        <item x="17"/>
        <item x="689"/>
        <item x="509"/>
        <item x="109"/>
        <item x="741"/>
        <item x="245"/>
        <item x="45"/>
        <item x="73"/>
        <item x="467"/>
        <item x="786"/>
        <item x="363"/>
        <item x="376"/>
        <item x="276"/>
        <item x="397"/>
        <item x="315"/>
        <item x="333"/>
        <item x="645"/>
        <item x="763"/>
        <item x="647"/>
        <item x="219"/>
        <item x="466"/>
        <item x="249"/>
        <item x="706"/>
        <item x="872"/>
        <item x="613"/>
        <item x="597"/>
        <item x="155"/>
        <item x="372"/>
        <item x="151"/>
        <item x="54"/>
        <item x="297"/>
        <item x="264"/>
        <item x="715"/>
        <item x="878"/>
        <item x="50"/>
        <item x="512"/>
        <item x="95"/>
        <item x="443"/>
        <item x="79"/>
        <item x="298"/>
        <item x="606"/>
        <item x="87"/>
        <item x="193"/>
        <item x="257"/>
        <item x="119"/>
        <item x="347"/>
        <item x="358"/>
        <item x="282"/>
        <item x="165"/>
        <item x="211"/>
        <item x="749"/>
        <item x="784"/>
        <item x="590"/>
        <item x="301"/>
        <item x="188"/>
        <item x="574"/>
        <item x="563"/>
        <item x="172"/>
        <item x="114"/>
        <item x="774"/>
        <item x="40"/>
        <item x="206"/>
        <item x="519"/>
        <item x="759"/>
        <item x="721"/>
        <item x="826"/>
        <item x="365"/>
        <item x="270"/>
        <item x="863"/>
        <item x="732"/>
        <item x="163"/>
        <item x="724"/>
        <item x="766"/>
        <item x="865"/>
        <item x="785"/>
        <item x="426"/>
        <item x="472"/>
        <item x="687"/>
        <item x="730"/>
        <item x="576"/>
        <item x="496"/>
        <item x="106"/>
        <item x="453"/>
        <item x="190"/>
        <item x="238"/>
        <item x="626"/>
        <item x="200"/>
        <item x="222"/>
        <item x="145"/>
        <item x="498"/>
        <item x="833"/>
        <item x="15"/>
        <item x="399"/>
        <item x="625"/>
        <item x="723"/>
        <item x="753"/>
        <item x="394"/>
        <item x="662"/>
        <item x="458"/>
        <item x="475"/>
        <item x="596"/>
        <item x="389"/>
        <item x="195"/>
        <item x="813"/>
        <item x="864"/>
        <item x="413"/>
        <item x="726"/>
        <item x="503"/>
        <item x="776"/>
        <item x="653"/>
        <item x="762"/>
        <item x="310"/>
        <item x="623"/>
        <item x="133"/>
        <item x="504"/>
        <item x="824"/>
        <item x="440"/>
        <item x="82"/>
        <item x="637"/>
        <item x="772"/>
        <item x="359"/>
        <item x="657"/>
        <item x="357"/>
        <item x="113"/>
        <item x="6"/>
        <item x="325"/>
        <item x="286"/>
        <item x="709"/>
        <item x="765"/>
        <item x="179"/>
        <item x="42"/>
        <item x="814"/>
        <item x="622"/>
        <item x="535"/>
        <item x="546"/>
        <item x="107"/>
        <item x="406"/>
        <item x="620"/>
        <item x="101"/>
        <item x="115"/>
        <item x="634"/>
        <item x="857"/>
        <item x="528"/>
        <item x="131"/>
        <item x="331"/>
        <item x="549"/>
        <item x="181"/>
        <item x="650"/>
        <item x="375"/>
        <item x="128"/>
        <item x="554"/>
        <item x="409"/>
        <item x="710"/>
        <item x="482"/>
        <item x="611"/>
        <item x="226"/>
        <item x="126"/>
        <item x="516"/>
        <item x="216"/>
        <item x="29"/>
        <item x="448"/>
        <item x="92"/>
        <item x="701"/>
        <item x="737"/>
        <item x="117"/>
        <item x="20"/>
        <item x="143"/>
        <item x="22"/>
        <item x="274"/>
        <item x="103"/>
        <item x="885"/>
        <item x="269"/>
        <item x="520"/>
        <item x="577"/>
        <item x="674"/>
        <item x="242"/>
        <item x="604"/>
        <item x="231"/>
        <item x="175"/>
        <item x="30"/>
        <item x="295"/>
        <item x="607"/>
        <item x="635"/>
        <item x="377"/>
        <item x="572"/>
        <item x="153"/>
        <item x="36"/>
        <item x="135"/>
        <item x="169"/>
        <item x="108"/>
        <item x="67"/>
        <item x="862"/>
        <item x="588"/>
        <item x="525"/>
        <item x="425"/>
        <item x="678"/>
        <item x="14"/>
        <item x="803"/>
        <item x="804"/>
        <item x="755"/>
        <item x="272"/>
        <item x="791"/>
        <item x="894"/>
        <item x="60"/>
        <item x="189"/>
        <item x="336"/>
        <item x="105"/>
        <item x="711"/>
        <item x="694"/>
        <item x="869"/>
        <item x="547"/>
        <item x="898"/>
        <item x="578"/>
        <item x="638"/>
        <item x="337"/>
        <item x="595"/>
        <item x="727"/>
        <item x="594"/>
        <item x="314"/>
        <item x="676"/>
        <item x="589"/>
        <item x="304"/>
        <item x="825"/>
        <item x="287"/>
        <item x="261"/>
        <item x="548"/>
        <item x="559"/>
        <item x="797"/>
        <item x="599"/>
        <item x="356"/>
        <item x="733"/>
        <item x="352"/>
        <item x="660"/>
        <item x="55"/>
        <item x="632"/>
        <item x="838"/>
        <item x="174"/>
        <item x="327"/>
        <item x="497"/>
        <item x="348"/>
        <item x="149"/>
        <item x="897"/>
        <item x="218"/>
        <item x="197"/>
        <item x="203"/>
        <item x="801"/>
        <item x="371"/>
        <item x="38"/>
        <item x="401"/>
        <item x="24"/>
        <item x="777"/>
        <item x="280"/>
        <item x="843"/>
        <item x="545"/>
        <item x="841"/>
        <item x="361"/>
        <item x="396"/>
        <item x="693"/>
        <item x="120"/>
        <item x="530"/>
        <item x="537"/>
        <item x="767"/>
        <item x="99"/>
        <item x="85"/>
        <item x="836"/>
        <item x="452"/>
        <item x="170"/>
        <item x="845"/>
        <item x="734"/>
        <item x="565"/>
        <item x="318"/>
        <item x="277"/>
        <item x="781"/>
        <item x="70"/>
        <item x="161"/>
        <item x="319"/>
        <item x="221"/>
        <item x="652"/>
        <item x="583"/>
        <item x="147"/>
        <item x="283"/>
        <item x="49"/>
        <item x="821"/>
        <item x="850"/>
        <item x="111"/>
        <item x="743"/>
        <item x="750"/>
        <item x="879"/>
        <item x="775"/>
        <item x="84"/>
        <item x="555"/>
        <item x="677"/>
        <item x="500"/>
        <item x="507"/>
        <item x="811"/>
        <item x="842"/>
        <item x="13"/>
        <item x="68"/>
        <item x="460"/>
        <item x="671"/>
        <item x="639"/>
        <item x="707"/>
        <item x="487"/>
        <item x="683"/>
        <item x="184"/>
        <item x="539"/>
        <item x="246"/>
        <item x="593"/>
        <item x="382"/>
        <item x="4"/>
        <item x="311"/>
        <item x="875"/>
        <item x="788"/>
        <item x="436"/>
        <item x="673"/>
        <item x="429"/>
        <item x="369"/>
        <item x="194"/>
        <item x="684"/>
        <item x="173"/>
        <item x="614"/>
        <item x="456"/>
        <item x="187"/>
        <item x="305"/>
        <item x="800"/>
        <item x="166"/>
        <item x="157"/>
        <item x="313"/>
        <item x="91"/>
        <item x="495"/>
        <item x="141"/>
        <item x="479"/>
        <item x="300"/>
        <item x="705"/>
        <item x="846"/>
        <item x="649"/>
        <item x="488"/>
        <item x="646"/>
        <item x="267"/>
        <item x="96"/>
        <item x="431"/>
        <item x="852"/>
        <item x="523"/>
        <item x="900"/>
        <item x="569"/>
        <item x="866"/>
        <item x="65"/>
        <item x="186"/>
        <item x="71"/>
        <item x="64"/>
        <item x="223"/>
        <item x="159"/>
        <item x="802"/>
        <item x="462"/>
        <item x="294"/>
        <item x="566"/>
        <item x="835"/>
        <item x="664"/>
        <item x="112"/>
        <item x="303"/>
        <item x="306"/>
        <item x="296"/>
        <item x="290"/>
        <item x="633"/>
        <item x="59"/>
        <item x="156"/>
        <item x="77"/>
        <item x="110"/>
        <item x="439"/>
        <item x="7"/>
        <item x="829"/>
        <item x="513"/>
        <item x="292"/>
        <item x="499"/>
        <item x="557"/>
        <item x="506"/>
        <item x="708"/>
        <item x="659"/>
        <item x="69"/>
        <item x="132"/>
        <item x="892"/>
        <item x="764"/>
        <item x="667"/>
        <item x="844"/>
        <item x="748"/>
        <item x="445"/>
        <item x="902"/>
        <item x="41"/>
        <item x="651"/>
        <item t="default"/>
      </items>
    </pivotField>
    <pivotField compact="0" showAll="0">
      <items count="1001">
        <item x="604"/>
        <item x="718"/>
        <item x="525"/>
        <item x="992"/>
        <item x="305"/>
        <item x="582"/>
        <item x="887"/>
        <item x="756"/>
        <item x="928"/>
        <item x="392"/>
        <item x="774"/>
        <item x="162"/>
        <item x="668"/>
        <item x="387"/>
        <item x="296"/>
        <item x="959"/>
        <item x="955"/>
        <item x="712"/>
        <item x="584"/>
        <item x="471"/>
        <item x="876"/>
        <item x="374"/>
        <item x="682"/>
        <item x="684"/>
        <item x="353"/>
        <item x="109"/>
        <item x="47"/>
        <item x="557"/>
        <item x="558"/>
        <item x="492"/>
        <item x="706"/>
        <item x="324"/>
        <item x="894"/>
        <item x="639"/>
        <item x="775"/>
        <item x="617"/>
        <item x="724"/>
        <item x="884"/>
        <item x="335"/>
        <item x="298"/>
        <item x="728"/>
        <item x="30"/>
        <item x="976"/>
        <item x="247"/>
        <item x="766"/>
        <item x="167"/>
        <item x="495"/>
        <item x="271"/>
        <item x="156"/>
        <item x="3"/>
        <item x="227"/>
        <item x="52"/>
        <item x="103"/>
        <item x="793"/>
        <item x="363"/>
        <item x="405"/>
        <item x="741"/>
        <item x="56"/>
        <item x="900"/>
        <item x="490"/>
        <item x="698"/>
        <item x="395"/>
        <item x="807"/>
        <item x="885"/>
        <item x="560"/>
        <item x="79"/>
        <item x="840"/>
        <item x="273"/>
        <item x="126"/>
        <item x="155"/>
        <item x="422"/>
        <item x="608"/>
        <item x="580"/>
        <item x="613"/>
        <item x="818"/>
        <item x="861"/>
        <item x="803"/>
        <item x="709"/>
        <item x="954"/>
        <item x="570"/>
        <item x="371"/>
        <item x="971"/>
        <item x="366"/>
        <item x="388"/>
        <item x="278"/>
        <item x="432"/>
        <item x="6"/>
        <item x="214"/>
        <item x="240"/>
        <item x="7"/>
        <item x="808"/>
        <item x="66"/>
        <item x="689"/>
        <item x="211"/>
        <item x="785"/>
        <item x="430"/>
        <item x="674"/>
        <item x="921"/>
        <item x="267"/>
        <item x="881"/>
        <item x="762"/>
        <item x="159"/>
        <item x="456"/>
        <item x="199"/>
        <item x="372"/>
        <item x="62"/>
        <item x="893"/>
        <item x="951"/>
        <item x="14"/>
        <item x="173"/>
        <item x="518"/>
        <item x="534"/>
        <item x="390"/>
        <item x="810"/>
        <item x="994"/>
        <item x="38"/>
        <item x="999"/>
        <item x="455"/>
        <item x="316"/>
        <item x="903"/>
        <item x="739"/>
        <item x="710"/>
        <item x="217"/>
        <item x="573"/>
        <item x="453"/>
        <item x="399"/>
        <item x="568"/>
        <item x="627"/>
        <item x="87"/>
        <item x="789"/>
        <item x="74"/>
        <item x="734"/>
        <item x="949"/>
        <item x="70"/>
        <item x="221"/>
        <item x="721"/>
        <item x="114"/>
        <item x="386"/>
        <item x="829"/>
        <item x="207"/>
        <item x="923"/>
        <item x="192"/>
        <item x="144"/>
        <item x="700"/>
        <item x="911"/>
        <item x="112"/>
        <item x="97"/>
        <item x="193"/>
        <item x="61"/>
        <item x="187"/>
        <item x="195"/>
        <item x="391"/>
        <item x="272"/>
        <item x="251"/>
        <item x="930"/>
        <item x="711"/>
        <item x="996"/>
        <item x="65"/>
        <item x="500"/>
        <item x="136"/>
        <item x="591"/>
        <item x="783"/>
        <item x="185"/>
        <item x="524"/>
        <item x="315"/>
        <item x="845"/>
        <item x="757"/>
        <item x="865"/>
        <item x="877"/>
        <item x="753"/>
        <item x="289"/>
        <item x="444"/>
        <item x="352"/>
        <item x="439"/>
        <item x="640"/>
        <item x="290"/>
        <item x="480"/>
        <item x="855"/>
        <item x="660"/>
        <item x="269"/>
        <item x="338"/>
        <item x="25"/>
        <item x="991"/>
        <item x="661"/>
        <item x="322"/>
        <item x="437"/>
        <item x="189"/>
        <item x="134"/>
        <item x="929"/>
        <item x="916"/>
        <item x="55"/>
        <item x="462"/>
        <item x="320"/>
        <item x="73"/>
        <item x="922"/>
        <item x="318"/>
        <item x="270"/>
        <item x="846"/>
        <item x="24"/>
        <item x="615"/>
        <item x="986"/>
        <item x="559"/>
        <item x="812"/>
        <item x="84"/>
        <item x="461"/>
        <item x="121"/>
        <item x="569"/>
        <item x="788"/>
        <item x="595"/>
        <item x="761"/>
        <item x="327"/>
        <item x="400"/>
        <item x="514"/>
        <item x="42"/>
        <item x="997"/>
        <item x="286"/>
        <item x="414"/>
        <item x="425"/>
        <item x="135"/>
        <item x="636"/>
        <item x="746"/>
        <item x="359"/>
        <item x="925"/>
        <item x="304"/>
        <item x="21"/>
        <item x="723"/>
        <item x="502"/>
        <item x="782"/>
        <item x="784"/>
        <item x="138"/>
        <item x="69"/>
        <item x="310"/>
        <item x="434"/>
        <item x="924"/>
        <item x="859"/>
        <item x="847"/>
        <item x="830"/>
        <item x="715"/>
        <item x="239"/>
        <item x="742"/>
        <item x="498"/>
        <item x="553"/>
        <item x="671"/>
        <item x="384"/>
        <item x="60"/>
        <item x="337"/>
        <item x="657"/>
        <item x="92"/>
        <item x="890"/>
        <item x="579"/>
        <item x="787"/>
        <item x="707"/>
        <item x="527"/>
        <item x="382"/>
        <item x="179"/>
        <item x="22"/>
        <item x="737"/>
        <item x="132"/>
        <item x="377"/>
        <item x="282"/>
        <item x="435"/>
        <item x="917"/>
        <item x="477"/>
        <item x="506"/>
        <item x="645"/>
        <item x="293"/>
        <item x="602"/>
        <item x="262"/>
        <item x="54"/>
        <item x="963"/>
        <item x="312"/>
        <item x="867"/>
        <item x="866"/>
        <item x="486"/>
        <item x="302"/>
        <item x="243"/>
        <item x="792"/>
        <item x="484"/>
        <item x="152"/>
        <item x="467"/>
        <item x="970"/>
        <item x="519"/>
        <item x="548"/>
        <item x="58"/>
        <item x="686"/>
        <item x="313"/>
        <item x="172"/>
        <item x="220"/>
        <item x="445"/>
        <item x="341"/>
        <item x="957"/>
        <item x="658"/>
        <item x="918"/>
        <item x="464"/>
        <item x="817"/>
        <item x="879"/>
        <item x="937"/>
        <item x="844"/>
        <item x="768"/>
        <item x="118"/>
        <item x="843"/>
        <item x="507"/>
        <item x="732"/>
        <item x="850"/>
        <item x="457"/>
        <item x="31"/>
        <item x="546"/>
        <item x="735"/>
        <item x="81"/>
        <item x="703"/>
        <item x="482"/>
        <item x="447"/>
        <item x="823"/>
        <item x="442"/>
        <item x="494"/>
        <item x="730"/>
        <item x="380"/>
        <item x="722"/>
        <item x="252"/>
        <item x="853"/>
        <item x="744"/>
        <item x="544"/>
        <item x="50"/>
        <item x="702"/>
        <item x="57"/>
        <item x="82"/>
        <item x="463"/>
        <item x="587"/>
        <item x="605"/>
        <item x="620"/>
        <item x="606"/>
        <item x="719"/>
        <item x="125"/>
        <item x="100"/>
        <item x="612"/>
        <item x="574"/>
        <item x="590"/>
        <item x="222"/>
        <item x="160"/>
        <item x="297"/>
        <item x="104"/>
        <item x="169"/>
        <item x="935"/>
        <item x="410"/>
        <item x="349"/>
        <item x="393"/>
        <item x="12"/>
        <item x="995"/>
        <item x="111"/>
        <item x="149"/>
        <item x="266"/>
        <item x="826"/>
        <item x="416"/>
        <item x="685"/>
        <item x="168"/>
        <item x="381"/>
        <item x="895"/>
        <item x="364"/>
        <item x="816"/>
        <item x="839"/>
        <item x="913"/>
        <item x="552"/>
        <item x="713"/>
        <item x="770"/>
        <item x="98"/>
        <item x="122"/>
        <item x="101"/>
        <item x="926"/>
        <item x="166"/>
        <item x="727"/>
        <item x="966"/>
        <item x="554"/>
        <item x="822"/>
        <item x="940"/>
        <item x="328"/>
        <item x="815"/>
        <item x="496"/>
        <item x="623"/>
        <item x="968"/>
        <item x="740"/>
        <item x="755"/>
        <item x="107"/>
        <item x="504"/>
        <item x="869"/>
        <item x="638"/>
        <item x="137"/>
        <item x="665"/>
        <item x="567"/>
        <item x="224"/>
        <item x="450"/>
        <item x="150"/>
        <item x="872"/>
        <item x="203"/>
        <item x="683"/>
        <item x="981"/>
        <item x="541"/>
        <item x="964"/>
        <item x="404"/>
        <item x="153"/>
        <item x="516"/>
        <item x="987"/>
        <item x="113"/>
        <item x="317"/>
        <item x="28"/>
        <item x="184"/>
        <item x="458"/>
        <item x="743"/>
        <item x="625"/>
        <item x="181"/>
        <item x="945"/>
        <item x="854"/>
        <item x="538"/>
        <item x="8"/>
        <item x="446"/>
        <item x="368"/>
        <item x="116"/>
        <item x="811"/>
        <item x="110"/>
        <item x="204"/>
        <item x="233"/>
        <item x="41"/>
        <item x="643"/>
        <item x="528"/>
        <item x="630"/>
        <item x="592"/>
        <item x="280"/>
        <item x="571"/>
        <item x="708"/>
        <item x="29"/>
        <item x="962"/>
        <item x="342"/>
        <item x="975"/>
        <item x="131"/>
        <item x="295"/>
        <item x="564"/>
        <item x="63"/>
        <item x="329"/>
        <item x="688"/>
        <item x="64"/>
        <item x="288"/>
        <item x="888"/>
        <item x="284"/>
        <item x="948"/>
        <item x="874"/>
        <item x="129"/>
        <item x="39"/>
        <item x="977"/>
        <item x="972"/>
        <item x="556"/>
        <item x="275"/>
        <item x="448"/>
        <item x="421"/>
        <item x="956"/>
        <item x="102"/>
        <item x="841"/>
        <item x="198"/>
        <item x="299"/>
        <item x="88"/>
        <item x="254"/>
        <item x="417"/>
        <item x="491"/>
        <item x="261"/>
        <item x="292"/>
        <item x="321"/>
        <item x="851"/>
        <item x="549"/>
        <item x="259"/>
        <item x="561"/>
        <item x="468"/>
        <item x="652"/>
        <item x="123"/>
        <item x="40"/>
        <item x="836"/>
        <item x="594"/>
        <item x="745"/>
        <item x="75"/>
        <item x="283"/>
        <item x="78"/>
        <item x="947"/>
        <item x="244"/>
        <item x="562"/>
        <item x="77"/>
        <item x="9"/>
        <item x="27"/>
        <item x="264"/>
        <item x="242"/>
        <item x="476"/>
        <item x="889"/>
        <item x="993"/>
        <item x="858"/>
        <item x="145"/>
        <item x="418"/>
        <item x="696"/>
        <item x="834"/>
        <item x="750"/>
        <item x="532"/>
        <item x="896"/>
        <item x="285"/>
        <item x="616"/>
        <item x="68"/>
        <item x="451"/>
        <item x="301"/>
        <item x="804"/>
        <item x="206"/>
        <item x="177"/>
        <item x="43"/>
        <item x="440"/>
        <item x="245"/>
        <item x="614"/>
        <item x="413"/>
        <item x="309"/>
        <item x="748"/>
        <item x="151"/>
        <item x="642"/>
        <item x="357"/>
        <item x="48"/>
        <item x="654"/>
        <item x="733"/>
        <item x="572"/>
        <item x="672"/>
        <item x="419"/>
        <item x="758"/>
        <item x="875"/>
        <item x="287"/>
        <item x="230"/>
        <item x="747"/>
        <item x="258"/>
        <item x="609"/>
        <item x="892"/>
        <item x="378"/>
        <item x="978"/>
        <item x="760"/>
        <item x="424"/>
        <item x="370"/>
        <item x="883"/>
        <item x="412"/>
        <item x="10"/>
        <item x="731"/>
        <item x="958"/>
        <item x="469"/>
        <item x="347"/>
        <item x="882"/>
        <item x="944"/>
        <item x="909"/>
        <item x="729"/>
        <item x="37"/>
        <item x="776"/>
        <item x="488"/>
        <item x="409"/>
        <item x="106"/>
        <item x="330"/>
        <item x="176"/>
        <item x="33"/>
        <item x="751"/>
        <item x="763"/>
        <item x="691"/>
        <item x="161"/>
        <item x="598"/>
        <item x="832"/>
        <item x="838"/>
        <item x="835"/>
        <item x="809"/>
        <item x="701"/>
        <item x="990"/>
        <item x="86"/>
        <item x="517"/>
        <item x="677"/>
        <item x="479"/>
        <item x="566"/>
        <item x="5"/>
        <item x="988"/>
        <item x="99"/>
        <item x="943"/>
        <item x="800"/>
        <item x="667"/>
        <item x="190"/>
        <item x="769"/>
        <item x="837"/>
        <item x="828"/>
        <item x="294"/>
        <item x="360"/>
        <item x="624"/>
        <item x="752"/>
        <item x="4"/>
        <item x="449"/>
        <item x="512"/>
        <item x="535"/>
        <item x="848"/>
        <item x="907"/>
        <item x="919"/>
        <item x="537"/>
        <item x="984"/>
        <item x="202"/>
        <item x="420"/>
        <item x="291"/>
        <item x="225"/>
        <item x="142"/>
        <item x="864"/>
        <item x="249"/>
        <item x="15"/>
        <item x="646"/>
        <item x="311"/>
        <item x="256"/>
        <item x="610"/>
        <item x="260"/>
        <item x="693"/>
        <item x="878"/>
        <item x="820"/>
        <item x="596"/>
        <item x="551"/>
        <item x="215"/>
        <item x="543"/>
        <item x="650"/>
        <item x="255"/>
        <item x="474"/>
        <item x="915"/>
        <item x="670"/>
        <item x="157"/>
        <item x="200"/>
        <item x="618"/>
        <item x="801"/>
        <item x="663"/>
        <item x="953"/>
        <item x="773"/>
        <item x="314"/>
        <item x="659"/>
        <item x="398"/>
        <item x="18"/>
        <item x="205"/>
        <item x="35"/>
        <item x="717"/>
        <item x="886"/>
        <item x="154"/>
        <item x="979"/>
        <item x="32"/>
        <item x="632"/>
        <item x="164"/>
        <item x="51"/>
        <item x="960"/>
        <item x="174"/>
        <item x="188"/>
        <item x="72"/>
        <item x="212"/>
        <item x="396"/>
        <item x="76"/>
        <item x="531"/>
        <item x="223"/>
        <item x="229"/>
        <item x="649"/>
        <item x="71"/>
        <item x="323"/>
        <item x="403"/>
        <item x="905"/>
        <item x="655"/>
        <item x="786"/>
        <item x="536"/>
        <item x="238"/>
        <item x="307"/>
        <item x="791"/>
        <item x="555"/>
        <item x="946"/>
        <item x="117"/>
        <item x="593"/>
        <item x="401"/>
        <item x="695"/>
        <item x="942"/>
        <item x="326"/>
        <item x="348"/>
        <item x="629"/>
        <item x="250"/>
        <item x="389"/>
        <item x="454"/>
        <item x="898"/>
        <item x="675"/>
        <item x="690"/>
        <item x="186"/>
        <item x="790"/>
        <item x="178"/>
        <item x="158"/>
        <item x="891"/>
        <item x="351"/>
        <item x="241"/>
        <item x="34"/>
        <item x="780"/>
        <item x="936"/>
        <item x="662"/>
        <item x="794"/>
        <item x="433"/>
        <item x="575"/>
        <item x="720"/>
        <item x="767"/>
        <item x="749"/>
        <item x="300"/>
        <item x="666"/>
        <item x="910"/>
        <item x="334"/>
        <item x="373"/>
        <item x="849"/>
        <item x="1"/>
        <item x="197"/>
        <item x="93"/>
        <item x="232"/>
        <item x="231"/>
        <item x="547"/>
        <item x="234"/>
        <item x="49"/>
        <item x="253"/>
        <item x="648"/>
        <item x="460"/>
        <item x="473"/>
        <item x="130"/>
        <item x="423"/>
        <item x="871"/>
        <item x="105"/>
        <item x="331"/>
        <item x="369"/>
        <item x="481"/>
        <item x="522"/>
        <item x="367"/>
        <item x="133"/>
        <item x="279"/>
        <item x="508"/>
        <item x="799"/>
        <item x="139"/>
        <item x="343"/>
        <item x="576"/>
        <item x="509"/>
        <item x="346"/>
        <item x="669"/>
        <item x="499"/>
        <item x="483"/>
        <item x="20"/>
        <item x="692"/>
        <item x="182"/>
        <item x="478"/>
        <item x="175"/>
        <item x="303"/>
        <item x="411"/>
        <item x="210"/>
        <item x="147"/>
        <item x="656"/>
        <item x="795"/>
        <item x="676"/>
        <item x="128"/>
        <item x="143"/>
        <item x="119"/>
        <item x="306"/>
        <item x="183"/>
        <item x="67"/>
        <item x="209"/>
        <item x="96"/>
        <item x="526"/>
        <item x="459"/>
        <item x="83"/>
        <item x="641"/>
        <item x="452"/>
        <item x="681"/>
        <item x="824"/>
        <item x="533"/>
        <item x="603"/>
        <item x="170"/>
        <item x="759"/>
        <item x="631"/>
        <item x="2"/>
        <item x="934"/>
        <item x="438"/>
        <item x="441"/>
        <item x="985"/>
        <item x="46"/>
        <item x="274"/>
        <item x="237"/>
        <item x="856"/>
        <item x="899"/>
        <item x="521"/>
        <item x="908"/>
        <item x="17"/>
        <item x="694"/>
        <item x="860"/>
        <item x="897"/>
        <item x="540"/>
        <item x="146"/>
        <item x="599"/>
        <item x="578"/>
        <item x="503"/>
        <item x="332"/>
        <item x="246"/>
        <item x="180"/>
        <item x="91"/>
        <item x="497"/>
        <item x="415"/>
        <item x="358"/>
        <item x="961"/>
        <item x="622"/>
        <item x="431"/>
        <item x="634"/>
        <item x="679"/>
        <item x="725"/>
        <item x="989"/>
        <item x="226"/>
        <item x="633"/>
        <item x="95"/>
        <item x="586"/>
        <item x="754"/>
        <item x="939"/>
        <item x="408"/>
        <item x="806"/>
        <item x="738"/>
        <item x="965"/>
        <item x="124"/>
        <item x="11"/>
        <item x="319"/>
        <item x="394"/>
        <item x="530"/>
        <item x="644"/>
        <item x="933"/>
        <item x="361"/>
        <item x="354"/>
        <item x="345"/>
        <item x="340"/>
        <item x="515"/>
        <item x="406"/>
        <item x="904"/>
        <item x="443"/>
        <item x="932"/>
        <item x="148"/>
        <item x="529"/>
        <item x="980"/>
        <item x="140"/>
        <item x="407"/>
        <item x="163"/>
        <item x="862"/>
        <item x="611"/>
        <item x="333"/>
        <item x="601"/>
        <item x="472"/>
        <item x="487"/>
        <item x="165"/>
        <item x="350"/>
        <item x="716"/>
        <item x="777"/>
        <item x="827"/>
        <item x="699"/>
        <item x="998"/>
        <item x="383"/>
        <item x="385"/>
        <item x="545"/>
        <item x="857"/>
        <item x="704"/>
        <item x="356"/>
        <item x="952"/>
        <item x="219"/>
        <item x="585"/>
        <item x="397"/>
        <item x="523"/>
        <item x="880"/>
        <item x="26"/>
        <item x="833"/>
        <item x="426"/>
        <item x="59"/>
        <item x="779"/>
        <item x="281"/>
        <item x="475"/>
        <item x="510"/>
        <item x="821"/>
        <item x="550"/>
        <item x="376"/>
        <item x="781"/>
        <item x="653"/>
        <item x="89"/>
        <item x="705"/>
        <item x="651"/>
        <item x="470"/>
        <item x="436"/>
        <item x="950"/>
        <item x="80"/>
        <item x="983"/>
        <item x="914"/>
        <item x="607"/>
        <item x="974"/>
        <item x="805"/>
        <item x="213"/>
        <item x="0"/>
        <item x="308"/>
        <item x="402"/>
        <item x="427"/>
        <item x="813"/>
        <item x="796"/>
        <item x="588"/>
        <item x="489"/>
        <item x="969"/>
        <item x="967"/>
        <item x="276"/>
        <item x="201"/>
        <item x="277"/>
        <item x="736"/>
        <item x="621"/>
        <item x="772"/>
        <item x="236"/>
        <item x="678"/>
        <item x="325"/>
        <item x="697"/>
        <item x="577"/>
        <item x="973"/>
        <item x="901"/>
        <item x="191"/>
        <item x="771"/>
        <item x="493"/>
        <item x="600"/>
        <item x="927"/>
        <item x="465"/>
        <item x="802"/>
        <item x="263"/>
        <item x="235"/>
        <item x="194"/>
        <item x="466"/>
        <item x="513"/>
        <item x="94"/>
        <item x="726"/>
        <item x="583"/>
        <item x="637"/>
        <item x="565"/>
        <item x="45"/>
        <item x="127"/>
        <item x="870"/>
        <item x="90"/>
        <item x="673"/>
        <item x="931"/>
        <item x="379"/>
        <item x="362"/>
        <item x="19"/>
        <item x="141"/>
        <item x="798"/>
        <item x="863"/>
        <item x="635"/>
        <item x="505"/>
        <item x="597"/>
        <item x="941"/>
        <item x="196"/>
        <item x="912"/>
        <item x="36"/>
        <item x="85"/>
        <item x="228"/>
        <item x="248"/>
        <item x="906"/>
        <item x="831"/>
        <item x="982"/>
        <item x="268"/>
        <item x="687"/>
        <item x="429"/>
        <item x="13"/>
        <item x="626"/>
        <item x="647"/>
        <item x="336"/>
        <item x="819"/>
        <item x="115"/>
        <item x="825"/>
        <item x="542"/>
        <item x="873"/>
        <item x="23"/>
        <item x="501"/>
        <item x="108"/>
        <item x="778"/>
        <item x="44"/>
        <item x="868"/>
        <item x="714"/>
        <item x="628"/>
        <item x="581"/>
        <item x="53"/>
        <item x="520"/>
        <item x="16"/>
        <item x="619"/>
        <item x="375"/>
        <item x="842"/>
        <item x="171"/>
        <item x="208"/>
        <item x="120"/>
        <item x="485"/>
        <item x="257"/>
        <item x="852"/>
        <item x="902"/>
        <item x="265"/>
        <item x="339"/>
        <item x="938"/>
        <item x="664"/>
        <item x="920"/>
        <item x="680"/>
        <item x="589"/>
        <item x="814"/>
        <item x="764"/>
        <item x="365"/>
        <item x="765"/>
        <item x="797"/>
        <item x="511"/>
        <item x="355"/>
        <item x="216"/>
        <item x="428"/>
        <item x="563"/>
        <item x="218"/>
        <item x="539"/>
        <item x="344"/>
        <item t="default"/>
      </items>
    </pivotField>
    <pivotField compact="0" showAll="0">
      <items count="28">
        <item x="25"/>
        <item x="26"/>
        <item x="24"/>
        <item x="21"/>
        <item x="23"/>
        <item x="14"/>
        <item x="22"/>
        <item x="19"/>
        <item x="16"/>
        <item x="5"/>
        <item x="6"/>
        <item x="10"/>
        <item x="20"/>
        <item x="7"/>
        <item x="3"/>
        <item x="1"/>
        <item x="4"/>
        <item x="13"/>
        <item x="2"/>
        <item x="9"/>
        <item x="8"/>
        <item x="17"/>
        <item x="15"/>
        <item x="18"/>
        <item x="12"/>
        <item x="0"/>
        <item x="11"/>
        <item t="default"/>
      </items>
    </pivotField>
    <pivotField compact="0" showAll="0">
      <items count="139">
        <item x="47"/>
        <item x="18"/>
        <item x="31"/>
        <item x="19"/>
        <item x="14"/>
        <item x="3"/>
        <item x="30"/>
        <item x="10"/>
        <item x="20"/>
        <item x="17"/>
        <item x="25"/>
        <item x="9"/>
        <item x="1"/>
        <item x="6"/>
        <item x="11"/>
        <item x="24"/>
        <item x="8"/>
        <item x="7"/>
        <item x="23"/>
        <item x="33"/>
        <item x="13"/>
        <item x="5"/>
        <item x="28"/>
        <item x="16"/>
        <item x="29"/>
        <item x="52"/>
        <item x="72"/>
        <item x="40"/>
        <item x="42"/>
        <item x="55"/>
        <item x="45"/>
        <item x="27"/>
        <item x="34"/>
        <item x="95"/>
        <item x="86"/>
        <item x="35"/>
        <item x="48"/>
        <item x="32"/>
        <item x="68"/>
        <item x="81"/>
        <item x="71"/>
        <item x="73"/>
        <item x="0"/>
        <item x="58"/>
        <item x="15"/>
        <item x="2"/>
        <item x="38"/>
        <item x="4"/>
        <item x="22"/>
        <item x="65"/>
        <item x="62"/>
        <item x="74"/>
        <item x="44"/>
        <item x="12"/>
        <item x="79"/>
        <item x="46"/>
        <item x="80"/>
        <item x="39"/>
        <item x="93"/>
        <item x="21"/>
        <item x="69"/>
        <item x="119"/>
        <item x="131"/>
        <item x="37"/>
        <item x="97"/>
        <item x="103"/>
        <item x="132"/>
        <item x="133"/>
        <item x="54"/>
        <item x="88"/>
        <item x="111"/>
        <item x="127"/>
        <item x="100"/>
        <item x="70"/>
        <item x="115"/>
        <item x="57"/>
        <item x="89"/>
        <item x="94"/>
        <item x="77"/>
        <item x="76"/>
        <item x="63"/>
        <item x="41"/>
        <item x="135"/>
        <item x="85"/>
        <item x="109"/>
        <item x="102"/>
        <item x="60"/>
        <item x="84"/>
        <item x="112"/>
        <item x="75"/>
        <item x="67"/>
        <item x="116"/>
        <item x="101"/>
        <item x="82"/>
        <item x="122"/>
        <item x="61"/>
        <item x="49"/>
        <item x="96"/>
        <item x="134"/>
        <item x="92"/>
        <item x="53"/>
        <item x="114"/>
        <item x="129"/>
        <item x="50"/>
        <item x="43"/>
        <item x="105"/>
        <item x="118"/>
        <item x="36"/>
        <item x="51"/>
        <item x="26"/>
        <item x="99"/>
        <item x="113"/>
        <item x="117"/>
        <item x="121"/>
        <item x="78"/>
        <item x="126"/>
        <item x="110"/>
        <item x="136"/>
        <item x="91"/>
        <item x="123"/>
        <item x="59"/>
        <item x="90"/>
        <item x="124"/>
        <item x="137"/>
        <item x="98"/>
        <item x="130"/>
        <item x="104"/>
        <item x="83"/>
        <item x="108"/>
        <item x="87"/>
        <item x="106"/>
        <item x="125"/>
        <item x="56"/>
        <item x="128"/>
        <item x="64"/>
        <item x="107"/>
        <item x="120"/>
        <item x="66"/>
        <item t="default"/>
      </items>
    </pivotField>
    <pivotField compact="0" showAll="0">
      <items count="438">
        <item x="229"/>
        <item x="237"/>
        <item x="177"/>
        <item x="122"/>
        <item x="94"/>
        <item x="390"/>
        <item x="371"/>
        <item x="71"/>
        <item x="204"/>
        <item x="280"/>
        <item x="257"/>
        <item x="81"/>
        <item x="389"/>
        <item x="206"/>
        <item x="151"/>
        <item x="145"/>
        <item x="132"/>
        <item x="272"/>
        <item x="419"/>
        <item x="34"/>
        <item x="198"/>
        <item x="331"/>
        <item x="418"/>
        <item x="137"/>
        <item x="27"/>
        <item x="75"/>
        <item x="54"/>
        <item x="236"/>
        <item x="391"/>
        <item x="429"/>
        <item x="20"/>
        <item x="114"/>
        <item x="61"/>
        <item x="52"/>
        <item x="279"/>
        <item x="292"/>
        <item x="181"/>
        <item x="273"/>
        <item x="338"/>
        <item x="87"/>
        <item x="265"/>
        <item x="322"/>
        <item x="3"/>
        <item x="283"/>
        <item x="295"/>
        <item x="405"/>
        <item x="121"/>
        <item x="185"/>
        <item x="375"/>
        <item x="32"/>
        <item x="294"/>
        <item x="281"/>
        <item x="86"/>
        <item x="91"/>
        <item x="404"/>
        <item x="363"/>
        <item x="300"/>
        <item x="211"/>
        <item x="425"/>
        <item x="0"/>
        <item x="377"/>
        <item x="231"/>
        <item x="126"/>
        <item x="36"/>
        <item x="337"/>
        <item x="217"/>
        <item x="208"/>
        <item x="76"/>
        <item x="366"/>
        <item x="387"/>
        <item x="228"/>
        <item x="235"/>
        <item x="160"/>
        <item x="7"/>
        <item x="111"/>
        <item x="323"/>
        <item x="38"/>
        <item x="401"/>
        <item x="388"/>
        <item x="298"/>
        <item x="343"/>
        <item x="368"/>
        <item x="373"/>
        <item x="131"/>
        <item x="353"/>
        <item x="367"/>
        <item x="167"/>
        <item x="154"/>
        <item x="287"/>
        <item x="313"/>
        <item x="427"/>
        <item x="342"/>
        <item x="9"/>
        <item x="415"/>
        <item x="416"/>
        <item x="106"/>
        <item x="310"/>
        <item x="39"/>
        <item x="262"/>
        <item x="74"/>
        <item x="345"/>
        <item x="274"/>
        <item x="1"/>
        <item x="422"/>
        <item x="16"/>
        <item x="201"/>
        <item x="47"/>
        <item x="191"/>
        <item x="23"/>
        <item x="159"/>
        <item x="397"/>
        <item x="302"/>
        <item x="220"/>
        <item x="17"/>
        <item x="411"/>
        <item x="209"/>
        <item x="271"/>
        <item x="136"/>
        <item x="149"/>
        <item x="107"/>
        <item x="40"/>
        <item x="370"/>
        <item x="365"/>
        <item x="134"/>
        <item x="285"/>
        <item x="175"/>
        <item x="161"/>
        <item x="213"/>
        <item x="288"/>
        <item x="199"/>
        <item x="351"/>
        <item x="192"/>
        <item x="289"/>
        <item x="44"/>
        <item x="344"/>
        <item x="355"/>
        <item x="359"/>
        <item x="115"/>
        <item x="69"/>
        <item x="50"/>
        <item x="278"/>
        <item x="332"/>
        <item x="8"/>
        <item x="226"/>
        <item x="352"/>
        <item x="68"/>
        <item x="354"/>
        <item x="380"/>
        <item x="56"/>
        <item x="424"/>
        <item x="412"/>
        <item x="267"/>
        <item x="144"/>
        <item x="176"/>
        <item x="218"/>
        <item x="233"/>
        <item x="117"/>
        <item x="319"/>
        <item x="400"/>
        <item x="410"/>
        <item x="197"/>
        <item x="423"/>
        <item x="99"/>
        <item x="152"/>
        <item x="118"/>
        <item x="304"/>
        <item x="243"/>
        <item x="430"/>
        <item x="225"/>
        <item x="90"/>
        <item x="276"/>
        <item x="12"/>
        <item x="53"/>
        <item x="260"/>
        <item x="153"/>
        <item x="143"/>
        <item x="251"/>
        <item x="347"/>
        <item x="249"/>
        <item x="196"/>
        <item x="18"/>
        <item x="67"/>
        <item x="83"/>
        <item x="22"/>
        <item x="193"/>
        <item x="88"/>
        <item x="408"/>
        <item x="105"/>
        <item x="43"/>
        <item x="432"/>
        <item x="78"/>
        <item x="62"/>
        <item x="394"/>
        <item x="269"/>
        <item x="252"/>
        <item x="348"/>
        <item x="24"/>
        <item x="383"/>
        <item x="259"/>
        <item x="2"/>
        <item x="406"/>
        <item x="6"/>
        <item x="240"/>
        <item x="407"/>
        <item x="242"/>
        <item x="49"/>
        <item x="369"/>
        <item x="101"/>
        <item x="328"/>
        <item x="317"/>
        <item x="146"/>
        <item x="202"/>
        <item x="381"/>
        <item x="402"/>
        <item x="135"/>
        <item x="210"/>
        <item x="256"/>
        <item x="299"/>
        <item x="268"/>
        <item x="239"/>
        <item x="104"/>
        <item x="48"/>
        <item x="244"/>
        <item x="428"/>
        <item x="266"/>
        <item x="436"/>
        <item x="336"/>
        <item x="14"/>
        <item x="316"/>
        <item x="41"/>
        <item x="261"/>
        <item x="307"/>
        <item x="158"/>
        <item x="168"/>
        <item x="113"/>
        <item x="311"/>
        <item x="125"/>
        <item x="157"/>
        <item x="139"/>
        <item x="246"/>
        <item x="360"/>
        <item x="4"/>
        <item x="324"/>
        <item x="15"/>
        <item x="248"/>
        <item x="215"/>
        <item x="148"/>
        <item x="297"/>
        <item x="156"/>
        <item x="398"/>
        <item x="361"/>
        <item x="35"/>
        <item x="57"/>
        <item x="97"/>
        <item x="205"/>
        <item x="165"/>
        <item x="96"/>
        <item x="362"/>
        <item x="124"/>
        <item x="21"/>
        <item x="399"/>
        <item x="164"/>
        <item x="207"/>
        <item x="426"/>
        <item x="19"/>
        <item x="169"/>
        <item x="29"/>
        <item x="119"/>
        <item x="309"/>
        <item x="234"/>
        <item x="326"/>
        <item x="409"/>
        <item x="350"/>
        <item x="128"/>
        <item x="216"/>
        <item x="325"/>
        <item x="393"/>
        <item x="379"/>
        <item x="98"/>
        <item x="85"/>
        <item x="378"/>
        <item x="92"/>
        <item x="46"/>
        <item x="103"/>
        <item x="264"/>
        <item x="372"/>
        <item x="374"/>
        <item x="301"/>
        <item x="129"/>
        <item x="305"/>
        <item x="82"/>
        <item x="182"/>
        <item x="263"/>
        <item x="335"/>
        <item x="303"/>
        <item x="120"/>
        <item x="172"/>
        <item x="142"/>
        <item x="37"/>
        <item x="30"/>
        <item x="116"/>
        <item x="170"/>
        <item x="45"/>
        <item x="173"/>
        <item x="382"/>
        <item x="166"/>
        <item x="290"/>
        <item x="356"/>
        <item x="42"/>
        <item x="95"/>
        <item x="286"/>
        <item x="93"/>
        <item x="26"/>
        <item x="321"/>
        <item x="187"/>
        <item x="65"/>
        <item x="5"/>
        <item x="77"/>
        <item x="130"/>
        <item x="258"/>
        <item x="224"/>
        <item x="127"/>
        <item x="329"/>
        <item x="141"/>
        <item x="200"/>
        <item x="171"/>
        <item x="186"/>
        <item x="392"/>
        <item x="270"/>
        <item x="230"/>
        <item x="162"/>
        <item x="282"/>
        <item x="219"/>
        <item x="420"/>
        <item x="334"/>
        <item x="339"/>
        <item x="10"/>
        <item x="58"/>
        <item x="51"/>
        <item x="55"/>
        <item x="11"/>
        <item x="190"/>
        <item x="66"/>
        <item x="222"/>
        <item x="340"/>
        <item x="386"/>
        <item x="188"/>
        <item x="13"/>
        <item x="174"/>
        <item x="413"/>
        <item x="64"/>
        <item x="435"/>
        <item x="112"/>
        <item x="396"/>
        <item x="315"/>
        <item x="108"/>
        <item x="179"/>
        <item x="180"/>
        <item x="79"/>
        <item x="140"/>
        <item x="221"/>
        <item x="110"/>
        <item x="147"/>
        <item x="184"/>
        <item x="385"/>
        <item x="123"/>
        <item x="330"/>
        <item x="133"/>
        <item x="73"/>
        <item x="109"/>
        <item x="212"/>
        <item x="306"/>
        <item x="291"/>
        <item x="102"/>
        <item x="414"/>
        <item x="214"/>
        <item x="308"/>
        <item x="241"/>
        <item x="89"/>
        <item x="434"/>
        <item x="357"/>
        <item x="254"/>
        <item x="150"/>
        <item x="28"/>
        <item x="33"/>
        <item x="314"/>
        <item x="333"/>
        <item x="189"/>
        <item x="25"/>
        <item x="238"/>
        <item x="320"/>
        <item x="277"/>
        <item x="100"/>
        <item x="163"/>
        <item x="227"/>
        <item x="245"/>
        <item x="403"/>
        <item x="296"/>
        <item x="63"/>
        <item x="275"/>
        <item x="312"/>
        <item x="223"/>
        <item x="349"/>
        <item x="358"/>
        <item x="178"/>
        <item x="346"/>
        <item x="293"/>
        <item x="247"/>
        <item x="318"/>
        <item x="433"/>
        <item x="232"/>
        <item x="284"/>
        <item x="194"/>
        <item x="203"/>
        <item x="341"/>
        <item x="31"/>
        <item x="138"/>
        <item x="327"/>
        <item x="421"/>
        <item x="72"/>
        <item x="80"/>
        <item x="84"/>
        <item x="431"/>
        <item x="364"/>
        <item x="59"/>
        <item x="417"/>
        <item x="195"/>
        <item x="183"/>
        <item x="250"/>
        <item x="395"/>
        <item x="60"/>
        <item x="155"/>
        <item x="384"/>
        <item x="255"/>
        <item x="253"/>
        <item x="376"/>
        <item x="70"/>
        <item t="default"/>
      </items>
    </pivotField>
    <pivotField compact="0" showAll="0">
      <items count="955">
        <item x="635"/>
        <item x="664"/>
        <item x="857"/>
        <item x="608"/>
        <item x="435"/>
        <item x="312"/>
        <item x="84"/>
        <item x="36"/>
        <item x="925"/>
        <item x="600"/>
        <item x="719"/>
        <item x="532"/>
        <item x="883"/>
        <item x="637"/>
        <item x="37"/>
        <item x="888"/>
        <item x="878"/>
        <item x="923"/>
        <item x="565"/>
        <item x="79"/>
        <item x="689"/>
        <item x="589"/>
        <item x="255"/>
        <item x="246"/>
        <item x="641"/>
        <item x="922"/>
        <item x="576"/>
        <item x="473"/>
        <item x="356"/>
        <item x="415"/>
        <item x="520"/>
        <item x="767"/>
        <item x="395"/>
        <item x="240"/>
        <item x="362"/>
        <item x="244"/>
        <item x="525"/>
        <item x="908"/>
        <item x="849"/>
        <item x="572"/>
        <item x="879"/>
        <item x="61"/>
        <item x="873"/>
        <item x="926"/>
        <item x="359"/>
        <item x="95"/>
        <item x="624"/>
        <item x="611"/>
        <item x="353"/>
        <item x="372"/>
        <item x="366"/>
        <item x="663"/>
        <item x="401"/>
        <item x="337"/>
        <item x="668"/>
        <item x="499"/>
        <item x="286"/>
        <item x="815"/>
        <item x="414"/>
        <item x="920"/>
        <item x="485"/>
        <item x="254"/>
        <item x="29"/>
        <item x="886"/>
        <item x="336"/>
        <item x="247"/>
        <item x="287"/>
        <item x="919"/>
        <item x="448"/>
        <item x="11"/>
        <item x="706"/>
        <item x="760"/>
        <item x="439"/>
        <item x="112"/>
        <item x="568"/>
        <item x="394"/>
        <item x="672"/>
        <item x="27"/>
        <item x="53"/>
        <item x="597"/>
        <item x="215"/>
        <item x="697"/>
        <item x="317"/>
        <item x="847"/>
        <item x="577"/>
        <item x="301"/>
        <item x="429"/>
        <item x="771"/>
        <item x="601"/>
        <item x="877"/>
        <item x="8"/>
        <item x="613"/>
        <item x="267"/>
        <item x="658"/>
        <item x="186"/>
        <item x="391"/>
        <item x="725"/>
        <item x="425"/>
        <item x="786"/>
        <item x="343"/>
        <item x="661"/>
        <item x="328"/>
        <item x="816"/>
        <item x="237"/>
        <item x="295"/>
        <item x="427"/>
        <item x="241"/>
        <item x="937"/>
        <item x="411"/>
        <item x="551"/>
        <item x="698"/>
        <item x="737"/>
        <item x="321"/>
        <item x="284"/>
        <item x="42"/>
        <item x="5"/>
        <item x="742"/>
        <item x="859"/>
        <item x="553"/>
        <item x="630"/>
        <item x="326"/>
        <item x="523"/>
        <item x="31"/>
        <item x="269"/>
        <item x="116"/>
        <item x="279"/>
        <item x="367"/>
        <item x="509"/>
        <item x="733"/>
        <item x="149"/>
        <item x="16"/>
        <item x="701"/>
        <item x="130"/>
        <item x="863"/>
        <item x="472"/>
        <item x="921"/>
        <item x="351"/>
        <item x="157"/>
        <item x="277"/>
        <item x="161"/>
        <item x="141"/>
        <item x="743"/>
        <item x="466"/>
        <item x="176"/>
        <item x="718"/>
        <item x="306"/>
        <item x="714"/>
        <item x="460"/>
        <item x="606"/>
        <item x="408"/>
        <item x="226"/>
        <item x="276"/>
        <item x="536"/>
        <item x="155"/>
        <item x="89"/>
        <item x="799"/>
        <item x="3"/>
        <item x="727"/>
        <item x="309"/>
        <item x="268"/>
        <item x="458"/>
        <item x="519"/>
        <item x="735"/>
        <item x="633"/>
        <item x="272"/>
        <item x="24"/>
        <item x="835"/>
        <item x="619"/>
        <item x="738"/>
        <item x="171"/>
        <item x="83"/>
        <item x="384"/>
        <item x="363"/>
        <item x="855"/>
        <item x="931"/>
        <item x="350"/>
        <item x="320"/>
        <item x="0"/>
        <item x="432"/>
        <item x="814"/>
        <item x="39"/>
        <item x="526"/>
        <item x="136"/>
        <item x="459"/>
        <item x="14"/>
        <item x="34"/>
        <item x="208"/>
        <item x="214"/>
        <item x="953"/>
        <item x="420"/>
        <item x="617"/>
        <item x="571"/>
        <item x="541"/>
        <item x="150"/>
        <item x="850"/>
        <item x="455"/>
        <item x="86"/>
        <item x="137"/>
        <item x="376"/>
        <item x="44"/>
        <item x="120"/>
        <item x="238"/>
        <item x="781"/>
        <item x="190"/>
        <item x="298"/>
        <item x="670"/>
        <item x="732"/>
        <item x="210"/>
        <item x="77"/>
        <item x="405"/>
        <item x="347"/>
        <item x="840"/>
        <item x="221"/>
        <item x="540"/>
        <item x="135"/>
        <item x="191"/>
        <item x="438"/>
        <item x="933"/>
        <item x="832"/>
        <item x="4"/>
        <item x="812"/>
        <item x="528"/>
        <item x="687"/>
        <item x="876"/>
        <item x="798"/>
        <item x="607"/>
        <item x="413"/>
        <item x="114"/>
        <item x="586"/>
        <item x="626"/>
        <item x="239"/>
        <item x="32"/>
        <item x="443"/>
        <item x="235"/>
        <item x="412"/>
        <item x="747"/>
        <item x="569"/>
        <item x="612"/>
        <item x="776"/>
        <item x="281"/>
        <item x="766"/>
        <item x="98"/>
        <item x="417"/>
        <item x="332"/>
        <item x="262"/>
        <item x="299"/>
        <item x="584"/>
        <item x="400"/>
        <item x="671"/>
        <item x="593"/>
        <item x="175"/>
        <item x="585"/>
        <item x="477"/>
        <item x="711"/>
        <item x="574"/>
        <item x="947"/>
        <item x="354"/>
        <item x="690"/>
        <item x="160"/>
        <item x="702"/>
        <item x="153"/>
        <item x="824"/>
        <item x="259"/>
        <item x="57"/>
        <item x="416"/>
        <item x="188"/>
        <item x="544"/>
        <item x="550"/>
        <item x="199"/>
        <item x="103"/>
        <item x="121"/>
        <item x="451"/>
        <item x="804"/>
        <item x="913"/>
        <item x="898"/>
        <item x="543"/>
        <item x="225"/>
        <item x="158"/>
        <item x="205"/>
        <item x="764"/>
        <item x="446"/>
        <item x="948"/>
        <item x="820"/>
        <item x="229"/>
        <item x="838"/>
        <item x="436"/>
        <item x="292"/>
        <item x="197"/>
        <item x="165"/>
        <item x="615"/>
        <item x="794"/>
        <item x="780"/>
        <item x="891"/>
        <item x="327"/>
        <item x="300"/>
        <item x="778"/>
        <item x="126"/>
        <item x="521"/>
        <item x="502"/>
        <item x="179"/>
        <item x="365"/>
        <item x="651"/>
        <item x="867"/>
        <item x="407"/>
        <item x="603"/>
        <item x="393"/>
        <item x="686"/>
        <item x="788"/>
        <item x="707"/>
        <item x="842"/>
        <item x="659"/>
        <item x="377"/>
        <item x="28"/>
        <item x="881"/>
        <item x="720"/>
        <item x="803"/>
        <item x="156"/>
        <item x="949"/>
        <item x="893"/>
        <item x="943"/>
        <item x="123"/>
        <item x="373"/>
        <item x="23"/>
        <item x="818"/>
        <item x="880"/>
        <item x="209"/>
        <item x="713"/>
        <item x="198"/>
        <item x="45"/>
        <item x="294"/>
        <item x="938"/>
        <item x="418"/>
        <item x="579"/>
        <item x="41"/>
        <item x="884"/>
        <item x="939"/>
        <item x="853"/>
        <item x="598"/>
        <item x="856"/>
        <item x="217"/>
        <item x="144"/>
        <item x="636"/>
        <item x="848"/>
        <item x="58"/>
        <item x="696"/>
        <item x="270"/>
        <item x="368"/>
        <item x="699"/>
        <item x="773"/>
        <item x="200"/>
        <item x="381"/>
        <item x="785"/>
        <item x="839"/>
        <item x="318"/>
        <item x="49"/>
        <item x="132"/>
        <item x="555"/>
        <item x="65"/>
        <item x="236"/>
        <item x="507"/>
        <item x="897"/>
        <item x="505"/>
        <item x="303"/>
        <item x="685"/>
        <item x="467"/>
        <item x="865"/>
        <item x="258"/>
        <item x="864"/>
        <item x="567"/>
        <item x="627"/>
        <item x="96"/>
        <item x="370"/>
        <item x="266"/>
        <item x="378"/>
        <item x="163"/>
        <item x="823"/>
        <item x="379"/>
        <item x="688"/>
        <item x="19"/>
        <item x="899"/>
        <item x="587"/>
        <item x="224"/>
        <item x="125"/>
        <item x="573"/>
        <item x="478"/>
        <item x="232"/>
        <item x="769"/>
        <item x="581"/>
        <item x="476"/>
        <item x="678"/>
        <item x="256"/>
        <item x="74"/>
        <item x="430"/>
        <item x="178"/>
        <item x="216"/>
        <item x="67"/>
        <item x="542"/>
        <item x="75"/>
        <item x="623"/>
        <item x="341"/>
        <item x="827"/>
        <item x="890"/>
        <item x="915"/>
        <item x="55"/>
        <item x="64"/>
        <item x="755"/>
        <item x="784"/>
        <item x="556"/>
        <item x="410"/>
        <item x="563"/>
        <item x="110"/>
        <item x="113"/>
        <item x="518"/>
        <item x="682"/>
        <item x="396"/>
        <item x="181"/>
        <item x="787"/>
        <item x="560"/>
        <item x="807"/>
        <item x="151"/>
        <item x="503"/>
        <item x="490"/>
        <item x="382"/>
        <item x="461"/>
        <item x="349"/>
        <item x="708"/>
        <item x="648"/>
        <item x="822"/>
        <item x="903"/>
        <item x="43"/>
        <item x="527"/>
        <item x="334"/>
        <item x="837"/>
        <item x="35"/>
        <item x="219"/>
        <item x="117"/>
        <item x="809"/>
        <item x="127"/>
        <item x="508"/>
        <item x="901"/>
        <item x="138"/>
        <item x="204"/>
        <item x="516"/>
        <item x="357"/>
        <item x="223"/>
        <item x="534"/>
        <item x="88"/>
        <item x="529"/>
        <item x="273"/>
        <item x="510"/>
        <item x="249"/>
        <item x="650"/>
        <item x="73"/>
        <item x="660"/>
        <item x="723"/>
        <item x="736"/>
        <item x="770"/>
        <item x="2"/>
        <item x="930"/>
        <item x="746"/>
        <item x="450"/>
        <item x="355"/>
        <item x="482"/>
        <item x="167"/>
        <item x="339"/>
        <item x="398"/>
        <item x="85"/>
        <item x="143"/>
        <item x="677"/>
        <item x="324"/>
        <item x="56"/>
        <item x="522"/>
        <item x="264"/>
        <item x="826"/>
        <item x="649"/>
        <item x="48"/>
        <item x="506"/>
        <item x="105"/>
        <item x="722"/>
        <item x="936"/>
        <item x="653"/>
        <item x="220"/>
        <item x="463"/>
        <item x="475"/>
        <item x="825"/>
        <item x="180"/>
        <item x="184"/>
        <item x="841"/>
        <item x="230"/>
        <item x="399"/>
        <item x="380"/>
        <item x="106"/>
        <item x="941"/>
        <item x="610"/>
        <item x="805"/>
        <item x="278"/>
        <item x="679"/>
        <item x="129"/>
        <item x="316"/>
        <item x="201"/>
        <item x="33"/>
        <item x="81"/>
        <item x="340"/>
        <item x="433"/>
        <item x="280"/>
        <item x="693"/>
        <item x="87"/>
        <item x="669"/>
        <item x="712"/>
        <item x="206"/>
        <item x="846"/>
        <item x="360"/>
        <item x="46"/>
        <item x="843"/>
        <item x="801"/>
        <item x="765"/>
        <item x="66"/>
        <item x="731"/>
        <item x="290"/>
        <item x="620"/>
        <item x="422"/>
        <item x="442"/>
        <item x="30"/>
        <item x="491"/>
        <item x="871"/>
        <item x="471"/>
        <item x="101"/>
        <item x="248"/>
        <item x="621"/>
        <item x="192"/>
        <item x="456"/>
        <item x="310"/>
        <item x="479"/>
        <item x="564"/>
        <item x="590"/>
        <item x="72"/>
        <item x="513"/>
        <item x="684"/>
        <item x="330"/>
        <item x="566"/>
        <item x="748"/>
        <item x="348"/>
        <item x="104"/>
        <item x="902"/>
        <item x="483"/>
        <item x="469"/>
        <item x="602"/>
        <item x="885"/>
        <item x="647"/>
        <item x="352"/>
        <item x="614"/>
        <item x="454"/>
        <item x="40"/>
        <item x="695"/>
        <item x="91"/>
        <item x="124"/>
        <item x="580"/>
        <item x="159"/>
        <item x="342"/>
        <item x="50"/>
        <item x="704"/>
        <item x="213"/>
        <item x="164"/>
        <item x="558"/>
        <item x="260"/>
        <item x="387"/>
        <item x="428"/>
        <item x="504"/>
        <item x="667"/>
        <item x="13"/>
        <item x="874"/>
        <item x="754"/>
        <item x="861"/>
        <item x="582"/>
        <item x="371"/>
        <item x="632"/>
        <item x="486"/>
        <item x="441"/>
        <item x="514"/>
        <item x="319"/>
        <item x="950"/>
        <item x="196"/>
        <item x="289"/>
        <item x="481"/>
        <item x="203"/>
        <item x="545"/>
        <item x="243"/>
        <item x="501"/>
        <item x="629"/>
        <item x="609"/>
        <item x="716"/>
        <item x="76"/>
        <item x="444"/>
        <item x="753"/>
        <item x="207"/>
        <item x="654"/>
        <item x="146"/>
        <item x="907"/>
        <item x="404"/>
        <item x="643"/>
        <item x="726"/>
        <item x="358"/>
        <item x="882"/>
        <item x="557"/>
        <item x="426"/>
        <item x="111"/>
        <item x="638"/>
        <item x="233"/>
        <item x="889"/>
        <item x="790"/>
        <item x="715"/>
        <item x="193"/>
        <item x="828"/>
        <item x="680"/>
        <item x="128"/>
        <item x="728"/>
        <item x="759"/>
        <item x="744"/>
        <item x="549"/>
        <item x="6"/>
        <item x="115"/>
        <item x="548"/>
        <item x="335"/>
        <item x="182"/>
        <item x="645"/>
        <item x="918"/>
        <item x="194"/>
        <item x="68"/>
        <item x="168"/>
        <item x="118"/>
        <item x="559"/>
        <item x="333"/>
        <item x="338"/>
        <item x="465"/>
        <item x="18"/>
        <item x="588"/>
        <item x="457"/>
        <item x="942"/>
        <item x="676"/>
        <item x="285"/>
        <item x="779"/>
        <item x="834"/>
        <item x="480"/>
        <item x="634"/>
        <item x="47"/>
        <item x="274"/>
        <item x="858"/>
        <item x="596"/>
        <item x="250"/>
        <item x="932"/>
        <item x="639"/>
        <item x="640"/>
        <item x="946"/>
        <item x="578"/>
        <item x="440"/>
        <item x="802"/>
        <item x="800"/>
        <item x="552"/>
        <item x="271"/>
        <item x="275"/>
        <item x="533"/>
        <item x="852"/>
        <item x="59"/>
        <item x="909"/>
        <item x="325"/>
        <item x="437"/>
        <item x="808"/>
        <item x="594"/>
        <item x="796"/>
        <item x="691"/>
        <item x="500"/>
        <item x="845"/>
        <item x="524"/>
        <item x="592"/>
        <item x="866"/>
        <item x="170"/>
        <item x="189"/>
        <item x="494"/>
        <item x="52"/>
        <item x="92"/>
        <item x="495"/>
        <item x="515"/>
        <item x="497"/>
        <item x="139"/>
        <item x="231"/>
        <item x="25"/>
        <item x="386"/>
        <item x="929"/>
        <item x="60"/>
        <item x="811"/>
        <item x="694"/>
        <item x="692"/>
        <item x="389"/>
        <item x="851"/>
        <item x="900"/>
        <item x="302"/>
        <item x="406"/>
        <item x="195"/>
        <item x="484"/>
        <item x="322"/>
        <item x="530"/>
        <item x="616"/>
        <item x="675"/>
        <item x="927"/>
        <item x="554"/>
        <item x="795"/>
        <item x="252"/>
        <item x="583"/>
        <item x="783"/>
        <item x="369"/>
        <item x="242"/>
        <item x="775"/>
        <item x="517"/>
        <item x="445"/>
        <item x="511"/>
        <item x="173"/>
        <item x="162"/>
        <item x="872"/>
        <item x="142"/>
        <item x="739"/>
        <item x="185"/>
        <item x="133"/>
        <item x="869"/>
        <item x="604"/>
        <item x="307"/>
        <item x="10"/>
        <item x="147"/>
        <item x="323"/>
        <item x="38"/>
        <item x="145"/>
        <item x="952"/>
        <item x="489"/>
        <item x="134"/>
        <item x="917"/>
        <item x="810"/>
        <item x="331"/>
        <item x="344"/>
        <item x="496"/>
        <item x="945"/>
        <item x="546"/>
        <item x="423"/>
        <item x="187"/>
        <item x="906"/>
        <item x="202"/>
        <item x="305"/>
        <item x="94"/>
        <item x="830"/>
        <item x="90"/>
        <item x="222"/>
        <item x="717"/>
        <item x="54"/>
        <item x="539"/>
        <item x="388"/>
        <item x="122"/>
        <item x="935"/>
        <item x="703"/>
        <item x="625"/>
        <item x="657"/>
        <item x="836"/>
        <item x="875"/>
        <item x="709"/>
        <item x="449"/>
        <item x="166"/>
        <item x="169"/>
        <item x="595"/>
        <item x="813"/>
        <item x="346"/>
        <item x="253"/>
        <item x="71"/>
        <item x="910"/>
        <item x="311"/>
        <item x="291"/>
        <item x="447"/>
        <item x="345"/>
        <item x="140"/>
        <item x="797"/>
        <item x="228"/>
        <item x="434"/>
        <item x="62"/>
        <item x="100"/>
        <item x="642"/>
        <item x="916"/>
        <item x="424"/>
        <item x="421"/>
        <item x="741"/>
        <item x="212"/>
        <item x="174"/>
        <item x="297"/>
        <item x="705"/>
        <item x="710"/>
        <item x="383"/>
        <item x="431"/>
        <item x="315"/>
        <item x="751"/>
        <item x="69"/>
        <item x="148"/>
        <item x="245"/>
        <item x="844"/>
        <item x="655"/>
        <item x="293"/>
        <item x="721"/>
        <item x="537"/>
        <item x="152"/>
        <item x="392"/>
        <item x="119"/>
        <item x="854"/>
        <item x="109"/>
        <item x="749"/>
        <item x="870"/>
        <item x="397"/>
        <item x="22"/>
        <item x="763"/>
        <item x="12"/>
        <item x="547"/>
        <item x="819"/>
        <item x="905"/>
        <item x="172"/>
        <item x="757"/>
        <item x="752"/>
        <item x="177"/>
        <item x="792"/>
        <item x="403"/>
        <item x="904"/>
        <item x="21"/>
        <item x="385"/>
        <item x="817"/>
        <item x="464"/>
        <item x="681"/>
        <item x="51"/>
        <item x="402"/>
        <item x="724"/>
        <item x="862"/>
        <item x="80"/>
        <item x="361"/>
        <item x="218"/>
        <item x="375"/>
        <item x="887"/>
        <item x="631"/>
        <item x="493"/>
        <item x="97"/>
        <item x="263"/>
        <item x="70"/>
        <item x="729"/>
        <item x="793"/>
        <item x="470"/>
        <item x="26"/>
        <item x="364"/>
        <item x="628"/>
        <item x="758"/>
        <item x="911"/>
        <item x="894"/>
        <item x="296"/>
        <item x="944"/>
        <item x="99"/>
        <item x="452"/>
        <item x="665"/>
        <item x="374"/>
        <item x="282"/>
        <item x="791"/>
        <item x="774"/>
        <item x="951"/>
        <item x="662"/>
        <item x="821"/>
        <item x="599"/>
        <item x="782"/>
        <item x="896"/>
        <item x="304"/>
        <item x="227"/>
        <item x="740"/>
        <item x="768"/>
        <item x="673"/>
        <item x="108"/>
        <item x="934"/>
        <item x="745"/>
        <item x="9"/>
        <item x="618"/>
        <item x="644"/>
        <item x="102"/>
        <item x="914"/>
        <item x="234"/>
        <item x="487"/>
        <item x="860"/>
        <item x="453"/>
        <item x="940"/>
        <item x="1"/>
        <item x="390"/>
        <item x="154"/>
        <item x="211"/>
        <item x="895"/>
        <item x="806"/>
        <item x="562"/>
        <item x="257"/>
        <item x="734"/>
        <item x="622"/>
        <item x="20"/>
        <item x="93"/>
        <item x="683"/>
        <item x="777"/>
        <item x="646"/>
        <item x="561"/>
        <item x="498"/>
        <item x="512"/>
        <item x="288"/>
        <item x="183"/>
        <item x="829"/>
        <item x="831"/>
        <item x="82"/>
        <item x="868"/>
        <item x="570"/>
        <item x="912"/>
        <item x="78"/>
        <item x="730"/>
        <item x="265"/>
        <item x="605"/>
        <item x="17"/>
        <item x="15"/>
        <item x="789"/>
        <item x="131"/>
        <item x="107"/>
        <item x="488"/>
        <item x="924"/>
        <item x="652"/>
        <item x="892"/>
        <item x="700"/>
        <item x="833"/>
        <item x="409"/>
        <item x="7"/>
        <item x="313"/>
        <item x="462"/>
        <item x="772"/>
        <item x="535"/>
        <item x="531"/>
        <item x="666"/>
        <item x="492"/>
        <item x="591"/>
        <item x="329"/>
        <item x="251"/>
        <item x="575"/>
        <item x="756"/>
        <item x="308"/>
        <item x="63"/>
        <item x="761"/>
        <item x="750"/>
        <item x="928"/>
        <item x="538"/>
        <item x="474"/>
        <item x="283"/>
        <item x="674"/>
        <item x="261"/>
        <item x="314"/>
        <item x="762"/>
        <item x="656"/>
        <item x="419"/>
        <item x="468"/>
        <item t="default"/>
      </items>
    </pivotField>
    <pivotField compact="0" showAll="0">
      <items count="27">
        <item x="13"/>
        <item x="3"/>
        <item x="16"/>
        <item x="21"/>
        <item x="8"/>
        <item x="15"/>
        <item x="2"/>
        <item x="7"/>
        <item x="5"/>
        <item x="18"/>
        <item x="10"/>
        <item x="23"/>
        <item x="22"/>
        <item x="6"/>
        <item x="11"/>
        <item x="25"/>
        <item x="12"/>
        <item x="9"/>
        <item x="0"/>
        <item x="17"/>
        <item x="20"/>
        <item x="14"/>
        <item x="19"/>
        <item x="24"/>
        <item x="1"/>
        <item x="4"/>
        <item t="default"/>
      </items>
    </pivotField>
    <pivotField compact="0" numFmtId="14" showAll="0">
      <items count="533">
        <item x="210"/>
        <item x="337"/>
        <item x="257"/>
        <item x="57"/>
        <item x="224"/>
        <item x="167"/>
        <item x="97"/>
        <item x="474"/>
        <item x="340"/>
        <item x="506"/>
        <item x="59"/>
        <item x="389"/>
        <item x="521"/>
        <item x="179"/>
        <item x="60"/>
        <item x="487"/>
        <item x="232"/>
        <item x="72"/>
        <item x="287"/>
        <item x="183"/>
        <item x="157"/>
        <item x="2"/>
        <item x="443"/>
        <item x="213"/>
        <item x="169"/>
        <item x="238"/>
        <item x="137"/>
        <item x="79"/>
        <item x="65"/>
        <item x="218"/>
        <item x="355"/>
        <item x="334"/>
        <item x="246"/>
        <item x="4"/>
        <item x="286"/>
        <item x="501"/>
        <item x="455"/>
        <item x="515"/>
        <item x="470"/>
        <item x="310"/>
        <item x="20"/>
        <item x="32"/>
        <item x="73"/>
        <item x="7"/>
        <item x="289"/>
        <item x="323"/>
        <item x="200"/>
        <item x="176"/>
        <item x="81"/>
        <item x="118"/>
        <item x="385"/>
        <item x="439"/>
        <item x="33"/>
        <item x="156"/>
        <item x="273"/>
        <item x="42"/>
        <item x="379"/>
        <item x="134"/>
        <item x="408"/>
        <item x="230"/>
        <item x="471"/>
        <item x="108"/>
        <item x="297"/>
        <item x="330"/>
        <item x="49"/>
        <item x="493"/>
        <item x="15"/>
        <item x="181"/>
        <item x="498"/>
        <item x="122"/>
        <item x="371"/>
        <item x="185"/>
        <item x="248"/>
        <item x="51"/>
        <item x="275"/>
        <item x="342"/>
        <item x="366"/>
        <item x="313"/>
        <item x="201"/>
        <item x="461"/>
        <item x="45"/>
        <item x="294"/>
        <item x="333"/>
        <item x="234"/>
        <item x="158"/>
        <item x="341"/>
        <item x="494"/>
        <item x="251"/>
        <item x="90"/>
        <item x="419"/>
        <item x="164"/>
        <item x="129"/>
        <item x="83"/>
        <item x="198"/>
        <item x="111"/>
        <item x="150"/>
        <item x="417"/>
        <item x="473"/>
        <item x="367"/>
        <item x="46"/>
        <item x="184"/>
        <item x="460"/>
        <item x="435"/>
        <item x="511"/>
        <item x="482"/>
        <item x="62"/>
        <item x="295"/>
        <item x="92"/>
        <item x="117"/>
        <item x="354"/>
        <item x="36"/>
        <item x="165"/>
        <item x="35"/>
        <item x="382"/>
        <item x="347"/>
        <item x="236"/>
        <item x="13"/>
        <item x="285"/>
        <item x="180"/>
        <item x="390"/>
        <item x="531"/>
        <item x="235"/>
        <item x="131"/>
        <item x="406"/>
        <item x="171"/>
        <item x="205"/>
        <item x="19"/>
        <item x="16"/>
        <item x="261"/>
        <item x="78"/>
        <item x="220"/>
        <item x="405"/>
        <item x="357"/>
        <item x="459"/>
        <item x="187"/>
        <item x="319"/>
        <item x="140"/>
        <item x="519"/>
        <item x="516"/>
        <item x="93"/>
        <item x="39"/>
        <item x="202"/>
        <item x="437"/>
        <item x="70"/>
        <item x="61"/>
        <item x="146"/>
        <item x="305"/>
        <item x="132"/>
        <item x="242"/>
        <item x="40"/>
        <item x="387"/>
        <item x="266"/>
        <item x="282"/>
        <item x="526"/>
        <item x="359"/>
        <item x="258"/>
        <item x="384"/>
        <item x="227"/>
        <item x="378"/>
        <item x="8"/>
        <item x="522"/>
        <item x="375"/>
        <item x="463"/>
        <item x="212"/>
        <item x="444"/>
        <item x="397"/>
        <item x="206"/>
        <item x="219"/>
        <item x="113"/>
        <item x="100"/>
        <item x="418"/>
        <item x="508"/>
        <item x="426"/>
        <item x="259"/>
        <item x="276"/>
        <item x="499"/>
        <item x="142"/>
        <item x="281"/>
        <item x="209"/>
        <item x="188"/>
        <item x="376"/>
        <item x="192"/>
        <item x="477"/>
        <item x="360"/>
        <item x="484"/>
        <item x="361"/>
        <item x="440"/>
        <item x="174"/>
        <item x="136"/>
        <item x="25"/>
        <item x="370"/>
        <item x="280"/>
        <item x="352"/>
        <item x="399"/>
        <item x="27"/>
        <item x="392"/>
        <item x="240"/>
        <item x="63"/>
        <item x="368"/>
        <item x="302"/>
        <item x="9"/>
        <item x="189"/>
        <item x="41"/>
        <item x="488"/>
        <item x="327"/>
        <item x="433"/>
        <item x="182"/>
        <item x="215"/>
        <item x="329"/>
        <item x="400"/>
        <item x="402"/>
        <item x="434"/>
        <item x="47"/>
        <item x="466"/>
        <item x="520"/>
        <item x="74"/>
        <item x="89"/>
        <item x="86"/>
        <item x="462"/>
        <item x="23"/>
        <item x="82"/>
        <item x="186"/>
        <item x="151"/>
        <item x="247"/>
        <item x="404"/>
        <item x="314"/>
        <item x="377"/>
        <item x="159"/>
        <item x="43"/>
        <item x="339"/>
        <item x="500"/>
        <item x="99"/>
        <item x="214"/>
        <item x="497"/>
        <item x="121"/>
        <item x="228"/>
        <item x="48"/>
        <item x="446"/>
        <item x="178"/>
        <item x="436"/>
        <item x="127"/>
        <item x="445"/>
        <item x="383"/>
        <item x="207"/>
        <item x="18"/>
        <item x="509"/>
        <item x="197"/>
        <item x="229"/>
        <item x="454"/>
        <item x="424"/>
        <item x="0"/>
        <item x="512"/>
        <item x="29"/>
        <item x="345"/>
        <item x="322"/>
        <item x="414"/>
        <item x="145"/>
        <item x="110"/>
        <item x="358"/>
        <item x="250"/>
        <item x="95"/>
        <item x="133"/>
        <item x="87"/>
        <item x="365"/>
        <item x="243"/>
        <item x="105"/>
        <item x="457"/>
        <item x="160"/>
        <item x="265"/>
        <item x="320"/>
        <item x="249"/>
        <item x="513"/>
        <item x="115"/>
        <item x="441"/>
        <item x="458"/>
        <item x="480"/>
        <item x="479"/>
        <item x="332"/>
        <item x="75"/>
        <item x="351"/>
        <item x="450"/>
        <item x="328"/>
        <item x="318"/>
        <item x="226"/>
        <item x="324"/>
        <item x="469"/>
        <item x="344"/>
        <item x="478"/>
        <item x="468"/>
        <item x="30"/>
        <item x="438"/>
        <item x="38"/>
        <item x="510"/>
        <item x="432"/>
        <item x="298"/>
        <item x="311"/>
        <item x="125"/>
        <item x="306"/>
        <item x="475"/>
        <item x="307"/>
        <item x="316"/>
        <item x="496"/>
        <item x="269"/>
        <item x="288"/>
        <item x="393"/>
        <item x="64"/>
        <item x="24"/>
        <item x="168"/>
        <item x="363"/>
        <item x="155"/>
        <item x="507"/>
        <item x="85"/>
        <item x="277"/>
        <item x="528"/>
        <item x="177"/>
        <item x="350"/>
        <item x="364"/>
        <item x="503"/>
        <item x="237"/>
        <item x="353"/>
        <item x="346"/>
        <item x="260"/>
        <item x="325"/>
        <item x="331"/>
        <item x="244"/>
        <item x="231"/>
        <item x="518"/>
        <item x="525"/>
        <item x="456"/>
        <item x="452"/>
        <item x="381"/>
        <item x="53"/>
        <item x="284"/>
        <item x="71"/>
        <item x="413"/>
        <item x="416"/>
        <item x="472"/>
        <item x="431"/>
        <item x="104"/>
        <item x="163"/>
        <item x="293"/>
        <item x="106"/>
        <item x="141"/>
        <item x="5"/>
        <item x="386"/>
        <item x="84"/>
        <item x="135"/>
        <item x="490"/>
        <item x="154"/>
        <item x="529"/>
        <item x="22"/>
        <item x="153"/>
        <item x="279"/>
        <item x="225"/>
        <item x="199"/>
        <item x="373"/>
        <item x="308"/>
        <item x="26"/>
        <item x="442"/>
        <item x="447"/>
        <item x="420"/>
        <item x="120"/>
        <item x="467"/>
        <item x="144"/>
        <item x="429"/>
        <item x="301"/>
        <item x="96"/>
        <item x="326"/>
        <item x="374"/>
        <item x="278"/>
        <item x="12"/>
        <item x="124"/>
        <item x="138"/>
        <item x="272"/>
        <item x="448"/>
        <item x="407"/>
        <item x="524"/>
        <item x="91"/>
        <item x="481"/>
        <item x="147"/>
        <item x="453"/>
        <item x="170"/>
        <item x="56"/>
        <item x="401"/>
        <item x="428"/>
        <item x="102"/>
        <item x="253"/>
        <item x="149"/>
        <item x="483"/>
        <item x="369"/>
        <item x="423"/>
        <item x="55"/>
        <item x="263"/>
        <item x="222"/>
        <item x="172"/>
        <item x="50"/>
        <item x="148"/>
        <item x="336"/>
        <item x="335"/>
        <item x="349"/>
        <item x="195"/>
        <item x="166"/>
        <item x="76"/>
        <item x="152"/>
        <item x="415"/>
        <item x="283"/>
        <item x="119"/>
        <item x="143"/>
        <item x="54"/>
        <item x="427"/>
        <item x="505"/>
        <item x="268"/>
        <item x="356"/>
        <item x="395"/>
        <item x="348"/>
        <item x="362"/>
        <item x="338"/>
        <item x="112"/>
        <item x="196"/>
        <item x="107"/>
        <item x="530"/>
        <item x="191"/>
        <item x="68"/>
        <item x="10"/>
        <item x="502"/>
        <item x="317"/>
        <item x="101"/>
        <item x="394"/>
        <item x="21"/>
        <item x="31"/>
        <item x="37"/>
        <item x="255"/>
        <item x="388"/>
        <item x="290"/>
        <item x="130"/>
        <item x="485"/>
        <item x="114"/>
        <item x="161"/>
        <item x="94"/>
        <item x="422"/>
        <item x="11"/>
        <item x="409"/>
        <item x="58"/>
        <item x="194"/>
        <item x="52"/>
        <item x="296"/>
        <item x="116"/>
        <item x="256"/>
        <item x="44"/>
        <item x="1"/>
        <item x="252"/>
        <item x="109"/>
        <item x="517"/>
        <item x="128"/>
        <item x="527"/>
        <item x="3"/>
        <item x="464"/>
        <item x="190"/>
        <item x="245"/>
        <item x="262"/>
        <item x="270"/>
        <item x="254"/>
        <item x="239"/>
        <item x="410"/>
        <item x="123"/>
        <item x="66"/>
        <item x="391"/>
        <item x="267"/>
        <item x="264"/>
        <item x="380"/>
        <item x="103"/>
        <item x="216"/>
        <item x="69"/>
        <item x="241"/>
        <item x="28"/>
        <item x="495"/>
        <item x="476"/>
        <item x="173"/>
        <item x="492"/>
        <item x="139"/>
        <item x="396"/>
        <item x="34"/>
        <item x="80"/>
        <item x="203"/>
        <item x="425"/>
        <item x="88"/>
        <item x="208"/>
        <item x="309"/>
        <item x="162"/>
        <item x="274"/>
        <item x="449"/>
        <item x="321"/>
        <item x="411"/>
        <item x="486"/>
        <item x="300"/>
        <item x="489"/>
        <item x="523"/>
        <item x="126"/>
        <item x="6"/>
        <item x="451"/>
        <item x="211"/>
        <item x="299"/>
        <item x="398"/>
        <item x="421"/>
        <item x="175"/>
        <item x="217"/>
        <item x="67"/>
        <item x="291"/>
        <item x="223"/>
        <item x="312"/>
        <item x="77"/>
        <item x="315"/>
        <item x="14"/>
        <item x="98"/>
        <item x="193"/>
        <item x="17"/>
        <item x="233"/>
        <item x="304"/>
        <item x="491"/>
        <item x="343"/>
        <item x="412"/>
        <item x="271"/>
        <item x="430"/>
        <item x="204"/>
        <item x="221"/>
        <item x="303"/>
        <item x="403"/>
        <item x="514"/>
        <item x="504"/>
        <item x="465"/>
        <item x="372"/>
        <item x="292"/>
        <item t="default"/>
      </items>
    </pivotField>
    <pivotField compact="0" showAll="0">
      <items count="7">
        <item x="1"/>
        <item x="2"/>
        <item x="5"/>
        <item x="4"/>
        <item x="3"/>
        <item x="0"/>
        <item t="default"/>
      </items>
    </pivotField>
    <pivotField compact="0" showAll="0">
      <items count="6">
        <item x="0"/>
        <item x="2"/>
        <item x="1"/>
        <item x="4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numFmtId="8" showAll="0">
      <items count="1001">
        <item x="387"/>
        <item x="887"/>
        <item x="756"/>
        <item x="840"/>
        <item x="608"/>
        <item x="994"/>
        <item x="775"/>
        <item x="721"/>
        <item x="52"/>
        <item x="684"/>
        <item x="211"/>
        <item x="884"/>
        <item x="709"/>
        <item x="766"/>
        <item x="126"/>
        <item x="783"/>
        <item x="386"/>
        <item x="712"/>
        <item x="405"/>
        <item x="444"/>
        <item x="240"/>
        <item x="976"/>
        <item x="847"/>
        <item x="525"/>
        <item x="604"/>
        <item x="62"/>
        <item x="353"/>
        <item x="392"/>
        <item x="500"/>
        <item x="363"/>
        <item x="366"/>
        <item x="492"/>
        <item x="718"/>
        <item x="996"/>
        <item x="894"/>
        <item x="774"/>
        <item x="739"/>
        <item x="698"/>
        <item x="239"/>
        <item x="992"/>
        <item x="305"/>
        <item x="471"/>
        <item x="710"/>
        <item x="92"/>
        <item x="706"/>
        <item x="728"/>
        <item x="557"/>
        <item x="613"/>
        <item x="391"/>
        <item x="923"/>
        <item x="47"/>
        <item x="38"/>
        <item x="3"/>
        <item x="785"/>
        <item x="271"/>
        <item x="167"/>
        <item x="312"/>
        <item x="606"/>
        <item x="762"/>
        <item x="495"/>
        <item x="807"/>
        <item x="195"/>
        <item x="896"/>
        <item x="971"/>
        <item x="214"/>
        <item x="615"/>
        <item x="155"/>
        <item x="221"/>
        <item x="318"/>
        <item x="181"/>
        <item x="399"/>
        <item x="955"/>
        <item x="439"/>
        <item x="731"/>
        <item x="885"/>
        <item x="458"/>
        <item x="532"/>
        <item x="490"/>
        <item x="900"/>
        <item x="944"/>
        <item x="109"/>
        <item x="199"/>
        <item x="865"/>
        <item x="558"/>
        <item x="584"/>
        <item x="770"/>
        <item x="554"/>
        <item x="372"/>
        <item x="381"/>
        <item x="940"/>
        <item x="467"/>
        <item x="876"/>
        <item x="788"/>
        <item x="496"/>
        <item x="24"/>
        <item x="335"/>
        <item x="33"/>
        <item x="430"/>
        <item x="959"/>
        <item x="374"/>
        <item x="881"/>
        <item x="966"/>
        <item x="455"/>
        <item x="922"/>
        <item x="639"/>
        <item x="185"/>
        <item x="524"/>
        <item x="352"/>
        <item x="30"/>
        <item x="866"/>
        <item x="568"/>
        <item x="617"/>
        <item x="432"/>
        <item x="125"/>
        <item x="502"/>
        <item x="724"/>
        <item x="247"/>
        <item x="703"/>
        <item x="103"/>
        <item x="267"/>
        <item x="324"/>
        <item x="9"/>
        <item x="981"/>
        <item x="464"/>
        <item x="74"/>
        <item x="162"/>
        <item x="217"/>
        <item x="179"/>
        <item x="338"/>
        <item x="747"/>
        <item x="156"/>
        <item x="317"/>
        <item x="260"/>
        <item x="745"/>
        <item x="582"/>
        <item x="451"/>
        <item x="652"/>
        <item x="734"/>
        <item x="28"/>
        <item x="682"/>
        <item x="746"/>
        <item x="410"/>
        <item x="836"/>
        <item x="741"/>
        <item x="422"/>
        <item x="272"/>
        <item x="970"/>
        <item x="58"/>
        <item x="371"/>
        <item x="541"/>
        <item x="417"/>
        <item x="668"/>
        <item x="258"/>
        <item x="570"/>
        <item x="224"/>
        <item x="56"/>
        <item x="461"/>
        <item x="6"/>
        <item x="559"/>
        <item x="296"/>
        <item x="446"/>
        <item x="388"/>
        <item x="793"/>
        <item x="627"/>
        <item x="242"/>
        <item x="380"/>
        <item x="63"/>
        <item x="100"/>
        <item x="851"/>
        <item x="287"/>
        <item x="818"/>
        <item x="204"/>
        <item x="861"/>
        <item x="482"/>
        <item x="928"/>
        <item x="859"/>
        <item x="954"/>
        <item x="322"/>
        <item x="789"/>
        <item x="531"/>
        <item x="327"/>
        <item x="696"/>
        <item x="790"/>
        <item x="693"/>
        <item x="278"/>
        <item x="917"/>
        <item x="640"/>
        <item x="1"/>
        <item x="151"/>
        <item x="737"/>
        <item x="893"/>
        <item x="97"/>
        <item x="560"/>
        <item x="299"/>
        <item x="129"/>
        <item x="903"/>
        <item x="106"/>
        <item x="945"/>
        <item x="962"/>
        <item x="395"/>
        <item x="88"/>
        <item x="269"/>
        <item x="552"/>
        <item x="326"/>
        <item x="949"/>
        <item x="674"/>
        <item x="290"/>
        <item x="57"/>
        <item x="573"/>
        <item x="193"/>
        <item x="437"/>
        <item x="390"/>
        <item x="669"/>
        <item x="580"/>
        <item x="803"/>
        <item x="587"/>
        <item x="984"/>
        <item x="309"/>
        <item x="817"/>
        <item x="921"/>
        <item x="742"/>
        <item x="297"/>
        <item x="118"/>
        <item x="978"/>
        <item x="400"/>
        <item x="760"/>
        <item x="812"/>
        <item x="459"/>
        <item x="636"/>
        <item x="123"/>
        <item x="434"/>
        <item x="890"/>
        <item x="463"/>
        <item x="450"/>
        <item x="916"/>
        <item x="549"/>
        <item x="347"/>
        <item x="477"/>
        <item x="104"/>
        <item x="751"/>
        <item x="227"/>
        <item x="48"/>
        <item x="404"/>
        <item x="55"/>
        <item x="270"/>
        <item x="484"/>
        <item x="273"/>
        <item x="346"/>
        <item x="40"/>
        <item x="136"/>
        <item x="22"/>
        <item x="843"/>
        <item x="845"/>
        <item x="660"/>
        <item x="661"/>
        <item x="173"/>
        <item x="435"/>
        <item x="294"/>
        <item x="892"/>
        <item x="54"/>
        <item x="526"/>
        <item x="468"/>
        <item x="899"/>
        <item x="147"/>
        <item x="544"/>
        <item x="232"/>
        <item x="192"/>
        <item x="121"/>
        <item x="883"/>
        <item x="727"/>
        <item x="377"/>
        <item x="855"/>
        <item x="815"/>
        <item x="421"/>
        <item x="953"/>
        <item x="12"/>
        <item x="488"/>
        <item x="504"/>
        <item x="157"/>
        <item x="14"/>
        <item x="61"/>
        <item x="170"/>
        <item x="605"/>
        <item x="82"/>
        <item x="393"/>
        <item x="810"/>
        <item x="609"/>
        <item x="87"/>
        <item x="599"/>
        <item x="773"/>
        <item x="768"/>
        <item x="359"/>
        <item x="27"/>
        <item x="656"/>
        <item x="672"/>
        <item x="567"/>
        <item x="320"/>
        <item x="207"/>
        <item x="596"/>
        <item x="252"/>
        <item x="264"/>
        <item x="987"/>
        <item x="134"/>
        <item x="957"/>
        <item x="298"/>
        <item x="342"/>
        <item x="713"/>
        <item x="66"/>
        <item x="282"/>
        <item x="414"/>
        <item x="357"/>
        <item x="453"/>
        <item x="84"/>
        <item x="440"/>
        <item x="956"/>
        <item x="486"/>
        <item x="732"/>
        <item x="592"/>
        <item x="939"/>
        <item x="95"/>
        <item x="645"/>
        <item x="499"/>
        <item x="665"/>
        <item x="743"/>
        <item x="869"/>
        <item x="279"/>
        <item x="262"/>
        <item x="261"/>
        <item x="8"/>
        <item x="882"/>
        <item x="561"/>
        <item x="285"/>
        <item x="989"/>
        <item x="875"/>
        <item x="555"/>
        <item x="233"/>
        <item x="735"/>
        <item x="744"/>
        <item x="556"/>
        <item x="782"/>
        <item x="787"/>
        <item x="149"/>
        <item x="951"/>
        <item x="408"/>
        <item x="64"/>
        <item x="895"/>
        <item x="361"/>
        <item x="413"/>
        <item x="612"/>
        <item x="131"/>
        <item x="29"/>
        <item x="153"/>
        <item x="78"/>
        <item x="602"/>
        <item x="401"/>
        <item x="79"/>
        <item x="472"/>
        <item x="330"/>
        <item x="77"/>
        <item x="187"/>
        <item x="425"/>
        <item x="616"/>
        <item x="830"/>
        <item x="144"/>
        <item x="188"/>
        <item x="243"/>
        <item x="81"/>
        <item x="10"/>
        <item x="990"/>
        <item x="991"/>
        <item x="301"/>
        <item x="251"/>
        <item x="25"/>
        <item x="708"/>
        <item x="354"/>
        <item x="21"/>
        <item x="594"/>
        <item x="657"/>
        <item x="245"/>
        <item x="165"/>
        <item x="566"/>
        <item x="804"/>
        <item x="654"/>
        <item x="111"/>
        <item x="913"/>
        <item x="750"/>
        <item x="289"/>
        <item x="398"/>
        <item x="823"/>
        <item x="99"/>
        <item x="761"/>
        <item x="811"/>
        <item x="853"/>
        <item x="5"/>
        <item x="138"/>
        <item x="846"/>
        <item x="659"/>
        <item x="929"/>
        <item x="529"/>
        <item x="579"/>
        <item x="137"/>
        <item x="930"/>
        <item x="442"/>
        <item x="614"/>
        <item x="671"/>
        <item x="620"/>
        <item x="538"/>
        <item x="315"/>
        <item x="658"/>
        <item x="483"/>
        <item x="960"/>
        <item x="159"/>
        <item x="569"/>
        <item x="564"/>
        <item x="642"/>
        <item x="601"/>
        <item x="874"/>
        <item x="168"/>
        <item x="634"/>
        <item x="284"/>
        <item x="828"/>
        <item x="457"/>
        <item x="494"/>
        <item x="341"/>
        <item x="753"/>
        <item x="784"/>
        <item x="7"/>
        <item x="418"/>
        <item x="295"/>
        <item x="993"/>
        <item x="448"/>
        <item x="286"/>
        <item x="145"/>
        <item x="683"/>
        <item x="220"/>
        <item x="972"/>
        <item x="316"/>
        <item x="244"/>
        <item x="638"/>
        <item x="841"/>
        <item x="142"/>
        <item x="834"/>
        <item x="677"/>
        <item x="212"/>
        <item x="166"/>
        <item x="476"/>
        <item x="688"/>
        <item x="172"/>
        <item x="456"/>
        <item x="548"/>
        <item x="752"/>
        <item x="229"/>
        <item x="975"/>
        <item x="924"/>
        <item x="351"/>
        <item x="816"/>
        <item x="102"/>
        <item x="337"/>
        <item x="114"/>
        <item x="384"/>
        <item x="964"/>
        <item x="67"/>
        <item x="31"/>
        <item x="826"/>
        <item x="65"/>
        <item x="424"/>
        <item x="293"/>
        <item x="879"/>
        <item x="553"/>
        <item x="259"/>
        <item x="508"/>
        <item x="116"/>
        <item x="867"/>
        <item x="540"/>
        <item x="203"/>
        <item x="839"/>
        <item x="854"/>
        <item x="41"/>
        <item x="723"/>
        <item x="792"/>
        <item x="925"/>
        <item x="481"/>
        <item x="835"/>
        <item x="514"/>
        <item x="396"/>
        <item x="152"/>
        <item x="685"/>
        <item x="69"/>
        <item x="132"/>
        <item x="288"/>
        <item x="497"/>
        <item x="748"/>
        <item x="254"/>
        <item x="518"/>
        <item x="591"/>
        <item x="189"/>
        <item x="534"/>
        <item x="479"/>
        <item x="715"/>
        <item x="946"/>
        <item x="487"/>
        <item x="877"/>
        <item x="716"/>
        <item x="864"/>
        <item x="948"/>
        <item x="419"/>
        <item x="808"/>
        <item x="161"/>
        <item x="73"/>
        <item x="75"/>
        <item x="480"/>
        <item x="907"/>
        <item x="454"/>
        <item x="310"/>
        <item x="722"/>
        <item x="340"/>
        <item x="650"/>
        <item x="965"/>
        <item x="498"/>
        <item x="112"/>
        <item x="76"/>
        <item x="689"/>
        <item x="506"/>
        <item x="382"/>
        <item x="702"/>
        <item x="184"/>
        <item x="423"/>
        <item x="595"/>
        <item x="246"/>
        <item x="575"/>
        <item x="349"/>
        <item x="519"/>
        <item x="238"/>
        <item x="888"/>
        <item x="997"/>
        <item x="963"/>
        <item x="491"/>
        <item x="909"/>
        <item x="253"/>
        <item x="237"/>
        <item x="850"/>
        <item x="415"/>
        <item x="911"/>
        <item x="763"/>
        <item x="943"/>
        <item x="844"/>
        <item x="198"/>
        <item x="266"/>
        <item x="222"/>
        <item x="474"/>
        <item x="643"/>
        <item x="17"/>
        <item x="35"/>
        <item x="833"/>
        <item x="574"/>
        <item x="107"/>
        <item x="445"/>
        <item x="70"/>
        <item x="364"/>
        <item x="249"/>
        <item x="206"/>
        <item x="694"/>
        <item x="848"/>
        <item x="416"/>
        <item x="509"/>
        <item x="280"/>
        <item x="143"/>
        <item x="110"/>
        <item x="686"/>
        <item x="50"/>
        <item x="651"/>
        <item x="590"/>
        <item x="700"/>
        <item x="999"/>
        <item x="412"/>
        <item x="662"/>
        <item x="202"/>
        <item x="838"/>
        <item x="829"/>
        <item x="822"/>
        <item x="791"/>
        <item x="926"/>
        <item x="331"/>
        <item x="241"/>
        <item x="292"/>
        <item x="977"/>
        <item x="690"/>
        <item x="275"/>
        <item x="625"/>
        <item x="507"/>
        <item x="891"/>
        <item x="122"/>
        <item x="935"/>
        <item x="794"/>
        <item x="958"/>
        <item x="786"/>
        <item x="730"/>
        <item x="101"/>
        <item x="358"/>
        <item x="231"/>
        <item x="72"/>
        <item x="740"/>
        <item x="431"/>
        <item x="370"/>
        <item x="733"/>
        <item x="961"/>
        <item x="255"/>
        <item x="516"/>
        <item x="719"/>
        <item x="571"/>
        <item x="995"/>
        <item x="378"/>
        <item x="910"/>
        <item x="368"/>
        <item x="420"/>
        <item x="328"/>
        <item x="937"/>
        <item x="521"/>
        <item x="679"/>
        <item x="799"/>
        <item x="174"/>
        <item x="547"/>
        <item x="34"/>
        <item x="630"/>
        <item x="633"/>
        <item x="160"/>
        <item x="889"/>
        <item x="663"/>
        <item x="169"/>
        <item x="711"/>
        <item x="776"/>
        <item x="512"/>
        <item x="641"/>
        <item x="968"/>
        <item x="436"/>
        <item x="150"/>
        <item x="20"/>
        <item x="757"/>
        <item x="447"/>
        <item x="140"/>
        <item x="701"/>
        <item x="577"/>
        <item x="304"/>
        <item x="629"/>
        <item x="622"/>
        <item x="546"/>
        <item x="755"/>
        <item x="43"/>
        <item x="426"/>
        <item x="623"/>
        <item x="291"/>
        <item x="113"/>
        <item x="302"/>
        <item x="707"/>
        <item x="758"/>
        <item x="947"/>
        <item x="717"/>
        <item x="39"/>
        <item x="578"/>
        <item x="979"/>
        <item x="809"/>
        <item x="409"/>
        <item x="860"/>
        <item x="632"/>
        <item x="205"/>
        <item x="449"/>
        <item x="593"/>
        <item x="872"/>
        <item x="256"/>
        <item x="60"/>
        <item x="918"/>
        <item x="68"/>
        <item x="230"/>
        <item x="914"/>
        <item x="535"/>
        <item x="528"/>
        <item x="373"/>
        <item x="329"/>
        <item x="98"/>
        <item x="307"/>
        <item x="313"/>
        <item x="219"/>
        <item x="274"/>
        <item x="934"/>
        <item x="986"/>
        <item x="517"/>
        <item x="438"/>
        <item x="80"/>
        <item x="820"/>
        <item x="585"/>
        <item x="586"/>
        <item x="124"/>
        <item x="725"/>
        <item x="806"/>
        <item x="952"/>
        <item x="234"/>
        <item x="300"/>
        <item x="536"/>
        <item x="936"/>
        <item x="37"/>
        <item x="406"/>
        <item x="666"/>
        <item x="177"/>
        <item x="462"/>
        <item x="980"/>
        <item x="139"/>
        <item x="283"/>
        <item x="135"/>
        <item x="572"/>
        <item x="695"/>
        <item x="932"/>
        <item x="334"/>
        <item x="985"/>
        <item x="813"/>
        <item x="321"/>
        <item x="36"/>
        <item x="598"/>
        <item x="637"/>
        <item x="333"/>
        <item x="18"/>
        <item x="32"/>
        <item x="801"/>
        <item x="680"/>
        <item x="824"/>
        <item x="527"/>
        <item x="902"/>
        <item x="311"/>
        <item x="562"/>
        <item x="215"/>
        <item x="908"/>
        <item x="407"/>
        <item x="42"/>
        <item x="367"/>
        <item x="800"/>
        <item x="858"/>
        <item x="676"/>
        <item x="154"/>
        <item x="0"/>
        <item x="186"/>
        <item x="365"/>
        <item x="223"/>
        <item x="738"/>
        <item x="51"/>
        <item x="469"/>
        <item x="209"/>
        <item x="897"/>
        <item x="988"/>
        <item x="319"/>
        <item x="133"/>
        <item x="96"/>
        <item x="849"/>
        <item x="250"/>
        <item x="163"/>
        <item x="332"/>
        <item x="433"/>
        <item x="915"/>
        <item x="389"/>
        <item x="522"/>
        <item x="628"/>
        <item x="49"/>
        <item x="2"/>
        <item x="537"/>
        <item x="832"/>
        <item x="428"/>
        <item x="158"/>
        <item x="631"/>
        <item x="691"/>
        <item x="729"/>
        <item x="699"/>
        <item x="589"/>
        <item x="795"/>
        <item x="551"/>
        <item x="91"/>
        <item x="871"/>
        <item x="667"/>
        <item x="576"/>
        <item x="11"/>
        <item x="83"/>
        <item x="837"/>
        <item x="624"/>
        <item x="767"/>
        <item x="670"/>
        <item x="176"/>
        <item x="403"/>
        <item x="510"/>
        <item x="183"/>
        <item x="769"/>
        <item x="543"/>
        <item x="360"/>
        <item x="933"/>
        <item x="127"/>
        <item x="780"/>
        <item x="343"/>
        <item x="86"/>
        <item x="460"/>
        <item x="15"/>
        <item x="583"/>
        <item x="619"/>
        <item x="235"/>
        <item x="878"/>
        <item x="452"/>
        <item x="345"/>
        <item x="26"/>
        <item x="857"/>
        <item x="443"/>
        <item x="655"/>
        <item x="611"/>
        <item x="117"/>
        <item x="646"/>
        <item x="648"/>
        <item x="942"/>
        <item x="681"/>
        <item x="503"/>
        <item x="919"/>
        <item x="356"/>
        <item x="175"/>
        <item x="306"/>
        <item x="201"/>
        <item x="210"/>
        <item x="46"/>
        <item x="180"/>
        <item x="190"/>
        <item x="618"/>
        <item x="856"/>
        <item x="375"/>
        <item x="277"/>
        <item x="533"/>
        <item x="4"/>
        <item x="314"/>
        <item x="644"/>
        <item x="904"/>
        <item x="225"/>
        <item x="178"/>
        <item x="200"/>
        <item x="369"/>
        <item x="653"/>
        <item x="749"/>
        <item x="610"/>
        <item x="545"/>
        <item x="394"/>
        <item x="720"/>
        <item x="692"/>
        <item x="130"/>
        <item x="905"/>
        <item x="348"/>
        <item x="493"/>
        <item x="216"/>
        <item x="797"/>
        <item x="754"/>
        <item x="862"/>
        <item x="427"/>
        <item x="621"/>
        <item x="182"/>
        <item x="105"/>
        <item x="19"/>
        <item x="530"/>
        <item x="164"/>
        <item x="927"/>
        <item x="777"/>
        <item x="265"/>
        <item x="886"/>
        <item x="814"/>
        <item x="71"/>
        <item x="128"/>
        <item x="59"/>
        <item x="539"/>
        <item x="339"/>
        <item x="726"/>
        <item x="303"/>
        <item x="119"/>
        <item x="597"/>
        <item x="607"/>
        <item x="13"/>
        <item x="226"/>
        <item x="759"/>
        <item x="505"/>
        <item x="998"/>
        <item x="344"/>
        <item x="603"/>
        <item x="898"/>
        <item x="649"/>
        <item x="323"/>
        <item x="550"/>
        <item x="44"/>
        <item x="675"/>
        <item x="983"/>
        <item x="213"/>
        <item x="515"/>
        <item x="489"/>
        <item x="146"/>
        <item x="350"/>
        <item x="441"/>
        <item x="397"/>
        <item x="383"/>
        <item x="53"/>
        <item x="938"/>
        <item x="148"/>
        <item x="513"/>
        <item x="268"/>
        <item x="411"/>
        <item x="565"/>
        <item x="705"/>
        <item x="805"/>
        <item x="973"/>
        <item x="197"/>
        <item x="880"/>
        <item x="781"/>
        <item x="120"/>
        <item x="93"/>
        <item x="281"/>
        <item x="473"/>
        <item x="974"/>
        <item x="827"/>
        <item x="511"/>
        <item x="478"/>
        <item x="208"/>
        <item x="798"/>
        <item x="863"/>
        <item x="385"/>
        <item x="141"/>
        <item x="263"/>
        <item x="819"/>
        <item x="772"/>
        <item x="852"/>
        <item x="821"/>
        <item x="873"/>
        <item x="581"/>
        <item x="171"/>
        <item x="704"/>
        <item x="678"/>
        <item x="376"/>
        <item x="714"/>
        <item x="870"/>
        <item x="969"/>
        <item x="523"/>
        <item x="85"/>
        <item x="89"/>
        <item x="941"/>
        <item x="779"/>
        <item x="218"/>
        <item x="402"/>
        <item x="355"/>
        <item x="248"/>
        <item x="475"/>
        <item x="90"/>
        <item x="736"/>
        <item x="868"/>
        <item x="802"/>
        <item x="194"/>
        <item x="950"/>
        <item x="228"/>
        <item x="470"/>
        <item x="563"/>
        <item x="664"/>
        <item x="771"/>
        <item x="362"/>
        <item x="466"/>
        <item x="308"/>
        <item x="336"/>
        <item x="967"/>
        <item x="588"/>
        <item x="325"/>
        <item x="257"/>
        <item x="825"/>
        <item x="276"/>
        <item x="765"/>
        <item x="45"/>
        <item x="931"/>
        <item x="379"/>
        <item x="912"/>
        <item x="520"/>
        <item x="920"/>
        <item x="778"/>
        <item x="647"/>
        <item x="191"/>
        <item x="600"/>
        <item x="764"/>
        <item x="796"/>
        <item x="196"/>
        <item x="697"/>
        <item x="906"/>
        <item x="236"/>
        <item x="831"/>
        <item x="901"/>
        <item x="542"/>
        <item x="465"/>
        <item x="673"/>
        <item x="108"/>
        <item x="485"/>
        <item x="94"/>
        <item x="626"/>
        <item x="429"/>
        <item x="842"/>
        <item x="16"/>
        <item x="635"/>
        <item x="115"/>
        <item x="982"/>
        <item x="687"/>
        <item x="501"/>
        <item x="23"/>
        <item t="default"/>
      </items>
    </pivotField>
    <pivotField compact="0" numFmtId="8" showAll="0">
      <items count="1001">
        <item x="604"/>
        <item x="525"/>
        <item x="718"/>
        <item x="887"/>
        <item x="756"/>
        <item x="992"/>
        <item x="387"/>
        <item x="305"/>
        <item x="392"/>
        <item x="774"/>
        <item x="712"/>
        <item x="684"/>
        <item x="353"/>
        <item x="471"/>
        <item x="775"/>
        <item x="884"/>
        <item x="492"/>
        <item x="955"/>
        <item x="894"/>
        <item x="766"/>
        <item x="976"/>
        <item x="582"/>
        <item x="557"/>
        <item x="706"/>
        <item x="47"/>
        <item x="52"/>
        <item x="959"/>
        <item x="584"/>
        <item x="405"/>
        <item x="162"/>
        <item x="876"/>
        <item x="728"/>
        <item x="363"/>
        <item x="374"/>
        <item x="109"/>
        <item x="167"/>
        <item x="495"/>
        <item x="558"/>
        <item x="840"/>
        <item x="271"/>
        <item x="3"/>
        <item x="698"/>
        <item x="608"/>
        <item x="668"/>
        <item x="126"/>
        <item x="928"/>
        <item x="296"/>
        <item x="709"/>
        <item x="639"/>
        <item x="335"/>
        <item x="682"/>
        <item x="617"/>
        <item x="324"/>
        <item x="724"/>
        <item x="30"/>
        <item x="807"/>
        <item x="366"/>
        <item x="247"/>
        <item x="490"/>
        <item x="211"/>
        <item x="240"/>
        <item x="613"/>
        <item x="900"/>
        <item x="885"/>
        <item x="103"/>
        <item x="155"/>
        <item x="156"/>
        <item x="62"/>
        <item x="971"/>
        <item x="785"/>
        <item x="214"/>
        <item x="994"/>
        <item x="741"/>
        <item x="762"/>
        <item x="793"/>
        <item x="56"/>
        <item x="739"/>
        <item x="432"/>
        <item x="422"/>
        <item x="430"/>
        <item x="199"/>
        <item x="710"/>
        <item x="721"/>
        <item x="881"/>
        <item x="38"/>
        <item x="372"/>
        <item x="386"/>
        <item x="267"/>
        <item x="570"/>
        <item x="371"/>
        <item x="818"/>
        <item x="861"/>
        <item x="395"/>
        <item x="6"/>
        <item x="399"/>
        <item x="388"/>
        <item x="560"/>
        <item x="954"/>
        <item x="227"/>
        <item x="923"/>
        <item x="455"/>
        <item x="221"/>
        <item x="278"/>
        <item x="580"/>
        <item x="568"/>
        <item x="996"/>
        <item x="783"/>
        <item x="803"/>
        <item x="217"/>
        <item x="500"/>
        <item x="391"/>
        <item x="74"/>
        <item x="195"/>
        <item x="298"/>
        <item x="273"/>
        <item x="674"/>
        <item x="444"/>
        <item x="893"/>
        <item x="734"/>
        <item x="921"/>
        <item x="627"/>
        <item x="903"/>
        <item x="789"/>
        <item x="390"/>
        <item x="865"/>
        <item x="439"/>
        <item x="185"/>
        <item x="573"/>
        <item x="524"/>
        <item x="272"/>
        <item x="949"/>
        <item x="352"/>
        <item x="173"/>
        <item x="66"/>
        <item x="97"/>
        <item x="318"/>
        <item x="615"/>
        <item x="14"/>
        <item x="79"/>
        <item x="338"/>
        <item x="193"/>
        <item x="810"/>
        <item x="24"/>
        <item x="922"/>
        <item x="87"/>
        <item x="847"/>
        <item x="788"/>
        <item x="192"/>
        <item x="640"/>
        <item x="951"/>
        <item x="239"/>
        <item x="453"/>
        <item x="322"/>
        <item x="290"/>
        <item x="207"/>
        <item x="269"/>
        <item x="61"/>
        <item x="136"/>
        <item x="559"/>
        <item x="92"/>
        <item x="461"/>
        <item x="437"/>
        <item x="845"/>
        <item x="502"/>
        <item x="7"/>
        <item x="159"/>
        <item x="746"/>
        <item x="916"/>
        <item x="660"/>
        <item x="327"/>
        <item x="661"/>
        <item x="855"/>
        <item x="55"/>
        <item x="312"/>
        <item x="144"/>
        <item x="270"/>
        <item x="812"/>
        <item x="187"/>
        <item x="456"/>
        <item x="859"/>
        <item x="400"/>
        <item x="179"/>
        <item x="134"/>
        <item x="251"/>
        <item x="316"/>
        <item x="467"/>
        <item x="866"/>
        <item x="320"/>
        <item x="121"/>
        <item x="636"/>
        <item x="930"/>
        <item x="742"/>
        <item x="434"/>
        <item x="970"/>
        <item x="464"/>
        <item x="737"/>
        <item x="289"/>
        <item x="808"/>
        <item x="917"/>
        <item x="58"/>
        <item x="84"/>
        <item x="991"/>
        <item x="25"/>
        <item x="114"/>
        <item x="315"/>
        <item x="518"/>
        <item x="890"/>
        <item x="534"/>
        <item x="414"/>
        <item x="359"/>
        <item x="703"/>
        <item x="689"/>
        <item x="606"/>
        <item x="929"/>
        <item x="753"/>
        <item x="477"/>
        <item x="22"/>
        <item x="846"/>
        <item x="435"/>
        <item x="65"/>
        <item x="484"/>
        <item x="377"/>
        <item x="482"/>
        <item x="782"/>
        <item x="125"/>
        <item x="54"/>
        <item x="817"/>
        <item x="425"/>
        <item x="761"/>
        <item x="380"/>
        <item x="118"/>
        <item x="569"/>
        <item x="21"/>
        <item x="381"/>
        <item x="282"/>
        <item x="830"/>
        <item x="410"/>
        <item x="591"/>
        <item x="645"/>
        <item x="100"/>
        <item x="770"/>
        <item x="843"/>
        <item x="112"/>
        <item x="787"/>
        <item x="138"/>
        <item x="486"/>
        <item x="262"/>
        <item x="57"/>
        <item x="657"/>
        <item x="286"/>
        <item x="554"/>
        <item x="940"/>
        <item x="966"/>
        <item x="957"/>
        <item x="877"/>
        <item x="496"/>
        <item x="768"/>
        <item x="587"/>
        <item x="602"/>
        <item x="671"/>
        <item x="911"/>
        <item x="70"/>
        <item x="189"/>
        <item x="784"/>
        <item x="463"/>
        <item x="999"/>
        <item x="480"/>
        <item x="579"/>
        <item x="297"/>
        <item x="243"/>
        <item x="732"/>
        <item x="544"/>
        <item x="458"/>
        <item x="104"/>
        <item x="181"/>
        <item x="924"/>
        <item x="981"/>
        <item x="252"/>
        <item x="82"/>
        <item x="73"/>
        <item x="552"/>
        <item x="514"/>
        <item x="700"/>
        <item x="829"/>
        <item x="735"/>
        <item x="605"/>
        <item x="224"/>
        <item x="317"/>
        <item x="541"/>
        <item x="337"/>
        <item x="384"/>
        <item x="925"/>
        <item x="723"/>
        <item x="12"/>
        <item x="28"/>
        <item x="553"/>
        <item x="393"/>
        <item x="81"/>
        <item x="744"/>
        <item x="658"/>
        <item x="69"/>
        <item x="341"/>
        <item x="220"/>
        <item x="715"/>
        <item x="823"/>
        <item x="595"/>
        <item x="446"/>
        <item x="727"/>
        <item x="548"/>
        <item x="293"/>
        <item x="612"/>
        <item x="450"/>
        <item x="442"/>
        <item x="172"/>
        <item x="815"/>
        <item x="310"/>
        <item x="853"/>
        <item x="997"/>
        <item x="204"/>
        <item x="457"/>
        <item x="945"/>
        <item x="149"/>
        <item x="713"/>
        <item x="867"/>
        <item x="132"/>
        <item x="504"/>
        <item x="404"/>
        <item x="498"/>
        <item x="792"/>
        <item x="895"/>
        <item x="494"/>
        <item x="879"/>
        <item x="711"/>
        <item x="620"/>
        <item x="152"/>
        <item x="567"/>
        <item x="111"/>
        <item x="31"/>
        <item x="63"/>
        <item x="869"/>
        <item x="665"/>
        <item x="962"/>
        <item x="913"/>
        <item x="382"/>
        <item x="987"/>
        <item x="757"/>
        <item x="506"/>
        <item x="168"/>
        <item x="129"/>
        <item x="963"/>
        <item x="743"/>
        <item x="519"/>
        <item x="153"/>
        <item x="417"/>
        <item x="137"/>
        <item x="8"/>
        <item x="299"/>
        <item x="816"/>
        <item x="652"/>
        <item x="826"/>
        <item x="88"/>
        <item x="233"/>
        <item x="592"/>
        <item x="166"/>
        <item x="851"/>
        <item x="342"/>
        <item x="745"/>
        <item x="445"/>
        <item x="722"/>
        <item x="844"/>
        <item x="836"/>
        <item x="850"/>
        <item x="638"/>
        <item x="686"/>
        <item x="839"/>
        <item x="685"/>
        <item x="683"/>
        <item x="811"/>
        <item x="421"/>
        <item x="702"/>
        <item x="538"/>
        <item x="29"/>
        <item x="9"/>
        <item x="131"/>
        <item x="896"/>
        <item x="304"/>
        <item x="64"/>
        <item x="708"/>
        <item x="532"/>
        <item x="549"/>
        <item x="964"/>
        <item x="956"/>
        <item x="123"/>
        <item x="556"/>
        <item x="349"/>
        <item x="242"/>
        <item x="203"/>
        <item x="507"/>
        <item x="40"/>
        <item x="222"/>
        <item x="468"/>
        <item x="574"/>
        <item x="50"/>
        <item x="451"/>
        <item x="564"/>
        <item x="937"/>
        <item x="266"/>
        <item x="854"/>
        <item x="986"/>
        <item x="707"/>
        <item x="696"/>
        <item x="295"/>
        <item x="261"/>
        <item x="116"/>
        <item x="730"/>
        <item x="590"/>
        <item x="284"/>
        <item x="874"/>
        <item x="364"/>
        <item x="416"/>
        <item x="60"/>
        <item x="302"/>
        <item x="41"/>
        <item x="975"/>
        <item x="561"/>
        <item x="688"/>
        <item x="972"/>
        <item x="448"/>
        <item x="935"/>
        <item x="27"/>
        <item x="107"/>
        <item x="719"/>
        <item x="462"/>
        <item x="447"/>
        <item x="151"/>
        <item x="264"/>
        <item x="841"/>
        <item x="546"/>
        <item x="184"/>
        <item x="747"/>
        <item x="731"/>
        <item x="926"/>
        <item x="594"/>
        <item x="309"/>
        <item x="995"/>
        <item x="78"/>
        <item x="287"/>
        <item x="102"/>
        <item x="822"/>
        <item x="122"/>
        <item x="258"/>
        <item x="288"/>
        <item x="160"/>
        <item x="101"/>
        <item x="77"/>
        <item x="169"/>
        <item x="918"/>
        <item x="48"/>
        <item x="313"/>
        <item x="944"/>
        <item x="948"/>
        <item x="740"/>
        <item x="135"/>
        <item x="285"/>
        <item x="643"/>
        <item x="328"/>
        <item x="440"/>
        <item x="110"/>
        <item x="254"/>
        <item x="978"/>
        <item x="760"/>
        <item x="259"/>
        <item x="357"/>
        <item x="616"/>
        <item x="888"/>
        <item x="672"/>
        <item x="625"/>
        <item x="750"/>
        <item x="244"/>
        <item x="516"/>
        <item x="33"/>
        <item x="968"/>
        <item x="301"/>
        <item x="280"/>
        <item x="413"/>
        <item x="892"/>
        <item x="804"/>
        <item x="993"/>
        <item x="755"/>
        <item x="150"/>
        <item x="623"/>
        <item x="609"/>
        <item x="476"/>
        <item x="145"/>
        <item x="245"/>
        <item x="418"/>
        <item x="368"/>
        <item x="106"/>
        <item x="883"/>
        <item x="347"/>
        <item x="875"/>
        <item x="42"/>
        <item x="198"/>
        <item x="834"/>
        <item x="654"/>
        <item x="614"/>
        <item x="491"/>
        <item x="571"/>
        <item x="98"/>
        <item x="527"/>
        <item x="630"/>
        <item x="75"/>
        <item x="113"/>
        <item x="977"/>
        <item x="642"/>
        <item x="275"/>
        <item x="488"/>
        <item x="872"/>
        <item x="751"/>
        <item x="882"/>
        <item x="10"/>
        <item x="292"/>
        <item x="748"/>
        <item x="330"/>
        <item x="528"/>
        <item x="39"/>
        <item x="424"/>
        <item x="419"/>
        <item x="329"/>
        <item x="206"/>
        <item x="889"/>
        <item x="990"/>
        <item x="947"/>
        <item x="733"/>
        <item x="909"/>
        <item x="43"/>
        <item x="412"/>
        <item x="566"/>
        <item x="161"/>
        <item x="5"/>
        <item x="294"/>
        <item x="378"/>
        <item x="370"/>
        <item x="99"/>
        <item x="677"/>
        <item x="958"/>
        <item x="835"/>
        <item x="68"/>
        <item x="763"/>
        <item x="321"/>
        <item x="758"/>
        <item x="283"/>
        <item x="479"/>
        <item x="230"/>
        <item x="776"/>
        <item x="984"/>
        <item x="828"/>
        <item x="838"/>
        <item x="177"/>
        <item x="409"/>
        <item x="562"/>
        <item x="260"/>
        <item x="752"/>
        <item x="572"/>
        <item x="943"/>
        <item x="693"/>
        <item x="858"/>
        <item x="701"/>
        <item x="37"/>
        <item x="809"/>
        <item x="596"/>
        <item x="142"/>
        <item x="907"/>
        <item x="157"/>
        <item x="517"/>
        <item x="848"/>
        <item x="598"/>
        <item x="953"/>
        <item x="773"/>
        <item x="469"/>
        <item x="864"/>
        <item x="531"/>
        <item x="512"/>
        <item x="202"/>
        <item x="398"/>
        <item x="659"/>
        <item x="249"/>
        <item x="420"/>
        <item x="449"/>
        <item x="188"/>
        <item x="535"/>
        <item x="729"/>
        <item x="650"/>
        <item x="960"/>
        <item x="291"/>
        <item x="474"/>
        <item x="691"/>
        <item x="832"/>
        <item x="326"/>
        <item x="800"/>
        <item x="212"/>
        <item x="555"/>
        <item x="790"/>
        <item x="176"/>
        <item x="988"/>
        <item x="229"/>
        <item x="255"/>
        <item x="396"/>
        <item x="401"/>
        <item x="35"/>
        <item x="256"/>
        <item x="76"/>
        <item x="663"/>
        <item x="820"/>
        <item x="946"/>
        <item x="667"/>
        <item x="238"/>
        <item x="72"/>
        <item x="86"/>
        <item x="1"/>
        <item x="174"/>
        <item x="717"/>
        <item x="979"/>
        <item x="205"/>
        <item x="791"/>
        <item x="786"/>
        <item x="232"/>
        <item x="351"/>
        <item x="311"/>
        <item x="632"/>
        <item x="837"/>
        <item x="454"/>
        <item x="769"/>
        <item x="624"/>
        <item x="537"/>
        <item x="215"/>
        <item x="360"/>
        <item x="801"/>
        <item x="690"/>
        <item x="669"/>
        <item x="307"/>
        <item x="18"/>
        <item x="279"/>
        <item x="346"/>
        <item x="891"/>
        <item x="32"/>
        <item x="241"/>
        <item x="593"/>
        <item x="575"/>
        <item x="629"/>
        <item x="536"/>
        <item x="662"/>
        <item x="915"/>
        <item x="154"/>
        <item x="34"/>
        <item x="190"/>
        <item x="551"/>
        <item x="499"/>
        <item x="794"/>
        <item x="481"/>
        <item x="51"/>
        <item x="147"/>
        <item x="253"/>
        <item x="423"/>
        <item x="15"/>
        <item x="508"/>
        <item x="656"/>
        <item x="4"/>
        <item x="910"/>
        <item x="483"/>
        <item x="695"/>
        <item x="223"/>
        <item x="231"/>
        <item x="919"/>
        <item x="543"/>
        <item x="670"/>
        <item x="878"/>
        <item x="459"/>
        <item x="547"/>
        <item x="526"/>
        <item x="331"/>
        <item x="646"/>
        <item x="936"/>
        <item x="373"/>
        <item x="509"/>
        <item x="170"/>
        <item x="225"/>
        <item x="799"/>
        <item x="300"/>
        <item x="186"/>
        <item x="666"/>
        <item x="67"/>
        <item x="250"/>
        <item x="403"/>
        <item x="234"/>
        <item x="334"/>
        <item x="389"/>
        <item x="899"/>
        <item x="20"/>
        <item x="610"/>
        <item x="143"/>
        <item x="618"/>
        <item x="158"/>
        <item x="655"/>
        <item x="314"/>
        <item x="200"/>
        <item x="433"/>
        <item x="139"/>
        <item x="849"/>
        <item x="599"/>
        <item x="117"/>
        <item x="367"/>
        <item x="780"/>
        <item x="49"/>
        <item x="641"/>
        <item x="942"/>
        <item x="767"/>
        <item x="237"/>
        <item x="133"/>
        <item x="522"/>
        <item x="540"/>
        <item x="95"/>
        <item x="989"/>
        <item x="17"/>
        <item x="871"/>
        <item x="905"/>
        <item x="634"/>
        <item x="694"/>
        <item x="939"/>
        <item x="164"/>
        <item x="521"/>
        <item x="886"/>
        <item x="460"/>
        <item x="497"/>
        <item x="676"/>
        <item x="576"/>
        <item x="246"/>
        <item x="178"/>
        <item x="934"/>
        <item x="408"/>
        <item x="438"/>
        <item x="274"/>
        <item x="348"/>
        <item x="415"/>
        <item x="343"/>
        <item x="824"/>
        <item x="648"/>
        <item x="209"/>
        <item x="71"/>
        <item x="860"/>
        <item x="795"/>
        <item x="358"/>
        <item x="96"/>
        <item x="985"/>
        <item x="578"/>
        <item x="961"/>
        <item x="431"/>
        <item x="749"/>
        <item x="679"/>
        <item x="720"/>
        <item x="622"/>
        <item x="633"/>
        <item x="965"/>
        <item x="183"/>
        <item x="649"/>
        <item x="2"/>
        <item x="83"/>
        <item x="908"/>
        <item x="361"/>
        <item x="323"/>
        <item x="631"/>
        <item x="369"/>
        <item x="130"/>
        <item x="175"/>
        <item x="725"/>
        <item x="354"/>
        <item x="210"/>
        <item x="586"/>
        <item x="452"/>
        <item x="897"/>
        <item x="898"/>
        <item x="105"/>
        <item x="306"/>
        <item x="692"/>
        <item x="806"/>
        <item x="681"/>
        <item x="675"/>
        <item x="332"/>
        <item x="340"/>
        <item x="182"/>
        <item x="124"/>
        <item x="533"/>
        <item x="91"/>
        <item x="529"/>
        <item x="46"/>
        <item x="856"/>
        <item x="738"/>
        <item x="303"/>
        <item x="128"/>
        <item x="503"/>
        <item x="319"/>
        <item x="119"/>
        <item x="180"/>
        <item x="11"/>
        <item x="406"/>
        <item x="197"/>
        <item x="140"/>
        <item x="93"/>
        <item x="932"/>
        <item x="759"/>
        <item x="603"/>
        <item x="601"/>
        <item x="473"/>
        <item x="472"/>
        <item x="980"/>
        <item x="411"/>
        <item x="933"/>
        <item x="754"/>
        <item x="165"/>
        <item x="407"/>
        <item x="487"/>
        <item x="345"/>
        <item x="441"/>
        <item x="644"/>
        <item x="478"/>
        <item x="394"/>
        <item x="226"/>
        <item x="163"/>
        <item x="443"/>
        <item x="333"/>
        <item x="146"/>
        <item x="530"/>
        <item x="716"/>
        <item x="904"/>
        <item x="611"/>
        <item x="862"/>
        <item x="515"/>
        <item x="148"/>
        <item x="699"/>
        <item x="952"/>
        <item x="219"/>
        <item x="833"/>
        <item x="585"/>
        <item x="857"/>
        <item x="777"/>
        <item x="426"/>
        <item x="356"/>
        <item x="350"/>
        <item x="545"/>
        <item x="998"/>
        <item x="26"/>
        <item x="383"/>
        <item x="651"/>
        <item x="827"/>
        <item x="510"/>
        <item x="436"/>
        <item x="385"/>
        <item x="80"/>
        <item x="397"/>
        <item x="59"/>
        <item x="880"/>
        <item x="914"/>
        <item x="653"/>
        <item x="704"/>
        <item x="550"/>
        <item x="281"/>
        <item x="0"/>
        <item x="813"/>
        <item x="781"/>
        <item x="705"/>
        <item x="523"/>
        <item x="983"/>
        <item x="607"/>
        <item x="821"/>
        <item x="427"/>
        <item x="376"/>
        <item x="779"/>
        <item x="201"/>
        <item x="213"/>
        <item x="577"/>
        <item x="475"/>
        <item x="277"/>
        <item x="974"/>
        <item x="805"/>
        <item x="489"/>
        <item x="621"/>
        <item x="89"/>
        <item x="470"/>
        <item x="950"/>
        <item x="637"/>
        <item x="493"/>
        <item x="235"/>
        <item x="772"/>
        <item x="927"/>
        <item x="583"/>
        <item x="969"/>
        <item x="402"/>
        <item x="973"/>
        <item x="127"/>
        <item x="308"/>
        <item x="726"/>
        <item x="36"/>
        <item x="678"/>
        <item x="513"/>
        <item x="736"/>
        <item x="19"/>
        <item x="588"/>
        <item x="263"/>
        <item x="565"/>
        <item x="967"/>
        <item x="597"/>
        <item x="505"/>
        <item x="276"/>
        <item x="798"/>
        <item x="141"/>
        <item x="863"/>
        <item x="771"/>
        <item x="628"/>
        <item x="796"/>
        <item x="802"/>
        <item x="13"/>
        <item x="325"/>
        <item x="194"/>
        <item x="870"/>
        <item x="268"/>
        <item x="466"/>
        <item x="90"/>
        <item x="44"/>
        <item x="619"/>
        <item x="191"/>
        <item x="941"/>
        <item x="362"/>
        <item x="819"/>
        <item x="600"/>
        <item x="85"/>
        <item x="53"/>
        <item x="375"/>
        <item x="902"/>
        <item x="236"/>
        <item x="697"/>
        <item x="248"/>
        <item x="873"/>
        <item x="45"/>
        <item x="228"/>
        <item x="931"/>
        <item x="379"/>
        <item x="581"/>
        <item x="714"/>
        <item x="901"/>
        <item x="680"/>
        <item x="912"/>
        <item x="120"/>
        <item x="265"/>
        <item x="208"/>
        <item x="868"/>
        <item x="336"/>
        <item x="465"/>
        <item x="339"/>
        <item x="589"/>
        <item x="171"/>
        <item x="825"/>
        <item x="196"/>
        <item x="647"/>
        <item x="365"/>
        <item x="94"/>
        <item x="852"/>
        <item x="938"/>
        <item x="673"/>
        <item x="778"/>
        <item x="814"/>
        <item x="906"/>
        <item x="831"/>
        <item x="520"/>
        <item x="797"/>
        <item x="635"/>
        <item x="428"/>
        <item x="257"/>
        <item x="216"/>
        <item x="542"/>
        <item x="429"/>
        <item x="626"/>
        <item x="664"/>
        <item x="108"/>
        <item x="982"/>
        <item x="511"/>
        <item x="687"/>
        <item x="115"/>
        <item x="920"/>
        <item x="501"/>
        <item x="23"/>
        <item x="16"/>
        <item x="355"/>
        <item x="485"/>
        <item x="842"/>
        <item x="764"/>
        <item x="539"/>
        <item x="765"/>
        <item x="344"/>
        <item x="218"/>
        <item x="563"/>
        <item t="default"/>
      </items>
    </pivotField>
    <pivotField compact="0" numFmtId="8" showAll="0">
      <items count="1001">
        <item x="604"/>
        <item x="718"/>
        <item x="525"/>
        <item x="992"/>
        <item x="305"/>
        <item x="582"/>
        <item x="887"/>
        <item x="756"/>
        <item x="928"/>
        <item x="392"/>
        <item x="774"/>
        <item x="162"/>
        <item x="668"/>
        <item x="387"/>
        <item x="296"/>
        <item x="959"/>
        <item x="955"/>
        <item x="712"/>
        <item x="584"/>
        <item x="471"/>
        <item x="876"/>
        <item x="374"/>
        <item x="682"/>
        <item x="684"/>
        <item x="353"/>
        <item x="109"/>
        <item x="47"/>
        <item x="557"/>
        <item x="558"/>
        <item x="492"/>
        <item x="706"/>
        <item x="324"/>
        <item x="894"/>
        <item x="639"/>
        <item x="775"/>
        <item x="617"/>
        <item x="724"/>
        <item x="884"/>
        <item x="335"/>
        <item x="298"/>
        <item x="728"/>
        <item x="30"/>
        <item x="976"/>
        <item x="247"/>
        <item x="766"/>
        <item x="167"/>
        <item x="495"/>
        <item x="271"/>
        <item x="156"/>
        <item x="3"/>
        <item x="227"/>
        <item x="52"/>
        <item x="103"/>
        <item x="793"/>
        <item x="363"/>
        <item x="405"/>
        <item x="741"/>
        <item x="56"/>
        <item x="900"/>
        <item x="490"/>
        <item x="698"/>
        <item x="395"/>
        <item x="807"/>
        <item x="885"/>
        <item x="560"/>
        <item x="79"/>
        <item x="840"/>
        <item x="273"/>
        <item x="126"/>
        <item x="155"/>
        <item x="422"/>
        <item x="608"/>
        <item x="580"/>
        <item x="613"/>
        <item x="818"/>
        <item x="861"/>
        <item x="803"/>
        <item x="709"/>
        <item x="954"/>
        <item x="570"/>
        <item x="371"/>
        <item x="971"/>
        <item x="366"/>
        <item x="388"/>
        <item x="278"/>
        <item x="432"/>
        <item x="6"/>
        <item x="214"/>
        <item x="240"/>
        <item x="7"/>
        <item x="808"/>
        <item x="66"/>
        <item x="689"/>
        <item x="211"/>
        <item x="785"/>
        <item x="430"/>
        <item x="674"/>
        <item x="921"/>
        <item x="267"/>
        <item x="881"/>
        <item x="762"/>
        <item x="159"/>
        <item x="456"/>
        <item x="199"/>
        <item x="372"/>
        <item x="62"/>
        <item x="893"/>
        <item x="951"/>
        <item x="14"/>
        <item x="173"/>
        <item x="518"/>
        <item x="534"/>
        <item x="390"/>
        <item x="810"/>
        <item x="994"/>
        <item x="38"/>
        <item x="999"/>
        <item x="455"/>
        <item x="316"/>
        <item x="903"/>
        <item x="739"/>
        <item x="710"/>
        <item x="217"/>
        <item x="573"/>
        <item x="453"/>
        <item x="399"/>
        <item x="568"/>
        <item x="627"/>
        <item x="87"/>
        <item x="789"/>
        <item x="74"/>
        <item x="734"/>
        <item x="949"/>
        <item x="70"/>
        <item x="221"/>
        <item x="721"/>
        <item x="114"/>
        <item x="386"/>
        <item x="829"/>
        <item x="207"/>
        <item x="923"/>
        <item x="192"/>
        <item x="144"/>
        <item x="700"/>
        <item x="911"/>
        <item x="112"/>
        <item x="97"/>
        <item x="193"/>
        <item x="61"/>
        <item x="187"/>
        <item x="195"/>
        <item x="391"/>
        <item x="272"/>
        <item x="251"/>
        <item x="930"/>
        <item x="711"/>
        <item x="996"/>
        <item x="65"/>
        <item x="500"/>
        <item x="136"/>
        <item x="591"/>
        <item x="783"/>
        <item x="185"/>
        <item x="524"/>
        <item x="315"/>
        <item x="845"/>
        <item x="757"/>
        <item x="865"/>
        <item x="877"/>
        <item x="753"/>
        <item x="289"/>
        <item x="444"/>
        <item x="352"/>
        <item x="439"/>
        <item x="640"/>
        <item x="290"/>
        <item x="480"/>
        <item x="855"/>
        <item x="660"/>
        <item x="269"/>
        <item x="338"/>
        <item x="25"/>
        <item x="991"/>
        <item x="661"/>
        <item x="322"/>
        <item x="437"/>
        <item x="189"/>
        <item x="134"/>
        <item x="929"/>
        <item x="916"/>
        <item x="55"/>
        <item x="462"/>
        <item x="320"/>
        <item x="73"/>
        <item x="922"/>
        <item x="318"/>
        <item x="270"/>
        <item x="846"/>
        <item x="24"/>
        <item x="615"/>
        <item x="986"/>
        <item x="559"/>
        <item x="812"/>
        <item x="84"/>
        <item x="461"/>
        <item x="121"/>
        <item x="569"/>
        <item x="788"/>
        <item x="595"/>
        <item x="761"/>
        <item x="327"/>
        <item x="400"/>
        <item x="514"/>
        <item x="42"/>
        <item x="997"/>
        <item x="286"/>
        <item x="414"/>
        <item x="425"/>
        <item x="135"/>
        <item x="636"/>
        <item x="746"/>
        <item x="359"/>
        <item x="925"/>
        <item x="304"/>
        <item x="21"/>
        <item x="723"/>
        <item x="502"/>
        <item x="782"/>
        <item x="784"/>
        <item x="138"/>
        <item x="69"/>
        <item x="310"/>
        <item x="434"/>
        <item x="924"/>
        <item x="859"/>
        <item x="847"/>
        <item x="830"/>
        <item x="715"/>
        <item x="239"/>
        <item x="742"/>
        <item x="498"/>
        <item x="553"/>
        <item x="671"/>
        <item x="384"/>
        <item x="60"/>
        <item x="337"/>
        <item x="657"/>
        <item x="92"/>
        <item x="890"/>
        <item x="579"/>
        <item x="787"/>
        <item x="707"/>
        <item x="527"/>
        <item x="382"/>
        <item x="179"/>
        <item x="22"/>
        <item x="737"/>
        <item x="132"/>
        <item x="377"/>
        <item x="282"/>
        <item x="435"/>
        <item x="917"/>
        <item x="477"/>
        <item x="506"/>
        <item x="645"/>
        <item x="293"/>
        <item x="602"/>
        <item x="262"/>
        <item x="54"/>
        <item x="963"/>
        <item x="312"/>
        <item x="867"/>
        <item x="866"/>
        <item x="486"/>
        <item x="302"/>
        <item x="243"/>
        <item x="792"/>
        <item x="484"/>
        <item x="152"/>
        <item x="467"/>
        <item x="970"/>
        <item x="519"/>
        <item x="548"/>
        <item x="58"/>
        <item x="686"/>
        <item x="313"/>
        <item x="172"/>
        <item x="220"/>
        <item x="445"/>
        <item x="341"/>
        <item x="957"/>
        <item x="658"/>
        <item x="918"/>
        <item x="464"/>
        <item x="817"/>
        <item x="879"/>
        <item x="937"/>
        <item x="844"/>
        <item x="768"/>
        <item x="118"/>
        <item x="843"/>
        <item x="507"/>
        <item x="732"/>
        <item x="850"/>
        <item x="457"/>
        <item x="31"/>
        <item x="546"/>
        <item x="735"/>
        <item x="81"/>
        <item x="703"/>
        <item x="482"/>
        <item x="447"/>
        <item x="823"/>
        <item x="442"/>
        <item x="494"/>
        <item x="730"/>
        <item x="380"/>
        <item x="722"/>
        <item x="252"/>
        <item x="853"/>
        <item x="744"/>
        <item x="544"/>
        <item x="50"/>
        <item x="702"/>
        <item x="57"/>
        <item x="82"/>
        <item x="463"/>
        <item x="587"/>
        <item x="605"/>
        <item x="620"/>
        <item x="606"/>
        <item x="719"/>
        <item x="125"/>
        <item x="100"/>
        <item x="612"/>
        <item x="574"/>
        <item x="590"/>
        <item x="222"/>
        <item x="160"/>
        <item x="297"/>
        <item x="104"/>
        <item x="169"/>
        <item x="935"/>
        <item x="410"/>
        <item x="349"/>
        <item x="393"/>
        <item x="12"/>
        <item x="995"/>
        <item x="111"/>
        <item x="149"/>
        <item x="266"/>
        <item x="826"/>
        <item x="416"/>
        <item x="685"/>
        <item x="168"/>
        <item x="381"/>
        <item x="895"/>
        <item x="364"/>
        <item x="816"/>
        <item x="839"/>
        <item x="913"/>
        <item x="552"/>
        <item x="713"/>
        <item x="770"/>
        <item x="98"/>
        <item x="122"/>
        <item x="101"/>
        <item x="926"/>
        <item x="166"/>
        <item x="727"/>
        <item x="966"/>
        <item x="554"/>
        <item x="822"/>
        <item x="940"/>
        <item x="328"/>
        <item x="815"/>
        <item x="496"/>
        <item x="623"/>
        <item x="968"/>
        <item x="740"/>
        <item x="755"/>
        <item x="107"/>
        <item x="504"/>
        <item x="869"/>
        <item x="638"/>
        <item x="137"/>
        <item x="665"/>
        <item x="567"/>
        <item x="224"/>
        <item x="450"/>
        <item x="150"/>
        <item x="872"/>
        <item x="203"/>
        <item x="683"/>
        <item x="981"/>
        <item x="541"/>
        <item x="964"/>
        <item x="404"/>
        <item x="153"/>
        <item x="516"/>
        <item x="987"/>
        <item x="113"/>
        <item x="317"/>
        <item x="28"/>
        <item x="184"/>
        <item x="458"/>
        <item x="743"/>
        <item x="625"/>
        <item x="181"/>
        <item x="945"/>
        <item x="854"/>
        <item x="538"/>
        <item x="8"/>
        <item x="446"/>
        <item x="368"/>
        <item x="116"/>
        <item x="811"/>
        <item x="110"/>
        <item x="204"/>
        <item x="233"/>
        <item x="41"/>
        <item x="643"/>
        <item x="528"/>
        <item x="630"/>
        <item x="592"/>
        <item x="280"/>
        <item x="571"/>
        <item x="708"/>
        <item x="29"/>
        <item x="962"/>
        <item x="342"/>
        <item x="975"/>
        <item x="131"/>
        <item x="295"/>
        <item x="564"/>
        <item x="63"/>
        <item x="329"/>
        <item x="688"/>
        <item x="64"/>
        <item x="288"/>
        <item x="888"/>
        <item x="284"/>
        <item x="948"/>
        <item x="874"/>
        <item x="129"/>
        <item x="39"/>
        <item x="977"/>
        <item x="972"/>
        <item x="556"/>
        <item x="275"/>
        <item x="448"/>
        <item x="421"/>
        <item x="956"/>
        <item x="102"/>
        <item x="841"/>
        <item x="198"/>
        <item x="299"/>
        <item x="88"/>
        <item x="254"/>
        <item x="417"/>
        <item x="491"/>
        <item x="261"/>
        <item x="292"/>
        <item x="321"/>
        <item x="851"/>
        <item x="549"/>
        <item x="259"/>
        <item x="561"/>
        <item x="468"/>
        <item x="652"/>
        <item x="123"/>
        <item x="40"/>
        <item x="836"/>
        <item x="594"/>
        <item x="745"/>
        <item x="75"/>
        <item x="283"/>
        <item x="78"/>
        <item x="947"/>
        <item x="244"/>
        <item x="562"/>
        <item x="77"/>
        <item x="9"/>
        <item x="27"/>
        <item x="264"/>
        <item x="242"/>
        <item x="476"/>
        <item x="889"/>
        <item x="993"/>
        <item x="858"/>
        <item x="145"/>
        <item x="418"/>
        <item x="696"/>
        <item x="834"/>
        <item x="750"/>
        <item x="532"/>
        <item x="896"/>
        <item x="285"/>
        <item x="616"/>
        <item x="68"/>
        <item x="451"/>
        <item x="301"/>
        <item x="804"/>
        <item x="206"/>
        <item x="177"/>
        <item x="43"/>
        <item x="440"/>
        <item x="245"/>
        <item x="614"/>
        <item x="413"/>
        <item x="309"/>
        <item x="748"/>
        <item x="151"/>
        <item x="642"/>
        <item x="357"/>
        <item x="48"/>
        <item x="654"/>
        <item x="733"/>
        <item x="572"/>
        <item x="672"/>
        <item x="419"/>
        <item x="758"/>
        <item x="875"/>
        <item x="287"/>
        <item x="230"/>
        <item x="747"/>
        <item x="258"/>
        <item x="609"/>
        <item x="892"/>
        <item x="378"/>
        <item x="978"/>
        <item x="760"/>
        <item x="424"/>
        <item x="370"/>
        <item x="883"/>
        <item x="412"/>
        <item x="10"/>
        <item x="731"/>
        <item x="958"/>
        <item x="469"/>
        <item x="347"/>
        <item x="882"/>
        <item x="944"/>
        <item x="909"/>
        <item x="729"/>
        <item x="37"/>
        <item x="776"/>
        <item x="488"/>
        <item x="409"/>
        <item x="106"/>
        <item x="330"/>
        <item x="176"/>
        <item x="33"/>
        <item x="751"/>
        <item x="763"/>
        <item x="691"/>
        <item x="161"/>
        <item x="598"/>
        <item x="832"/>
        <item x="838"/>
        <item x="835"/>
        <item x="809"/>
        <item x="701"/>
        <item x="990"/>
        <item x="86"/>
        <item x="517"/>
        <item x="677"/>
        <item x="479"/>
        <item x="566"/>
        <item x="5"/>
        <item x="988"/>
        <item x="99"/>
        <item x="943"/>
        <item x="800"/>
        <item x="667"/>
        <item x="190"/>
        <item x="769"/>
        <item x="837"/>
        <item x="828"/>
        <item x="294"/>
        <item x="360"/>
        <item x="624"/>
        <item x="752"/>
        <item x="4"/>
        <item x="449"/>
        <item x="512"/>
        <item x="535"/>
        <item x="848"/>
        <item x="907"/>
        <item x="919"/>
        <item x="537"/>
        <item x="984"/>
        <item x="202"/>
        <item x="420"/>
        <item x="291"/>
        <item x="225"/>
        <item x="142"/>
        <item x="864"/>
        <item x="249"/>
        <item x="15"/>
        <item x="646"/>
        <item x="311"/>
        <item x="256"/>
        <item x="610"/>
        <item x="260"/>
        <item x="693"/>
        <item x="878"/>
        <item x="820"/>
        <item x="596"/>
        <item x="551"/>
        <item x="215"/>
        <item x="543"/>
        <item x="650"/>
        <item x="255"/>
        <item x="474"/>
        <item x="915"/>
        <item x="670"/>
        <item x="157"/>
        <item x="200"/>
        <item x="618"/>
        <item x="801"/>
        <item x="663"/>
        <item x="953"/>
        <item x="773"/>
        <item x="314"/>
        <item x="659"/>
        <item x="398"/>
        <item x="18"/>
        <item x="205"/>
        <item x="35"/>
        <item x="717"/>
        <item x="886"/>
        <item x="154"/>
        <item x="979"/>
        <item x="32"/>
        <item x="632"/>
        <item x="164"/>
        <item x="51"/>
        <item x="960"/>
        <item x="174"/>
        <item x="188"/>
        <item x="72"/>
        <item x="212"/>
        <item x="396"/>
        <item x="76"/>
        <item x="531"/>
        <item x="223"/>
        <item x="229"/>
        <item x="649"/>
        <item x="71"/>
        <item x="323"/>
        <item x="403"/>
        <item x="905"/>
        <item x="655"/>
        <item x="786"/>
        <item x="536"/>
        <item x="238"/>
        <item x="307"/>
        <item x="791"/>
        <item x="555"/>
        <item x="946"/>
        <item x="117"/>
        <item x="593"/>
        <item x="401"/>
        <item x="695"/>
        <item x="942"/>
        <item x="326"/>
        <item x="348"/>
        <item x="629"/>
        <item x="250"/>
        <item x="389"/>
        <item x="454"/>
        <item x="898"/>
        <item x="675"/>
        <item x="690"/>
        <item x="186"/>
        <item x="790"/>
        <item x="178"/>
        <item x="158"/>
        <item x="891"/>
        <item x="351"/>
        <item x="241"/>
        <item x="34"/>
        <item x="780"/>
        <item x="936"/>
        <item x="662"/>
        <item x="794"/>
        <item x="433"/>
        <item x="575"/>
        <item x="720"/>
        <item x="767"/>
        <item x="749"/>
        <item x="300"/>
        <item x="666"/>
        <item x="910"/>
        <item x="334"/>
        <item x="373"/>
        <item x="849"/>
        <item x="1"/>
        <item x="197"/>
        <item x="93"/>
        <item x="232"/>
        <item x="231"/>
        <item x="547"/>
        <item x="234"/>
        <item x="49"/>
        <item x="253"/>
        <item x="648"/>
        <item x="460"/>
        <item x="473"/>
        <item x="130"/>
        <item x="423"/>
        <item x="871"/>
        <item x="105"/>
        <item x="331"/>
        <item x="369"/>
        <item x="481"/>
        <item x="522"/>
        <item x="367"/>
        <item x="133"/>
        <item x="279"/>
        <item x="508"/>
        <item x="799"/>
        <item x="139"/>
        <item x="343"/>
        <item x="576"/>
        <item x="509"/>
        <item x="346"/>
        <item x="669"/>
        <item x="499"/>
        <item x="483"/>
        <item x="20"/>
        <item x="692"/>
        <item x="182"/>
        <item x="478"/>
        <item x="175"/>
        <item x="303"/>
        <item x="411"/>
        <item x="210"/>
        <item x="147"/>
        <item x="656"/>
        <item x="795"/>
        <item x="676"/>
        <item x="128"/>
        <item x="143"/>
        <item x="119"/>
        <item x="306"/>
        <item x="183"/>
        <item x="67"/>
        <item x="209"/>
        <item x="96"/>
        <item x="526"/>
        <item x="459"/>
        <item x="83"/>
        <item x="641"/>
        <item x="452"/>
        <item x="681"/>
        <item x="824"/>
        <item x="533"/>
        <item x="603"/>
        <item x="170"/>
        <item x="759"/>
        <item x="631"/>
        <item x="2"/>
        <item x="934"/>
        <item x="438"/>
        <item x="441"/>
        <item x="985"/>
        <item x="46"/>
        <item x="274"/>
        <item x="237"/>
        <item x="856"/>
        <item x="899"/>
        <item x="521"/>
        <item x="908"/>
        <item x="17"/>
        <item x="694"/>
        <item x="860"/>
        <item x="897"/>
        <item x="540"/>
        <item x="146"/>
        <item x="599"/>
        <item x="578"/>
        <item x="503"/>
        <item x="332"/>
        <item x="246"/>
        <item x="180"/>
        <item x="91"/>
        <item x="497"/>
        <item x="415"/>
        <item x="358"/>
        <item x="961"/>
        <item x="622"/>
        <item x="431"/>
        <item x="634"/>
        <item x="679"/>
        <item x="725"/>
        <item x="989"/>
        <item x="226"/>
        <item x="633"/>
        <item x="95"/>
        <item x="586"/>
        <item x="754"/>
        <item x="939"/>
        <item x="408"/>
        <item x="806"/>
        <item x="738"/>
        <item x="965"/>
        <item x="124"/>
        <item x="11"/>
        <item x="319"/>
        <item x="394"/>
        <item x="530"/>
        <item x="644"/>
        <item x="933"/>
        <item x="361"/>
        <item x="354"/>
        <item x="345"/>
        <item x="340"/>
        <item x="515"/>
        <item x="406"/>
        <item x="904"/>
        <item x="443"/>
        <item x="932"/>
        <item x="148"/>
        <item x="529"/>
        <item x="980"/>
        <item x="140"/>
        <item x="407"/>
        <item x="163"/>
        <item x="862"/>
        <item x="611"/>
        <item x="333"/>
        <item x="601"/>
        <item x="472"/>
        <item x="487"/>
        <item x="165"/>
        <item x="350"/>
        <item x="716"/>
        <item x="777"/>
        <item x="827"/>
        <item x="699"/>
        <item x="998"/>
        <item x="383"/>
        <item x="385"/>
        <item x="545"/>
        <item x="857"/>
        <item x="704"/>
        <item x="356"/>
        <item x="952"/>
        <item x="219"/>
        <item x="585"/>
        <item x="397"/>
        <item x="523"/>
        <item x="880"/>
        <item x="26"/>
        <item x="833"/>
        <item x="426"/>
        <item x="59"/>
        <item x="779"/>
        <item x="281"/>
        <item x="475"/>
        <item x="510"/>
        <item x="821"/>
        <item x="550"/>
        <item x="376"/>
        <item x="781"/>
        <item x="653"/>
        <item x="89"/>
        <item x="705"/>
        <item x="651"/>
        <item x="470"/>
        <item x="436"/>
        <item x="950"/>
        <item x="80"/>
        <item x="983"/>
        <item x="914"/>
        <item x="607"/>
        <item x="974"/>
        <item x="805"/>
        <item x="213"/>
        <item x="0"/>
        <item x="308"/>
        <item x="402"/>
        <item x="427"/>
        <item x="813"/>
        <item x="796"/>
        <item x="588"/>
        <item x="489"/>
        <item x="969"/>
        <item x="967"/>
        <item x="276"/>
        <item x="201"/>
        <item x="277"/>
        <item x="736"/>
        <item x="621"/>
        <item x="772"/>
        <item x="236"/>
        <item x="678"/>
        <item x="325"/>
        <item x="697"/>
        <item x="577"/>
        <item x="973"/>
        <item x="901"/>
        <item x="191"/>
        <item x="771"/>
        <item x="493"/>
        <item x="600"/>
        <item x="927"/>
        <item x="465"/>
        <item x="802"/>
        <item x="263"/>
        <item x="235"/>
        <item x="194"/>
        <item x="466"/>
        <item x="513"/>
        <item x="94"/>
        <item x="726"/>
        <item x="583"/>
        <item x="637"/>
        <item x="565"/>
        <item x="45"/>
        <item x="127"/>
        <item x="870"/>
        <item x="90"/>
        <item x="673"/>
        <item x="931"/>
        <item x="379"/>
        <item x="362"/>
        <item x="19"/>
        <item x="141"/>
        <item x="798"/>
        <item x="863"/>
        <item x="635"/>
        <item x="505"/>
        <item x="597"/>
        <item x="941"/>
        <item x="196"/>
        <item x="912"/>
        <item x="36"/>
        <item x="85"/>
        <item x="228"/>
        <item x="248"/>
        <item x="906"/>
        <item x="831"/>
        <item x="982"/>
        <item x="268"/>
        <item x="687"/>
        <item x="429"/>
        <item x="13"/>
        <item x="626"/>
        <item x="647"/>
        <item x="336"/>
        <item x="819"/>
        <item x="115"/>
        <item x="825"/>
        <item x="542"/>
        <item x="873"/>
        <item x="23"/>
        <item x="501"/>
        <item x="108"/>
        <item x="778"/>
        <item x="44"/>
        <item x="868"/>
        <item x="714"/>
        <item x="628"/>
        <item x="581"/>
        <item x="53"/>
        <item x="520"/>
        <item x="16"/>
        <item x="619"/>
        <item x="375"/>
        <item x="842"/>
        <item x="171"/>
        <item x="208"/>
        <item x="120"/>
        <item x="485"/>
        <item x="257"/>
        <item x="852"/>
        <item x="902"/>
        <item x="265"/>
        <item x="339"/>
        <item x="938"/>
        <item x="664"/>
        <item x="920"/>
        <item x="680"/>
        <item x="589"/>
        <item x="814"/>
        <item x="764"/>
        <item x="365"/>
        <item x="765"/>
        <item x="797"/>
        <item x="511"/>
        <item x="355"/>
        <item x="216"/>
        <item x="428"/>
        <item x="563"/>
        <item x="218"/>
        <item x="539"/>
        <item x="344"/>
        <item t="default"/>
      </items>
    </pivotField>
    <pivotField dataField="1" compact="0" numFmtId="8" showAll="0">
      <items count="1001">
        <item x="42"/>
        <item x="462"/>
        <item x="527"/>
        <item x="135"/>
        <item x="986"/>
        <item x="711"/>
        <item x="999"/>
        <item x="757"/>
        <item x="829"/>
        <item x="689"/>
        <item x="700"/>
        <item x="808"/>
        <item x="70"/>
        <item x="60"/>
        <item x="911"/>
        <item x="518"/>
        <item x="534"/>
        <item x="304"/>
        <item x="313"/>
        <item x="112"/>
        <item x="456"/>
        <item x="707"/>
        <item x="7"/>
        <item x="918"/>
        <item x="298"/>
        <item x="302"/>
        <item x="159"/>
        <item x="79"/>
        <item x="316"/>
        <item x="114"/>
        <item x="591"/>
        <item x="928"/>
        <item x="480"/>
        <item x="877"/>
        <item x="582"/>
        <item x="296"/>
        <item x="668"/>
        <item x="65"/>
        <item x="73"/>
        <item x="227"/>
        <item x="189"/>
        <item x="595"/>
        <item x="162"/>
        <item x="546"/>
        <item x="997"/>
        <item x="951"/>
        <item x="66"/>
        <item x="937"/>
        <item x="273"/>
        <item x="682"/>
        <item x="604"/>
        <item x="959"/>
        <item x="447"/>
        <item x="718"/>
        <item x="992"/>
        <item x="525"/>
        <item x="305"/>
        <item x="395"/>
        <item x="374"/>
        <item x="876"/>
        <item x="955"/>
        <item x="584"/>
        <item x="98"/>
        <item x="930"/>
        <item x="580"/>
        <item x="144"/>
        <item x="793"/>
        <item x="753"/>
        <item x="803"/>
        <item x="324"/>
        <item x="453"/>
        <item x="14"/>
        <item x="392"/>
        <item x="560"/>
        <item x="315"/>
        <item x="56"/>
        <item x="774"/>
        <item x="724"/>
        <item x="617"/>
        <item x="810"/>
        <item x="639"/>
        <item x="887"/>
        <item x="310"/>
        <item x="187"/>
        <item x="251"/>
        <item x="109"/>
        <item x="558"/>
        <item x="756"/>
        <item x="741"/>
        <item x="514"/>
        <item x="498"/>
        <item x="686"/>
        <item x="247"/>
        <item x="30"/>
        <item x="507"/>
        <item x="156"/>
        <item x="173"/>
        <item x="335"/>
        <item x="921"/>
        <item x="471"/>
        <item x="103"/>
        <item x="87"/>
        <item x="818"/>
        <item x="861"/>
        <item x="674"/>
        <item x="954"/>
        <item x="712"/>
        <item x="278"/>
        <item x="47"/>
        <item x="289"/>
        <item x="387"/>
        <item x="382"/>
        <item x="557"/>
        <item x="422"/>
        <item x="715"/>
        <item x="706"/>
        <item x="69"/>
        <item x="353"/>
        <item x="925"/>
        <item x="963"/>
        <item x="445"/>
        <item x="207"/>
        <item x="160"/>
        <item x="723"/>
        <item x="169"/>
        <item x="388"/>
        <item x="570"/>
        <item x="506"/>
        <item x="730"/>
        <item x="684"/>
        <item x="929"/>
        <item x="371"/>
        <item x="492"/>
        <item x="495"/>
        <item x="167"/>
        <item x="728"/>
        <item x="6"/>
        <item x="894"/>
        <item x="900"/>
        <item x="893"/>
        <item x="390"/>
        <item x="719"/>
        <item x="490"/>
        <item x="872"/>
        <item x="519"/>
        <item x="271"/>
        <item x="192"/>
        <item x="25"/>
        <item x="3"/>
        <item x="991"/>
        <item x="885"/>
        <item x="61"/>
        <item x="846"/>
        <item x="844"/>
        <item x="976"/>
        <item x="775"/>
        <item x="884"/>
        <item x="573"/>
        <item x="569"/>
        <item x="995"/>
        <item x="623"/>
        <item x="766"/>
        <item x="807"/>
        <item x="903"/>
        <item x="286"/>
        <item x="432"/>
        <item x="553"/>
        <item x="755"/>
        <item x="363"/>
        <item x="155"/>
        <item x="132"/>
        <item x="924"/>
        <item x="850"/>
        <item x="405"/>
        <item x="52"/>
        <item x="50"/>
        <item x="698"/>
        <item x="949"/>
        <item x="267"/>
        <item x="935"/>
        <item x="384"/>
        <item x="430"/>
        <item x="968"/>
        <item x="789"/>
        <item x="337"/>
        <item x="613"/>
        <item x="881"/>
        <item x="971"/>
        <item x="590"/>
        <item x="761"/>
        <item x="321"/>
        <item x="214"/>
        <item x="627"/>
        <item x="528"/>
        <item x="784"/>
        <item x="113"/>
        <item x="136"/>
        <item x="152"/>
        <item x="193"/>
        <item x="372"/>
        <item x="199"/>
        <item x="150"/>
        <item x="126"/>
        <item x="792"/>
        <item x="858"/>
        <item x="328"/>
        <item x="867"/>
        <item x="293"/>
        <item x="134"/>
        <item x="845"/>
        <item x="840"/>
        <item x="562"/>
        <item x="785"/>
        <item x="608"/>
        <item x="97"/>
        <item x="855"/>
        <item x="709"/>
        <item x="366"/>
        <item x="217"/>
        <item x="762"/>
        <item x="101"/>
        <item x="574"/>
        <item x="122"/>
        <item x="455"/>
        <item x="138"/>
        <item x="734"/>
        <item x="74"/>
        <item x="240"/>
        <item x="568"/>
        <item x="660"/>
        <item x="320"/>
        <item x="176"/>
        <item x="329"/>
        <item x="222"/>
        <item x="702"/>
        <item x="740"/>
        <item x="661"/>
        <item x="21"/>
        <item x="416"/>
        <item x="671"/>
        <item x="211"/>
        <item x="926"/>
        <item x="425"/>
        <item x="84"/>
        <item x="722"/>
        <item x="62"/>
        <item x="399"/>
        <item x="879"/>
        <item x="548"/>
        <item x="364"/>
        <item x="822"/>
        <item x="38"/>
        <item x="729"/>
        <item x="266"/>
        <item x="272"/>
        <item x="172"/>
        <item x="190"/>
        <item x="830"/>
        <item x="290"/>
        <item x="916"/>
        <item x="579"/>
        <item x="657"/>
        <item x="55"/>
        <item x="349"/>
        <item x="270"/>
        <item x="414"/>
        <item x="782"/>
        <item x="710"/>
        <item x="516"/>
        <item x="221"/>
        <item x="283"/>
        <item x="739"/>
        <item x="269"/>
        <item x="437"/>
        <item x="640"/>
        <item x="121"/>
        <item x="220"/>
        <item x="31"/>
        <item x="994"/>
        <item x="368"/>
        <item x="341"/>
        <item x="923"/>
        <item x="39"/>
        <item x="322"/>
        <item x="630"/>
        <item x="359"/>
        <item x="107"/>
        <item x="812"/>
        <item x="4"/>
        <item x="625"/>
        <item x="185"/>
        <item x="658"/>
        <item x="721"/>
        <item x="195"/>
        <item x="787"/>
        <item x="524"/>
        <item x="386"/>
        <item x="86"/>
        <item x="391"/>
        <item x="602"/>
        <item x="243"/>
        <item x="400"/>
        <item x="457"/>
        <item x="352"/>
        <item x="338"/>
        <item x="865"/>
        <item x="323"/>
        <item x="691"/>
        <item x="571"/>
        <item x="262"/>
        <item x="996"/>
        <item x="636"/>
        <item x="685"/>
        <item x="645"/>
        <item x="439"/>
        <item x="469"/>
        <item x="559"/>
        <item x="282"/>
        <item x="649"/>
        <item x="494"/>
        <item x="500"/>
        <item x="327"/>
        <item x="434"/>
        <item x="110"/>
        <item x="461"/>
        <item x="486"/>
        <item x="783"/>
        <item x="922"/>
        <item x="442"/>
        <item x="839"/>
        <item x="177"/>
        <item x="826"/>
        <item x="742"/>
        <item x="823"/>
        <item x="377"/>
        <item x="24"/>
        <item x="93"/>
        <item x="444"/>
        <item x="81"/>
        <item x="890"/>
        <item x="435"/>
        <item x="318"/>
        <item x="22"/>
        <item x="853"/>
        <item x="184"/>
        <item x="816"/>
        <item x="832"/>
        <item x="615"/>
        <item x="54"/>
        <item x="280"/>
        <item x="957"/>
        <item x="859"/>
        <item x="643"/>
        <item x="788"/>
        <item x="620"/>
        <item x="735"/>
        <item x="477"/>
        <item x="746"/>
        <item x="572"/>
        <item x="732"/>
        <item x="473"/>
        <item x="977"/>
        <item x="484"/>
        <item x="275"/>
        <item x="768"/>
        <item x="168"/>
        <item x="166"/>
        <item x="886"/>
        <item x="502"/>
        <item x="737"/>
        <item x="197"/>
        <item x="744"/>
        <item x="203"/>
        <item x="947"/>
        <item x="917"/>
        <item x="225"/>
        <item x="111"/>
        <item x="610"/>
        <item x="843"/>
        <item x="612"/>
        <item x="675"/>
        <item x="638"/>
        <item x="252"/>
        <item x="964"/>
        <item x="817"/>
        <item x="854"/>
        <item x="68"/>
        <item x="913"/>
        <item x="118"/>
        <item x="888"/>
        <item x="179"/>
        <item x="149"/>
        <item x="919"/>
        <item x="82"/>
        <item x="116"/>
        <item x="292"/>
        <item x="683"/>
        <item x="544"/>
        <item x="895"/>
        <item x="970"/>
        <item x="41"/>
        <item x="605"/>
        <item x="58"/>
        <item x="239"/>
        <item x="198"/>
        <item x="137"/>
        <item x="847"/>
        <item x="667"/>
        <item x="92"/>
        <item x="769"/>
        <item x="866"/>
        <item x="164"/>
        <item x="393"/>
        <item x="948"/>
        <item x="12"/>
        <item x="360"/>
        <item x="463"/>
        <item x="889"/>
        <item x="467"/>
        <item x="288"/>
        <item x="464"/>
        <item x="482"/>
        <item x="587"/>
        <item x="57"/>
        <item x="312"/>
        <item x="837"/>
        <item x="713"/>
        <item x="71"/>
        <item x="898"/>
        <item x="538"/>
        <item x="37"/>
        <item x="104"/>
        <item x="478"/>
        <item x="491"/>
        <item x="43"/>
        <item x="230"/>
        <item x="869"/>
        <item x="380"/>
        <item x="297"/>
        <item x="975"/>
        <item x="665"/>
        <item x="703"/>
        <item x="153"/>
        <item x="727"/>
        <item x="811"/>
        <item x="688"/>
        <item x="598"/>
        <item x="624"/>
        <item x="758"/>
        <item x="815"/>
        <item x="254"/>
        <item x="100"/>
        <item x="567"/>
        <item x="988"/>
        <item x="504"/>
        <item x="295"/>
        <item x="564"/>
        <item x="743"/>
        <item x="552"/>
        <item x="102"/>
        <item x="987"/>
        <item x="284"/>
        <item x="8"/>
        <item x="410"/>
        <item x="972"/>
        <item x="125"/>
        <item x="874"/>
        <item x="233"/>
        <item x="708"/>
        <item x="448"/>
        <item x="200"/>
        <item x="841"/>
        <item x="450"/>
        <item x="646"/>
        <item x="75"/>
        <item x="29"/>
        <item x="404"/>
        <item x="733"/>
        <item x="606"/>
        <item x="259"/>
        <item x="592"/>
        <item x="131"/>
        <item x="206"/>
        <item x="381"/>
        <item x="64"/>
        <item x="800"/>
        <item x="409"/>
        <item x="342"/>
        <item x="378"/>
        <item x="224"/>
        <item x="770"/>
        <item x="966"/>
        <item x="618"/>
        <item x="945"/>
        <item x="556"/>
        <item x="940"/>
        <item x="554"/>
        <item x="541"/>
        <item x="496"/>
        <item x="314"/>
        <item x="370"/>
        <item x="981"/>
        <item x="956"/>
        <item x="776"/>
        <item x="28"/>
        <item x="446"/>
        <item x="317"/>
        <item x="204"/>
        <item x="15"/>
        <item x="244"/>
        <item x="476"/>
        <item x="905"/>
        <item x="878"/>
        <item x="958"/>
        <item x="412"/>
        <item x="421"/>
        <item x="962"/>
        <item x="261"/>
        <item x="594"/>
        <item x="458"/>
        <item x="748"/>
        <item x="993"/>
        <item x="181"/>
        <item x="517"/>
        <item x="561"/>
        <item x="834"/>
        <item x="145"/>
        <item x="63"/>
        <item x="537"/>
        <item x="129"/>
        <item x="419"/>
        <item x="418"/>
        <item x="78"/>
        <item x="411"/>
        <item x="77"/>
        <item x="809"/>
        <item x="88"/>
        <item x="299"/>
        <item x="468"/>
        <item x="750"/>
        <item x="549"/>
        <item x="40"/>
        <item x="543"/>
        <item x="909"/>
        <item x="701"/>
        <item x="123"/>
        <item x="642"/>
        <item x="614"/>
        <item x="804"/>
        <item x="27"/>
        <item x="616"/>
        <item x="301"/>
        <item x="264"/>
        <item x="417"/>
        <item x="348"/>
        <item x="851"/>
        <item x="245"/>
        <item x="424"/>
        <item x="285"/>
        <item x="551"/>
        <item x="654"/>
        <item x="763"/>
        <item x="413"/>
        <item x="652"/>
        <item x="440"/>
        <item x="836"/>
        <item x="670"/>
        <item x="838"/>
        <item x="745"/>
        <item x="357"/>
        <item x="242"/>
        <item x="161"/>
        <item x="875"/>
        <item x="696"/>
        <item x="672"/>
        <item x="9"/>
        <item x="10"/>
        <item x="48"/>
        <item x="309"/>
        <item x="178"/>
        <item x="609"/>
        <item x="655"/>
        <item x="151"/>
        <item x="451"/>
        <item x="892"/>
        <item x="882"/>
        <item x="915"/>
        <item x="535"/>
        <item x="532"/>
        <item x="117"/>
        <item x="883"/>
        <item x="330"/>
        <item x="311"/>
        <item x="835"/>
        <item x="896"/>
        <item x="942"/>
        <item x="449"/>
        <item x="760"/>
        <item x="978"/>
        <item x="943"/>
        <item x="287"/>
        <item x="720"/>
        <item x="215"/>
        <item x="479"/>
        <item x="488"/>
        <item x="258"/>
        <item x="749"/>
        <item x="347"/>
        <item x="747"/>
        <item x="403"/>
        <item x="512"/>
        <item x="677"/>
        <item x="105"/>
        <item x="106"/>
        <item x="751"/>
        <item x="990"/>
        <item x="731"/>
        <item x="130"/>
        <item x="303"/>
        <item x="291"/>
        <item x="154"/>
        <item x="944"/>
        <item x="51"/>
        <item x="801"/>
        <item x="820"/>
        <item x="5"/>
        <item x="566"/>
        <item x="256"/>
        <item x="420"/>
        <item x="99"/>
        <item x="848"/>
        <item x="441"/>
        <item x="33"/>
        <item x="18"/>
        <item x="223"/>
        <item x="369"/>
        <item x="32"/>
        <item x="202"/>
        <item x="119"/>
        <item x="128"/>
        <item x="828"/>
        <item x="752"/>
        <item x="603"/>
        <item x="182"/>
        <item x="780"/>
        <item x="907"/>
        <item x="249"/>
        <item x="759"/>
        <item x="648"/>
        <item x="692"/>
        <item x="158"/>
        <item x="389"/>
        <item x="250"/>
        <item x="205"/>
        <item x="294"/>
        <item x="255"/>
        <item x="717"/>
        <item x="767"/>
        <item x="979"/>
        <item x="864"/>
        <item x="146"/>
        <item x="632"/>
        <item x="663"/>
        <item x="536"/>
        <item x="142"/>
        <item x="186"/>
        <item x="460"/>
        <item x="474"/>
        <item x="695"/>
        <item x="650"/>
        <item x="174"/>
        <item x="433"/>
        <item x="307"/>
        <item x="175"/>
        <item x="210"/>
        <item x="72"/>
        <item x="35"/>
        <item x="984"/>
        <item x="343"/>
        <item x="871"/>
        <item x="849"/>
        <item x="593"/>
        <item x="49"/>
        <item x="786"/>
        <item x="936"/>
        <item x="596"/>
        <item x="576"/>
        <item x="306"/>
        <item x="791"/>
        <item x="522"/>
        <item x="76"/>
        <item x="629"/>
        <item x="693"/>
        <item x="659"/>
        <item x="533"/>
        <item x="133"/>
        <item x="396"/>
        <item x="398"/>
        <item x="334"/>
        <item x="238"/>
        <item x="300"/>
        <item x="260"/>
        <item x="666"/>
        <item x="157"/>
        <item x="681"/>
        <item x="960"/>
        <item x="212"/>
        <item x="773"/>
        <item x="367"/>
        <item x="953"/>
        <item x="229"/>
        <item x="226"/>
        <item x="188"/>
        <item x="690"/>
        <item x="946"/>
        <item x="34"/>
        <item x="795"/>
        <item x="234"/>
        <item x="891"/>
        <item x="452"/>
        <item x="183"/>
        <item x="46"/>
        <item x="373"/>
        <item x="856"/>
        <item x="241"/>
        <item x="454"/>
        <item x="83"/>
        <item x="139"/>
        <item x="794"/>
        <item x="662"/>
        <item x="910"/>
        <item x="555"/>
        <item x="531"/>
        <item x="401"/>
        <item x="547"/>
        <item x="676"/>
        <item x="231"/>
        <item x="754"/>
        <item x="351"/>
        <item x="575"/>
        <item x="96"/>
        <item x="209"/>
        <item x="631"/>
        <item x="180"/>
        <item x="503"/>
        <item x="515"/>
        <item x="2"/>
        <item x="253"/>
        <item x="331"/>
        <item x="799"/>
        <item x="148"/>
        <item x="326"/>
        <item x="423"/>
        <item x="790"/>
        <item x="20"/>
        <item x="824"/>
        <item x="509"/>
        <item x="481"/>
        <item x="530"/>
        <item x="508"/>
        <item x="394"/>
        <item x="232"/>
        <item x="91"/>
        <item x="897"/>
        <item x="985"/>
        <item x="1"/>
        <item x="908"/>
        <item x="143"/>
        <item x="279"/>
        <item x="332"/>
        <item x="934"/>
        <item x="641"/>
        <item x="438"/>
        <item x="483"/>
        <item x="644"/>
        <item x="274"/>
        <item x="499"/>
        <item x="346"/>
        <item x="669"/>
        <item x="67"/>
        <item x="656"/>
        <item x="147"/>
        <item x="521"/>
        <item x="860"/>
        <item x="11"/>
        <item x="578"/>
        <item x="237"/>
        <item x="725"/>
        <item x="738"/>
        <item x="904"/>
        <item x="526"/>
        <item x="17"/>
        <item x="694"/>
        <item x="459"/>
        <item x="933"/>
        <item x="586"/>
        <item x="319"/>
        <item x="704"/>
        <item x="345"/>
        <item x="170"/>
        <item x="622"/>
        <item x="806"/>
        <item x="961"/>
        <item x="679"/>
        <item x="358"/>
        <item x="431"/>
        <item x="523"/>
        <item x="246"/>
        <item x="633"/>
        <item x="540"/>
        <item x="443"/>
        <item x="862"/>
        <item x="415"/>
        <item x="899"/>
        <item x="124"/>
        <item x="497"/>
        <item x="350"/>
        <item x="827"/>
        <item x="385"/>
        <item x="599"/>
        <item x="634"/>
        <item x="989"/>
        <item x="965"/>
        <item x="95"/>
        <item x="475"/>
        <item x="939"/>
        <item x="406"/>
        <item x="779"/>
        <item x="611"/>
        <item x="408"/>
        <item x="932"/>
        <item x="383"/>
        <item x="163"/>
        <item x="407"/>
        <item x="980"/>
        <item x="777"/>
        <item x="796"/>
        <item x="340"/>
        <item x="998"/>
        <item x="361"/>
        <item x="140"/>
        <item x="354"/>
        <item x="333"/>
        <item x="470"/>
        <item x="236"/>
        <item x="950"/>
        <item x="880"/>
        <item x="529"/>
        <item x="89"/>
        <item x="397"/>
        <item x="376"/>
        <item x="545"/>
        <item x="821"/>
        <item x="901"/>
        <item x="699"/>
        <item x="465"/>
        <item x="601"/>
        <item x="356"/>
        <item x="857"/>
        <item x="487"/>
        <item x="94"/>
        <item x="281"/>
        <item x="697"/>
        <item x="472"/>
        <item x="588"/>
        <item x="308"/>
        <item x="635"/>
        <item x="165"/>
        <item x="716"/>
        <item x="276"/>
        <item x="59"/>
        <item x="781"/>
        <item x="26"/>
        <item x="967"/>
        <item x="952"/>
        <item x="705"/>
        <item x="550"/>
        <item x="402"/>
        <item x="673"/>
        <item x="219"/>
        <item x="585"/>
        <item x="23"/>
        <item x="687"/>
        <item x="982"/>
        <item x="191"/>
        <item x="501"/>
        <item x="600"/>
        <item x="969"/>
        <item x="325"/>
        <item x="510"/>
        <item x="736"/>
        <item x="833"/>
        <item x="983"/>
        <item x="653"/>
        <item x="426"/>
        <item x="974"/>
        <item x="115"/>
        <item x="429"/>
        <item x="626"/>
        <item x="805"/>
        <item x="607"/>
        <item x="831"/>
        <item x="213"/>
        <item x="906"/>
        <item x="196"/>
        <item x="771"/>
        <item x="772"/>
        <item x="108"/>
        <item x="489"/>
        <item x="678"/>
        <item x="45"/>
        <item x="651"/>
        <item x="80"/>
        <item x="802"/>
        <item x="379"/>
        <item x="542"/>
        <item x="436"/>
        <item x="16"/>
        <item x="931"/>
        <item x="466"/>
        <item x="427"/>
        <item x="194"/>
        <item x="914"/>
        <item x="912"/>
        <item x="0"/>
        <item x="362"/>
        <item x="621"/>
        <item x="842"/>
        <item x="201"/>
        <item x="277"/>
        <item x="973"/>
        <item x="813"/>
        <item x="90"/>
        <item x="647"/>
        <item x="263"/>
        <item x="870"/>
        <item x="778"/>
        <item x="228"/>
        <item x="941"/>
        <item x="485"/>
        <item x="825"/>
        <item x="513"/>
        <item x="248"/>
        <item x="336"/>
        <item x="493"/>
        <item x="85"/>
        <item x="927"/>
        <item x="565"/>
        <item x="141"/>
        <item x="798"/>
        <item x="726"/>
        <item x="863"/>
        <item x="520"/>
        <item x="577"/>
        <item x="235"/>
        <item x="868"/>
        <item x="19"/>
        <item x="583"/>
        <item x="505"/>
        <item x="597"/>
        <item x="873"/>
        <item x="127"/>
        <item x="714"/>
        <item x="637"/>
        <item x="819"/>
        <item x="268"/>
        <item x="581"/>
        <item x="257"/>
        <item x="13"/>
        <item x="36"/>
        <item x="44"/>
        <item x="920"/>
        <item x="53"/>
        <item x="171"/>
        <item x="764"/>
        <item x="208"/>
        <item x="852"/>
        <item x="664"/>
        <item x="120"/>
        <item x="628"/>
        <item x="619"/>
        <item x="765"/>
        <item x="375"/>
        <item x="265"/>
        <item x="339"/>
        <item x="938"/>
        <item x="902"/>
        <item x="355"/>
        <item x="814"/>
        <item x="563"/>
        <item x="589"/>
        <item x="680"/>
        <item x="218"/>
        <item x="511"/>
        <item x="365"/>
        <item x="797"/>
        <item x="216"/>
        <item x="428"/>
        <item x="344"/>
        <item x="539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Net Profit" fld="23" baseField="0" baseItem="0"/>
  </dataFields>
  <formats count="45">
    <format dxfId="0">
      <pivotArea collapsedLevelsAreSubtotals="1" fieldPosition="0"/>
    </format>
    <format dxfId="1">
      <pivotArea field="2" type="button" dataOnly="0" labelOnly="1" outline="0" fieldPosition="0"/>
    </format>
    <format dxfId="2">
      <pivotArea field="2" type="button" dataOnly="0" labelOnly="1" outline="0" fieldPosition="0"/>
    </format>
    <format dxfId="3">
      <pivotArea dataOnly="0" labelOnly="1" grandRow="1" fieldPosition="0"/>
    </format>
    <format dxfId="4">
      <pivotArea grandRow="1" collapsedLevelsAreSubtotals="1" fieldPosition="0"/>
    </format>
    <format dxfId="5">
      <pivotArea field="2" type="button" dataOnly="0" labelOnly="1" outline="0" fieldPosition="0"/>
    </format>
    <format dxfId="6">
      <pivotArea dataOnly="0" labelOnly="1" fieldPosition="0">
        <references count="1">
          <reference field="2" count="1">
            <x v="4"/>
          </reference>
        </references>
      </pivotArea>
    </format>
    <format dxfId="7">
      <pivotArea collapsedLevelsAreSubtotals="1" fieldPosition="0">
        <references count="1">
          <reference field="2" count="1" selected="0">
            <x v="4"/>
          </reference>
        </references>
      </pivotArea>
    </format>
    <format dxfId="8">
      <pivotArea dataOnly="0" labelOnly="1" fieldPosition="0">
        <references count="1">
          <reference field="2" count="1">
            <x v="0"/>
          </reference>
        </references>
      </pivotArea>
    </format>
    <format dxfId="9">
      <pivotArea dataOnly="0" labelOnly="1" fieldPosition="0">
        <references count="1">
          <reference field="2" count="1">
            <x v="1"/>
          </reference>
        </references>
      </pivotArea>
    </format>
    <format dxfId="10">
      <pivotArea dataOnly="0" labelOnly="1" fieldPosition="0">
        <references count="1">
          <reference field="2" count="1">
            <x v="2"/>
          </reference>
        </references>
      </pivotArea>
    </format>
    <format dxfId="11">
      <pivotArea dataOnly="0" labelOnly="1" fieldPosition="0">
        <references count="1">
          <reference field="2" count="1">
            <x v="3"/>
          </reference>
        </references>
      </pivotArea>
    </format>
    <format dxfId="12">
      <pivotArea collapsedLevelsAreSubtotals="1" fieldPosition="0">
        <references count="1">
          <reference field="2" count="1" selected="0">
            <x v="0"/>
          </reference>
        </references>
      </pivotArea>
    </format>
    <format dxfId="13">
      <pivotArea collapsedLevelsAreSubtotals="1" fieldPosition="0">
        <references count="1">
          <reference field="2" count="1" selected="0">
            <x v="1"/>
          </reference>
        </references>
      </pivotArea>
    </format>
    <format dxfId="14">
      <pivotArea collapsedLevelsAreSubtotals="1" fieldPosition="0">
        <references count="1">
          <reference field="2" count="1" selected="0">
            <x v="2"/>
          </reference>
        </references>
      </pivotArea>
    </format>
    <format dxfId="15">
      <pivotArea collapsedLevelsAreSubtotals="1" fieldPosition="0">
        <references count="1">
          <reference field="2" count="1" selected="0">
            <x v="3"/>
          </reference>
        </references>
      </pivotArea>
    </format>
    <format>
      <pivotArea dataOnly="0" labelOnly="1" fieldPosition="0">
        <references count="1">
          <reference field="2" count="1">
            <x v="0"/>
          </reference>
        </references>
      </pivotArea>
    </format>
    <format>
      <pivotArea dataOnly="0" labelOnly="1" fieldPosition="0">
        <references count="1">
          <reference field="2" count="1">
            <x v="1"/>
          </reference>
        </references>
      </pivotArea>
    </format>
    <format>
      <pivotArea dataOnly="0" labelOnly="1" fieldPosition="0">
        <references count="1">
          <reference field="2" count="1">
            <x v="2"/>
          </reference>
        </references>
      </pivotArea>
    </format>
    <format>
      <pivotArea dataOnly="0" labelOnly="1" fieldPosition="0">
        <references count="1">
          <reference field="2" count="1">
            <x v="3"/>
          </reference>
        </references>
      </pivotArea>
    </format>
    <format>
      <pivotArea collapsedLevelsAreSubtotals="1" fieldPosition="0">
        <references count="1">
          <reference field="2" count="1" selected="0">
            <x v="0"/>
          </reference>
        </references>
      </pivotArea>
    </format>
    <format>
      <pivotArea collapsedLevelsAreSubtotals="1" fieldPosition="0">
        <references count="1">
          <reference field="2" count="1" selected="0">
            <x v="1"/>
          </reference>
        </references>
      </pivotArea>
    </format>
    <format>
      <pivotArea collapsedLevelsAreSubtotals="1" fieldPosition="0">
        <references count="1">
          <reference field="2" count="1" selected="0">
            <x v="2"/>
          </reference>
        </references>
      </pivotArea>
    </format>
    <format>
      <pivotArea collapsedLevelsAreSubtotals="1" fieldPosition="0">
        <references count="1">
          <reference field="2" count="1" selected="0">
            <x v="3"/>
          </reference>
        </references>
      </pivotArea>
    </format>
    <format dxfId="16">
      <pivotArea dataOnly="0" labelOnly="1" fieldPosition="0">
        <references count="1">
          <reference field="2" count="1">
            <x v="0"/>
          </reference>
        </references>
      </pivotArea>
    </format>
    <format dxfId="17">
      <pivotArea dataOnly="0" labelOnly="1" fieldPosition="0">
        <references count="1">
          <reference field="2" count="1">
            <x v="1"/>
          </reference>
        </references>
      </pivotArea>
    </format>
    <format dxfId="18">
      <pivotArea dataOnly="0" labelOnly="1" fieldPosition="0">
        <references count="1">
          <reference field="2" count="1">
            <x v="2"/>
          </reference>
        </references>
      </pivotArea>
    </format>
    <format dxfId="19">
      <pivotArea dataOnly="0" labelOnly="1" fieldPosition="0">
        <references count="1">
          <reference field="2" count="1">
            <x v="3"/>
          </reference>
        </references>
      </pivotArea>
    </format>
    <format dxfId="20">
      <pivotArea dataOnly="0" labelOnly="1" fieldPosition="0">
        <references count="1">
          <reference field="2" count="1">
            <x v="4"/>
          </reference>
        </references>
      </pivotArea>
    </format>
    <format dxfId="21">
      <pivotArea dataOnly="0" labelOnly="1" grandRow="1" fieldPosition="0"/>
    </format>
    <format dxfId="22">
      <pivotArea collapsedLevelsAreSubtotals="1" fieldPosition="0"/>
    </format>
    <format>
      <pivotArea dataOnly="0" labelOnly="1" fieldPosition="0">
        <references count="1">
          <reference field="2" count="1">
            <x v="0"/>
          </reference>
        </references>
      </pivotArea>
    </format>
    <format>
      <pivotArea dataOnly="0" labelOnly="1" fieldPosition="0">
        <references count="1">
          <reference field="2" count="1">
            <x v="1"/>
          </reference>
        </references>
      </pivotArea>
    </format>
    <format>
      <pivotArea dataOnly="0" labelOnly="1" fieldPosition="0">
        <references count="1">
          <reference field="2" count="1">
            <x v="2"/>
          </reference>
        </references>
      </pivotArea>
    </format>
    <format>
      <pivotArea dataOnly="0" labelOnly="1" fieldPosition="0">
        <references count="1">
          <reference field="2" count="1">
            <x v="3"/>
          </reference>
        </references>
      </pivotArea>
    </format>
    <format>
      <pivotArea dataOnly="0" labelOnly="1" fieldPosition="0">
        <references count="1">
          <reference field="2" count="1">
            <x v="4"/>
          </reference>
        </references>
      </pivotArea>
    </format>
    <format>
      <pivotArea dataOnly="0" labelOnly="1" grandRow="1" fieldPosition="0"/>
    </format>
    <format>
      <pivotArea collapsedLevelsAreSubtotals="1" fieldPosition="0"/>
    </format>
    <format dxfId="23">
      <pivotArea collapsedLevelsAreSubtotals="1" fieldPosition="0">
        <references count="1">
          <reference field="2" count="1" selected="0">
            <x v="0"/>
          </reference>
        </references>
      </pivotArea>
    </format>
    <format dxfId="24">
      <pivotArea collapsedLevelsAreSubtotals="1" fieldPosition="0">
        <references count="1">
          <reference field="2" count="1" selected="0">
            <x v="1"/>
          </reference>
        </references>
      </pivotArea>
    </format>
    <format dxfId="25">
      <pivotArea collapsedLevelsAreSubtotals="1" fieldPosition="0">
        <references count="1">
          <reference field="2" count="1" selected="0">
            <x v="2"/>
          </reference>
        </references>
      </pivotArea>
    </format>
    <format dxfId="26">
      <pivotArea collapsedLevelsAreSubtotals="1" fieldPosition="0">
        <references count="1">
          <reference field="2" count="1" selected="0">
            <x v="3"/>
          </reference>
        </references>
      </pivotArea>
    </format>
    <format dxfId="27">
      <pivotArea collapsedLevelsAreSubtotals="1" fieldPosition="0">
        <references count="1">
          <reference field="2" count="1" selected="0">
            <x v="4"/>
          </reference>
        </references>
      </pivotArea>
    </format>
    <format dxfId="28">
      <pivotArea dataOnly="0" axis="axisValues" fieldPosition="0"/>
    </format>
    <format dxfId="29">
      <pivotArea dataOnly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rand" xr10:uid="{00000000-0013-0000-FFFF-FFFF01000000}" sourceName="brand">
  <pivotTables>
    <pivotTable tabId="2" name="PivotTable1"/>
  </pivotTables>
  <data>
    <tabular pivotCacheId="1">
      <items count="12">
        <i x="4" s="1"/>
        <i x="5" s="1"/>
        <i x="7" s="1"/>
        <i x="0" s="1"/>
        <i x="3" s="1"/>
        <i x="10" s="1"/>
        <i x="9" s="1"/>
        <i x="6" s="1"/>
        <i x="11" s="1"/>
        <i x="1" s="1"/>
        <i x="2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" xr10:uid="{00000000-0014-0000-FFFF-FFFF01000000}" cache="Slicer_brand" caption="brand" startItem="2" style="SlicerStyleOther1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opLeftCell="C26" workbookViewId="0">
      <selection activeCell="M35" sqref="M35"/>
    </sheetView>
  </sheetViews>
  <sheetFormatPr defaultColWidth="9.125" defaultRowHeight="15"/>
  <cols>
    <col min="1" max="1" width="8.875" customWidth="1"/>
    <col min="2" max="3" width="11.25" customWidth="1"/>
    <col min="4" max="4" width="13" customWidth="1"/>
    <col min="5" max="5" width="9.375" customWidth="1"/>
    <col min="6" max="6" width="9.625" style="1" customWidth="1"/>
    <col min="7" max="7" width="9.125" style="1" customWidth="1"/>
    <col min="8" max="8" width="11.125" style="1" customWidth="1"/>
    <col min="9" max="9" width="6.75" style="1" customWidth="1"/>
    <col min="10" max="10" width="14.125" style="1" customWidth="1"/>
    <col min="11" max="11" width="6.125" style="1" customWidth="1"/>
    <col min="12" max="12" width="9.25" customWidth="1"/>
    <col min="13" max="13" width="13" customWidth="1"/>
    <col min="14" max="14" width="15.125" customWidth="1"/>
    <col min="15" max="15" width="20.375" style="1" customWidth="1"/>
    <col min="16" max="16" width="11.25" customWidth="1"/>
    <col min="17" max="17" width="12.125" customWidth="1"/>
    <col min="18" max="18" width="18.25" customWidth="1"/>
    <col min="19" max="19" width="12.125" customWidth="1"/>
    <col min="20" max="20" width="15.75" customWidth="1"/>
    <col min="21" max="21" width="15.625" customWidth="1"/>
    <col min="22" max="22" width="11.25" style="2" customWidth="1"/>
    <col min="23" max="23" width="12.75" customWidth="1"/>
    <col min="24" max="24" width="10.625" customWidth="1"/>
  </cols>
  <sheetData>
    <row r="1" spans="1: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0" t="s">
        <v>22</v>
      </c>
      <c r="X1" s="10" t="s">
        <v>23</v>
      </c>
    </row>
    <row r="2" spans="1:24">
      <c r="A2" s="12" t="s">
        <v>24</v>
      </c>
      <c r="B2" s="12" t="s">
        <v>25</v>
      </c>
      <c r="C2" s="12" t="s">
        <v>26</v>
      </c>
      <c r="D2" s="12" t="s">
        <v>27</v>
      </c>
      <c r="E2" s="12" t="s">
        <v>28</v>
      </c>
      <c r="F2" s="13">
        <v>33090.51</v>
      </c>
      <c r="G2" s="13">
        <v>10.46</v>
      </c>
      <c r="H2" s="13">
        <v>29629.31</v>
      </c>
      <c r="I2" s="13">
        <v>4.9000000000000004</v>
      </c>
      <c r="J2" s="13">
        <v>43</v>
      </c>
      <c r="K2" s="13">
        <v>71</v>
      </c>
      <c r="L2" s="12" t="s">
        <v>29</v>
      </c>
      <c r="M2" s="12">
        <v>4.3</v>
      </c>
      <c r="N2" s="14">
        <v>45720</v>
      </c>
      <c r="O2" s="13">
        <v>6</v>
      </c>
      <c r="P2" s="12" t="s">
        <v>30</v>
      </c>
      <c r="Q2" s="12" t="s">
        <v>31</v>
      </c>
      <c r="R2" s="12" t="s">
        <v>32</v>
      </c>
      <c r="S2" s="12" t="b">
        <v>1</v>
      </c>
      <c r="T2" s="12" t="s">
        <v>33</v>
      </c>
      <c r="U2" s="15">
        <f>F2*(G2/100)</f>
        <v>3461.2673460000001</v>
      </c>
      <c r="V2" s="15">
        <f>F2*0.4</f>
        <v>13236.204</v>
      </c>
      <c r="W2" s="15">
        <f>H2*0.15</f>
        <v>4444.3964999999998</v>
      </c>
      <c r="X2" s="15">
        <f>H2-V2-W2</f>
        <v>11948.709500000001</v>
      </c>
    </row>
    <row r="3" spans="1:24">
      <c r="A3" s="12" t="s">
        <v>34</v>
      </c>
      <c r="B3" s="12" t="s">
        <v>35</v>
      </c>
      <c r="C3" s="12" t="s">
        <v>36</v>
      </c>
      <c r="D3" s="12" t="s">
        <v>37</v>
      </c>
      <c r="E3" s="12" t="s">
        <v>38</v>
      </c>
      <c r="F3" s="13">
        <v>9368.9699999999993</v>
      </c>
      <c r="G3" s="13">
        <v>5.32</v>
      </c>
      <c r="H3" s="13">
        <v>8870.73</v>
      </c>
      <c r="I3" s="13">
        <v>3.9</v>
      </c>
      <c r="J3" s="13">
        <v>13</v>
      </c>
      <c r="K3" s="13">
        <v>119</v>
      </c>
      <c r="L3" s="12" t="s">
        <v>39</v>
      </c>
      <c r="M3" s="12">
        <v>4.9000000000000004</v>
      </c>
      <c r="N3" s="14">
        <v>46003</v>
      </c>
      <c r="O3" s="13">
        <v>1</v>
      </c>
      <c r="P3" s="12" t="s">
        <v>40</v>
      </c>
      <c r="Q3" s="12" t="s">
        <v>31</v>
      </c>
      <c r="R3" s="12" t="s">
        <v>32</v>
      </c>
      <c r="S3" s="12" t="b">
        <v>1</v>
      </c>
      <c r="T3" s="12" t="s">
        <v>33</v>
      </c>
      <c r="U3" s="15">
        <f t="shared" ref="U3:U66" si="0">F3*(G3/100)</f>
        <v>498.42920400000003</v>
      </c>
      <c r="V3" s="15">
        <f t="shared" ref="V3:V66" si="1">F3*0.4</f>
        <v>3747.5880000000002</v>
      </c>
      <c r="W3" s="15">
        <f t="shared" ref="W3:W66" si="2">H3*0.15</f>
        <v>1330.6095</v>
      </c>
      <c r="X3" s="15">
        <f t="shared" ref="X3:X66" si="3">H3-V3-W3</f>
        <v>3792.5324999999998</v>
      </c>
    </row>
    <row r="4" spans="1:24">
      <c r="A4" s="12" t="s">
        <v>41</v>
      </c>
      <c r="B4" s="12" t="s">
        <v>42</v>
      </c>
      <c r="C4" s="12" t="s">
        <v>36</v>
      </c>
      <c r="D4" s="12" t="s">
        <v>43</v>
      </c>
      <c r="E4" s="12" t="s">
        <v>28</v>
      </c>
      <c r="F4" s="13">
        <v>14756.85</v>
      </c>
      <c r="G4" s="13">
        <v>26</v>
      </c>
      <c r="H4" s="13">
        <v>10919.43</v>
      </c>
      <c r="I4" s="13">
        <v>4.2</v>
      </c>
      <c r="J4" s="13">
        <v>46</v>
      </c>
      <c r="K4" s="13">
        <v>229</v>
      </c>
      <c r="L4" s="12" t="s">
        <v>44</v>
      </c>
      <c r="M4" s="12">
        <v>4.9000000000000004</v>
      </c>
      <c r="N4" s="14">
        <v>45407</v>
      </c>
      <c r="O4" s="13">
        <v>1</v>
      </c>
      <c r="P4" s="12" t="s">
        <v>45</v>
      </c>
      <c r="Q4" s="12" t="s">
        <v>46</v>
      </c>
      <c r="R4" s="12" t="s">
        <v>47</v>
      </c>
      <c r="S4" s="12" t="b">
        <v>1</v>
      </c>
      <c r="T4" s="12" t="s">
        <v>33</v>
      </c>
      <c r="U4" s="15">
        <f t="shared" si="0"/>
        <v>3836.7809999999999</v>
      </c>
      <c r="V4" s="15">
        <f t="shared" si="1"/>
        <v>5902.74</v>
      </c>
      <c r="W4" s="15">
        <f t="shared" si="2"/>
        <v>1637.9145000000001</v>
      </c>
      <c r="X4" s="15">
        <f t="shared" si="3"/>
        <v>3378.7755000000002</v>
      </c>
    </row>
    <row r="5" spans="1:24">
      <c r="A5" s="12" t="s">
        <v>48</v>
      </c>
      <c r="B5" s="12" t="s">
        <v>49</v>
      </c>
      <c r="C5" s="12" t="s">
        <v>50</v>
      </c>
      <c r="D5" s="12" t="s">
        <v>51</v>
      </c>
      <c r="E5" s="12" t="s">
        <v>52</v>
      </c>
      <c r="F5" s="13">
        <v>668.83</v>
      </c>
      <c r="G5" s="13">
        <v>24.81</v>
      </c>
      <c r="H5" s="13">
        <v>502.91</v>
      </c>
      <c r="I5" s="13">
        <v>3.8</v>
      </c>
      <c r="J5" s="13">
        <v>6</v>
      </c>
      <c r="K5" s="13">
        <v>52</v>
      </c>
      <c r="L5" s="12" t="s">
        <v>53</v>
      </c>
      <c r="M5" s="12">
        <v>3.1</v>
      </c>
      <c r="N5" s="14">
        <v>46009</v>
      </c>
      <c r="O5" s="13">
        <v>2</v>
      </c>
      <c r="P5" s="12" t="s">
        <v>54</v>
      </c>
      <c r="Q5" s="12" t="s">
        <v>55</v>
      </c>
      <c r="R5" s="12" t="s">
        <v>32</v>
      </c>
      <c r="S5" s="12" t="b">
        <v>0</v>
      </c>
      <c r="T5" s="12" t="s">
        <v>56</v>
      </c>
      <c r="U5" s="15">
        <f t="shared" si="0"/>
        <v>165.936723</v>
      </c>
      <c r="V5" s="15">
        <f t="shared" si="1"/>
        <v>267.53199999999998</v>
      </c>
      <c r="W5" s="15">
        <f t="shared" si="2"/>
        <v>75.436499999999995</v>
      </c>
      <c r="X5" s="15">
        <f t="shared" si="3"/>
        <v>159.94149999999999</v>
      </c>
    </row>
    <row r="6" spans="1:24">
      <c r="A6" s="12" t="s">
        <v>57</v>
      </c>
      <c r="B6" s="12" t="s">
        <v>58</v>
      </c>
      <c r="C6" s="12" t="s">
        <v>59</v>
      </c>
      <c r="D6" s="12" t="s">
        <v>60</v>
      </c>
      <c r="E6" s="12" t="s">
        <v>52</v>
      </c>
      <c r="F6" s="13">
        <v>10881.29</v>
      </c>
      <c r="G6" s="13">
        <v>48.63</v>
      </c>
      <c r="H6" s="13">
        <v>5589.58</v>
      </c>
      <c r="I6" s="13">
        <v>4</v>
      </c>
      <c r="J6" s="13">
        <v>48</v>
      </c>
      <c r="K6" s="13">
        <v>274</v>
      </c>
      <c r="L6" s="12" t="s">
        <v>61</v>
      </c>
      <c r="M6" s="12">
        <v>2.6</v>
      </c>
      <c r="N6" s="14">
        <v>45428</v>
      </c>
      <c r="O6" s="13">
        <v>5</v>
      </c>
      <c r="P6" s="12" t="s">
        <v>40</v>
      </c>
      <c r="Q6" s="12" t="s">
        <v>55</v>
      </c>
      <c r="R6" s="12" t="s">
        <v>32</v>
      </c>
      <c r="S6" s="12" t="b">
        <v>0</v>
      </c>
      <c r="T6" s="12" t="s">
        <v>62</v>
      </c>
      <c r="U6" s="15">
        <f t="shared" si="0"/>
        <v>5291.5713269999997</v>
      </c>
      <c r="V6" s="15">
        <f t="shared" si="1"/>
        <v>4352.5159999999996</v>
      </c>
      <c r="W6" s="15">
        <f t="shared" si="2"/>
        <v>838.43700000000001</v>
      </c>
      <c r="X6" s="15">
        <f t="shared" si="3"/>
        <v>398.62699999999899</v>
      </c>
    </row>
    <row r="7" spans="1:24">
      <c r="A7" s="12" t="s">
        <v>63</v>
      </c>
      <c r="B7" s="12" t="s">
        <v>64</v>
      </c>
      <c r="C7" s="12" t="s">
        <v>59</v>
      </c>
      <c r="D7" s="12" t="s">
        <v>60</v>
      </c>
      <c r="E7" s="12" t="s">
        <v>65</v>
      </c>
      <c r="F7" s="13">
        <v>6155.63</v>
      </c>
      <c r="G7" s="13">
        <v>17.64</v>
      </c>
      <c r="H7" s="13">
        <v>5069.6499999999996</v>
      </c>
      <c r="I7" s="13">
        <v>3.3</v>
      </c>
      <c r="J7" s="13">
        <v>22</v>
      </c>
      <c r="K7" s="13">
        <v>360</v>
      </c>
      <c r="L7" s="12" t="s">
        <v>66</v>
      </c>
      <c r="M7" s="12">
        <v>5</v>
      </c>
      <c r="N7" s="14">
        <v>45851</v>
      </c>
      <c r="O7" s="13">
        <v>5</v>
      </c>
      <c r="P7" s="12" t="s">
        <v>30</v>
      </c>
      <c r="Q7" s="12" t="s">
        <v>46</v>
      </c>
      <c r="R7" s="12" t="s">
        <v>47</v>
      </c>
      <c r="S7" s="12" t="b">
        <v>1</v>
      </c>
      <c r="T7" s="12" t="s">
        <v>33</v>
      </c>
      <c r="U7" s="15">
        <f t="shared" si="0"/>
        <v>1085.853132</v>
      </c>
      <c r="V7" s="15">
        <f t="shared" si="1"/>
        <v>2462.252</v>
      </c>
      <c r="W7" s="15">
        <f t="shared" si="2"/>
        <v>760.44749999999999</v>
      </c>
      <c r="X7" s="15">
        <f t="shared" si="3"/>
        <v>1846.9504999999999</v>
      </c>
    </row>
    <row r="8" spans="1:24">
      <c r="A8" s="12" t="s">
        <v>67</v>
      </c>
      <c r="B8" s="12" t="s">
        <v>68</v>
      </c>
      <c r="C8" s="12" t="s">
        <v>59</v>
      </c>
      <c r="D8" s="12" t="s">
        <v>69</v>
      </c>
      <c r="E8" s="12" t="s">
        <v>70</v>
      </c>
      <c r="F8" s="13">
        <v>1104.92</v>
      </c>
      <c r="G8" s="13">
        <v>37.81</v>
      </c>
      <c r="H8" s="13">
        <v>687.2</v>
      </c>
      <c r="I8" s="13">
        <v>3.4</v>
      </c>
      <c r="J8" s="13">
        <v>14</v>
      </c>
      <c r="K8" s="13">
        <v>232</v>
      </c>
      <c r="L8" s="12" t="s">
        <v>71</v>
      </c>
      <c r="M8" s="12">
        <v>3.3</v>
      </c>
      <c r="N8" s="14">
        <v>46063</v>
      </c>
      <c r="O8" s="13">
        <v>1</v>
      </c>
      <c r="P8" s="12" t="s">
        <v>40</v>
      </c>
      <c r="Q8" s="12" t="s">
        <v>46</v>
      </c>
      <c r="R8" s="12" t="s">
        <v>72</v>
      </c>
      <c r="S8" s="12" t="b">
        <v>0</v>
      </c>
      <c r="T8" s="12" t="s">
        <v>56</v>
      </c>
      <c r="U8" s="15">
        <f t="shared" si="0"/>
        <v>417.77025200000003</v>
      </c>
      <c r="V8" s="15">
        <f t="shared" si="1"/>
        <v>441.96800000000002</v>
      </c>
      <c r="W8" s="15">
        <f t="shared" si="2"/>
        <v>103.08</v>
      </c>
      <c r="X8" s="15">
        <f t="shared" si="3"/>
        <v>142.15199999999999</v>
      </c>
    </row>
    <row r="9" spans="1:24">
      <c r="A9" s="12" t="s">
        <v>73</v>
      </c>
      <c r="B9" s="12" t="s">
        <v>74</v>
      </c>
      <c r="C9" s="12" t="s">
        <v>75</v>
      </c>
      <c r="D9" s="12" t="s">
        <v>76</v>
      </c>
      <c r="E9" s="12" t="s">
        <v>52</v>
      </c>
      <c r="F9" s="13">
        <v>1899.42</v>
      </c>
      <c r="G9" s="13">
        <v>63.23</v>
      </c>
      <c r="H9" s="13">
        <v>698.36</v>
      </c>
      <c r="I9" s="13">
        <v>3.3</v>
      </c>
      <c r="J9" s="13">
        <v>18</v>
      </c>
      <c r="K9" s="13">
        <v>87</v>
      </c>
      <c r="L9" s="12" t="s">
        <v>77</v>
      </c>
      <c r="M9" s="12">
        <v>4.3</v>
      </c>
      <c r="N9" s="14">
        <v>45439</v>
      </c>
      <c r="O9" s="13">
        <v>5</v>
      </c>
      <c r="P9" s="12" t="s">
        <v>40</v>
      </c>
      <c r="Q9" s="12" t="s">
        <v>31</v>
      </c>
      <c r="R9" s="12" t="s">
        <v>47</v>
      </c>
      <c r="S9" s="12" t="b">
        <v>0</v>
      </c>
      <c r="T9" s="12" t="s">
        <v>78</v>
      </c>
      <c r="U9" s="15">
        <f t="shared" si="0"/>
        <v>1201.0032659999999</v>
      </c>
      <c r="V9" s="15">
        <f t="shared" si="1"/>
        <v>759.76800000000003</v>
      </c>
      <c r="W9" s="15">
        <f t="shared" si="2"/>
        <v>104.754</v>
      </c>
      <c r="X9" s="15">
        <f t="shared" si="3"/>
        <v>-166.16200000000001</v>
      </c>
    </row>
    <row r="10" spans="1:24">
      <c r="A10" s="12" t="s">
        <v>79</v>
      </c>
      <c r="B10" s="12" t="s">
        <v>80</v>
      </c>
      <c r="C10" s="12" t="s">
        <v>50</v>
      </c>
      <c r="D10" s="12" t="s">
        <v>51</v>
      </c>
      <c r="E10" s="12" t="s">
        <v>52</v>
      </c>
      <c r="F10" s="13">
        <v>3611.18</v>
      </c>
      <c r="G10" s="13">
        <v>24.77</v>
      </c>
      <c r="H10" s="13">
        <v>2716.69</v>
      </c>
      <c r="I10" s="13">
        <v>3.9</v>
      </c>
      <c r="J10" s="13">
        <v>17</v>
      </c>
      <c r="K10" s="13">
        <v>166</v>
      </c>
      <c r="L10" s="12" t="s">
        <v>81</v>
      </c>
      <c r="M10" s="12">
        <v>3.8</v>
      </c>
      <c r="N10" s="14">
        <v>45599</v>
      </c>
      <c r="O10" s="13">
        <v>1</v>
      </c>
      <c r="P10" s="12" t="s">
        <v>45</v>
      </c>
      <c r="Q10" s="12" t="s">
        <v>46</v>
      </c>
      <c r="R10" s="12" t="s">
        <v>32</v>
      </c>
      <c r="S10" s="12" t="b">
        <v>0</v>
      </c>
      <c r="T10" s="12" t="s">
        <v>56</v>
      </c>
      <c r="U10" s="15">
        <f t="shared" si="0"/>
        <v>894.48928599999999</v>
      </c>
      <c r="V10" s="15">
        <f t="shared" si="1"/>
        <v>1444.472</v>
      </c>
      <c r="W10" s="15">
        <f t="shared" si="2"/>
        <v>407.50349999999997</v>
      </c>
      <c r="X10" s="15">
        <f t="shared" si="3"/>
        <v>864.71450000000004</v>
      </c>
    </row>
    <row r="11" spans="1:24">
      <c r="A11" s="12" t="s">
        <v>82</v>
      </c>
      <c r="B11" s="12" t="s">
        <v>83</v>
      </c>
      <c r="C11" s="12" t="s">
        <v>50</v>
      </c>
      <c r="D11" s="12" t="s">
        <v>51</v>
      </c>
      <c r="E11" s="12" t="s">
        <v>84</v>
      </c>
      <c r="F11" s="13">
        <v>3826.65</v>
      </c>
      <c r="G11" s="13">
        <v>8.4600000000000009</v>
      </c>
      <c r="H11" s="13">
        <v>3502.76</v>
      </c>
      <c r="I11" s="13">
        <v>3.4</v>
      </c>
      <c r="J11" s="13">
        <v>12</v>
      </c>
      <c r="K11" s="13">
        <v>108</v>
      </c>
      <c r="L11" s="12" t="s">
        <v>85</v>
      </c>
      <c r="M11" s="12">
        <v>3.2</v>
      </c>
      <c r="N11" s="14">
        <v>45653</v>
      </c>
      <c r="O11" s="13">
        <v>1</v>
      </c>
      <c r="P11" s="12" t="s">
        <v>54</v>
      </c>
      <c r="Q11" s="12" t="s">
        <v>55</v>
      </c>
      <c r="R11" s="12" t="s">
        <v>86</v>
      </c>
      <c r="S11" s="12" t="b">
        <v>0</v>
      </c>
      <c r="T11" s="12" t="s">
        <v>78</v>
      </c>
      <c r="U11" s="15">
        <f t="shared" si="0"/>
        <v>323.73459000000003</v>
      </c>
      <c r="V11" s="15">
        <f t="shared" si="1"/>
        <v>1530.66</v>
      </c>
      <c r="W11" s="15">
        <f t="shared" si="2"/>
        <v>525.41399999999999</v>
      </c>
      <c r="X11" s="15">
        <f t="shared" si="3"/>
        <v>1446.6859999999999</v>
      </c>
    </row>
    <row r="12" spans="1:24">
      <c r="A12" s="12" t="s">
        <v>87</v>
      </c>
      <c r="B12" s="12" t="s">
        <v>88</v>
      </c>
      <c r="C12" s="12" t="s">
        <v>59</v>
      </c>
      <c r="D12" s="12" t="s">
        <v>69</v>
      </c>
      <c r="E12" s="12" t="s">
        <v>70</v>
      </c>
      <c r="F12" s="13">
        <v>5150.37</v>
      </c>
      <c r="G12" s="13">
        <v>19.600000000000001</v>
      </c>
      <c r="H12" s="13">
        <v>4141.13</v>
      </c>
      <c r="I12" s="13">
        <v>3.7</v>
      </c>
      <c r="J12" s="13">
        <v>8</v>
      </c>
      <c r="K12" s="13">
        <v>382</v>
      </c>
      <c r="L12" s="12" t="s">
        <v>89</v>
      </c>
      <c r="M12" s="12">
        <v>3.1</v>
      </c>
      <c r="N12" s="14">
        <v>45963</v>
      </c>
      <c r="O12" s="13">
        <v>6</v>
      </c>
      <c r="P12" s="12" t="s">
        <v>45</v>
      </c>
      <c r="Q12" s="12" t="s">
        <v>31</v>
      </c>
      <c r="R12" s="12" t="s">
        <v>86</v>
      </c>
      <c r="S12" s="12" t="b">
        <v>1</v>
      </c>
      <c r="T12" s="12" t="s">
        <v>33</v>
      </c>
      <c r="U12" s="15">
        <f t="shared" si="0"/>
        <v>1009.47252</v>
      </c>
      <c r="V12" s="15">
        <f t="shared" si="1"/>
        <v>2060.1480000000001</v>
      </c>
      <c r="W12" s="15">
        <f t="shared" si="2"/>
        <v>621.16949999999997</v>
      </c>
      <c r="X12" s="15">
        <f t="shared" si="3"/>
        <v>1459.8125</v>
      </c>
    </row>
    <row r="13" spans="1:24">
      <c r="A13" s="12" t="s">
        <v>90</v>
      </c>
      <c r="B13" s="12" t="s">
        <v>91</v>
      </c>
      <c r="C13" s="12" t="s">
        <v>59</v>
      </c>
      <c r="D13" s="12" t="s">
        <v>69</v>
      </c>
      <c r="E13" s="12" t="s">
        <v>92</v>
      </c>
      <c r="F13" s="13">
        <v>17353.88</v>
      </c>
      <c r="G13" s="13">
        <v>23.78</v>
      </c>
      <c r="H13" s="13">
        <v>13226.52</v>
      </c>
      <c r="I13" s="13">
        <v>3.8</v>
      </c>
      <c r="J13" s="13">
        <v>15</v>
      </c>
      <c r="K13" s="13">
        <v>386</v>
      </c>
      <c r="L13" s="12" t="s">
        <v>93</v>
      </c>
      <c r="M13" s="12">
        <v>2.9</v>
      </c>
      <c r="N13" s="14">
        <v>45990</v>
      </c>
      <c r="O13" s="13">
        <v>4</v>
      </c>
      <c r="P13" s="12" t="s">
        <v>45</v>
      </c>
      <c r="Q13" s="12" t="s">
        <v>46</v>
      </c>
      <c r="R13" s="12" t="s">
        <v>47</v>
      </c>
      <c r="S13" s="12" t="b">
        <v>0</v>
      </c>
      <c r="T13" s="12" t="s">
        <v>62</v>
      </c>
      <c r="U13" s="15">
        <f t="shared" si="0"/>
        <v>4126.7526639999996</v>
      </c>
      <c r="V13" s="15">
        <f t="shared" si="1"/>
        <v>6941.5519999999997</v>
      </c>
      <c r="W13" s="15">
        <f t="shared" si="2"/>
        <v>1983.9780000000001</v>
      </c>
      <c r="X13" s="15">
        <f t="shared" si="3"/>
        <v>4300.99</v>
      </c>
    </row>
    <row r="14" spans="1:24">
      <c r="A14" s="12" t="s">
        <v>94</v>
      </c>
      <c r="B14" s="12" t="s">
        <v>95</v>
      </c>
      <c r="C14" s="12" t="s">
        <v>75</v>
      </c>
      <c r="D14" s="12" t="s">
        <v>76</v>
      </c>
      <c r="E14" s="12" t="s">
        <v>96</v>
      </c>
      <c r="F14" s="13">
        <v>3011.46</v>
      </c>
      <c r="G14" s="13">
        <v>24.81</v>
      </c>
      <c r="H14" s="13">
        <v>2264.2399999999998</v>
      </c>
      <c r="I14" s="13">
        <v>4.4000000000000004</v>
      </c>
      <c r="J14" s="13">
        <v>54</v>
      </c>
      <c r="K14" s="13">
        <v>195</v>
      </c>
      <c r="L14" s="12" t="s">
        <v>97</v>
      </c>
      <c r="M14" s="12">
        <v>2.6</v>
      </c>
      <c r="N14" s="14">
        <v>45886</v>
      </c>
      <c r="O14" s="13">
        <v>5</v>
      </c>
      <c r="P14" s="12" t="s">
        <v>45</v>
      </c>
      <c r="Q14" s="12" t="s">
        <v>31</v>
      </c>
      <c r="R14" s="12" t="s">
        <v>72</v>
      </c>
      <c r="S14" s="12" t="b">
        <v>0</v>
      </c>
      <c r="T14" s="12" t="s">
        <v>62</v>
      </c>
      <c r="U14" s="15">
        <f t="shared" si="0"/>
        <v>747.14322600000003</v>
      </c>
      <c r="V14" s="15">
        <f t="shared" si="1"/>
        <v>1204.5840000000001</v>
      </c>
      <c r="W14" s="15">
        <f t="shared" si="2"/>
        <v>339.63600000000002</v>
      </c>
      <c r="X14" s="15">
        <f t="shared" si="3"/>
        <v>720.02</v>
      </c>
    </row>
    <row r="15" spans="1:24">
      <c r="A15" s="12" t="s">
        <v>98</v>
      </c>
      <c r="B15" s="12" t="s">
        <v>99</v>
      </c>
      <c r="C15" s="12" t="s">
        <v>26</v>
      </c>
      <c r="D15" s="12" t="s">
        <v>27</v>
      </c>
      <c r="E15" s="12" t="s">
        <v>100</v>
      </c>
      <c r="F15" s="13">
        <v>50717.33</v>
      </c>
      <c r="G15" s="13">
        <v>13.38</v>
      </c>
      <c r="H15" s="13">
        <v>43928.98</v>
      </c>
      <c r="I15" s="13">
        <v>4.3</v>
      </c>
      <c r="J15" s="13">
        <v>6</v>
      </c>
      <c r="K15" s="13">
        <v>393</v>
      </c>
      <c r="L15" s="12" t="s">
        <v>101</v>
      </c>
      <c r="M15" s="12">
        <v>4.2</v>
      </c>
      <c r="N15" s="14">
        <v>45536</v>
      </c>
      <c r="O15" s="13">
        <v>6</v>
      </c>
      <c r="P15" s="12" t="s">
        <v>45</v>
      </c>
      <c r="Q15" s="12" t="s">
        <v>46</v>
      </c>
      <c r="R15" s="12" t="s">
        <v>72</v>
      </c>
      <c r="S15" s="12" t="b">
        <v>0</v>
      </c>
      <c r="T15" s="12" t="s">
        <v>56</v>
      </c>
      <c r="U15" s="15">
        <f t="shared" si="0"/>
        <v>6785.9787539999998</v>
      </c>
      <c r="V15" s="15">
        <f t="shared" si="1"/>
        <v>20286.932000000001</v>
      </c>
      <c r="W15" s="15">
        <f t="shared" si="2"/>
        <v>6589.3469999999998</v>
      </c>
      <c r="X15" s="15">
        <f t="shared" si="3"/>
        <v>17052.701000000001</v>
      </c>
    </row>
    <row r="16" spans="1:24">
      <c r="A16" s="12" t="s">
        <v>102</v>
      </c>
      <c r="B16" s="12" t="s">
        <v>103</v>
      </c>
      <c r="C16" s="12" t="s">
        <v>75</v>
      </c>
      <c r="D16" s="12" t="s">
        <v>104</v>
      </c>
      <c r="E16" s="12" t="s">
        <v>38</v>
      </c>
      <c r="F16" s="13">
        <v>1569.37</v>
      </c>
      <c r="G16" s="13">
        <v>48.01</v>
      </c>
      <c r="H16" s="13">
        <v>815.89</v>
      </c>
      <c r="I16" s="13">
        <v>3.4</v>
      </c>
      <c r="J16" s="13">
        <v>21</v>
      </c>
      <c r="K16" s="13">
        <v>259</v>
      </c>
      <c r="L16" s="12" t="s">
        <v>105</v>
      </c>
      <c r="M16" s="12">
        <v>3.8</v>
      </c>
      <c r="N16" s="14">
        <v>46086</v>
      </c>
      <c r="O16" s="13">
        <v>1</v>
      </c>
      <c r="P16" s="12" t="s">
        <v>30</v>
      </c>
      <c r="Q16" s="12" t="s">
        <v>31</v>
      </c>
      <c r="R16" s="12" t="s">
        <v>72</v>
      </c>
      <c r="S16" s="12" t="b">
        <v>0</v>
      </c>
      <c r="T16" s="12" t="s">
        <v>62</v>
      </c>
      <c r="U16" s="15">
        <f t="shared" si="0"/>
        <v>753.45453699999996</v>
      </c>
      <c r="V16" s="15">
        <f t="shared" si="1"/>
        <v>627.74800000000005</v>
      </c>
      <c r="W16" s="15">
        <f t="shared" si="2"/>
        <v>122.3835</v>
      </c>
      <c r="X16" s="15">
        <f t="shared" si="3"/>
        <v>65.758499999999898</v>
      </c>
    </row>
    <row r="17" spans="1:24">
      <c r="A17" s="12" t="s">
        <v>106</v>
      </c>
      <c r="B17" s="12" t="s">
        <v>107</v>
      </c>
      <c r="C17" s="12" t="s">
        <v>36</v>
      </c>
      <c r="D17" s="12" t="s">
        <v>108</v>
      </c>
      <c r="E17" s="12" t="s">
        <v>70</v>
      </c>
      <c r="F17" s="13">
        <v>10811.67</v>
      </c>
      <c r="G17" s="13">
        <v>41.43</v>
      </c>
      <c r="H17" s="13">
        <v>6332.66</v>
      </c>
      <c r="I17" s="13">
        <v>3.5</v>
      </c>
      <c r="J17" s="13">
        <v>15</v>
      </c>
      <c r="K17" s="13">
        <v>276</v>
      </c>
      <c r="L17" s="12" t="s">
        <v>109</v>
      </c>
      <c r="M17" s="12">
        <v>3.5</v>
      </c>
      <c r="N17" s="14">
        <v>45472</v>
      </c>
      <c r="O17" s="13">
        <v>1</v>
      </c>
      <c r="P17" s="12" t="s">
        <v>54</v>
      </c>
      <c r="Q17" s="12" t="s">
        <v>46</v>
      </c>
      <c r="R17" s="12" t="s">
        <v>72</v>
      </c>
      <c r="S17" s="12" t="b">
        <v>0</v>
      </c>
      <c r="T17" s="12" t="s">
        <v>56</v>
      </c>
      <c r="U17" s="15">
        <f t="shared" si="0"/>
        <v>4479.2748810000003</v>
      </c>
      <c r="V17" s="15">
        <f t="shared" si="1"/>
        <v>4324.6679999999997</v>
      </c>
      <c r="W17" s="15">
        <f t="shared" si="2"/>
        <v>949.899</v>
      </c>
      <c r="X17" s="15">
        <f t="shared" si="3"/>
        <v>1058.0930000000001</v>
      </c>
    </row>
    <row r="18" spans="1:24">
      <c r="A18" s="12" t="s">
        <v>110</v>
      </c>
      <c r="B18" s="12" t="s">
        <v>111</v>
      </c>
      <c r="C18" s="12" t="s">
        <v>26</v>
      </c>
      <c r="D18" s="12" t="s">
        <v>27</v>
      </c>
      <c r="E18" s="12" t="s">
        <v>112</v>
      </c>
      <c r="F18" s="13">
        <v>75254.75</v>
      </c>
      <c r="G18" s="13">
        <v>35.71</v>
      </c>
      <c r="H18" s="13">
        <v>48383.63</v>
      </c>
      <c r="I18" s="13">
        <v>5</v>
      </c>
      <c r="J18" s="13">
        <v>5</v>
      </c>
      <c r="K18" s="13">
        <v>123</v>
      </c>
      <c r="L18" s="12" t="s">
        <v>113</v>
      </c>
      <c r="M18" s="12">
        <v>3.8</v>
      </c>
      <c r="N18" s="14">
        <v>45551</v>
      </c>
      <c r="O18" s="13">
        <v>2</v>
      </c>
      <c r="P18" s="12" t="s">
        <v>30</v>
      </c>
      <c r="Q18" s="12" t="s">
        <v>46</v>
      </c>
      <c r="R18" s="12" t="s">
        <v>86</v>
      </c>
      <c r="S18" s="12" t="b">
        <v>0</v>
      </c>
      <c r="T18" s="12" t="s">
        <v>78</v>
      </c>
      <c r="U18" s="15">
        <f t="shared" si="0"/>
        <v>26873.471225000001</v>
      </c>
      <c r="V18" s="15">
        <f t="shared" si="1"/>
        <v>30101.9</v>
      </c>
      <c r="W18" s="15">
        <f t="shared" si="2"/>
        <v>7257.5445</v>
      </c>
      <c r="X18" s="15">
        <f t="shared" si="3"/>
        <v>11024.1855</v>
      </c>
    </row>
    <row r="19" spans="1:24">
      <c r="A19" s="12" t="s">
        <v>114</v>
      </c>
      <c r="B19" s="12" t="s">
        <v>115</v>
      </c>
      <c r="C19" s="12" t="s">
        <v>36</v>
      </c>
      <c r="D19" s="12" t="s">
        <v>43</v>
      </c>
      <c r="E19" s="12" t="s">
        <v>92</v>
      </c>
      <c r="F19" s="13">
        <v>13298.23</v>
      </c>
      <c r="G19" s="13">
        <v>13.49</v>
      </c>
      <c r="H19" s="13">
        <v>11504.06</v>
      </c>
      <c r="I19" s="13">
        <v>4.4000000000000004</v>
      </c>
      <c r="J19" s="13">
        <v>6</v>
      </c>
      <c r="K19" s="13">
        <v>135</v>
      </c>
      <c r="L19" s="12" t="s">
        <v>116</v>
      </c>
      <c r="M19" s="12">
        <v>3.5</v>
      </c>
      <c r="N19" s="14">
        <v>46090</v>
      </c>
      <c r="O19" s="13">
        <v>3</v>
      </c>
      <c r="P19" s="12" t="s">
        <v>117</v>
      </c>
      <c r="Q19" s="12" t="s">
        <v>31</v>
      </c>
      <c r="R19" s="12" t="s">
        <v>86</v>
      </c>
      <c r="S19" s="12" t="b">
        <v>0</v>
      </c>
      <c r="T19" s="12" t="s">
        <v>78</v>
      </c>
      <c r="U19" s="15">
        <f t="shared" si="0"/>
        <v>1793.931227</v>
      </c>
      <c r="V19" s="15">
        <f t="shared" si="1"/>
        <v>5319.2920000000004</v>
      </c>
      <c r="W19" s="15">
        <f t="shared" si="2"/>
        <v>1725.6089999999999</v>
      </c>
      <c r="X19" s="15">
        <f t="shared" si="3"/>
        <v>4459.1589999999997</v>
      </c>
    </row>
    <row r="20" spans="1:24">
      <c r="A20" s="12" t="s">
        <v>118</v>
      </c>
      <c r="B20" s="12" t="s">
        <v>119</v>
      </c>
      <c r="C20" s="12" t="s">
        <v>36</v>
      </c>
      <c r="D20" s="12" t="s">
        <v>108</v>
      </c>
      <c r="E20" s="12" t="s">
        <v>28</v>
      </c>
      <c r="F20" s="13">
        <v>10200.33</v>
      </c>
      <c r="G20" s="13">
        <v>31.13</v>
      </c>
      <c r="H20" s="13">
        <v>7024.88</v>
      </c>
      <c r="I20" s="13">
        <v>4.2</v>
      </c>
      <c r="J20" s="13">
        <v>17</v>
      </c>
      <c r="K20" s="13">
        <v>204</v>
      </c>
      <c r="L20" s="12" t="s">
        <v>120</v>
      </c>
      <c r="M20" s="12">
        <v>2.9</v>
      </c>
      <c r="N20" s="14">
        <v>45714</v>
      </c>
      <c r="O20" s="13">
        <v>1</v>
      </c>
      <c r="P20" s="12" t="s">
        <v>54</v>
      </c>
      <c r="Q20" s="12" t="s">
        <v>55</v>
      </c>
      <c r="R20" s="12" t="s">
        <v>86</v>
      </c>
      <c r="S20" s="12" t="b">
        <v>1</v>
      </c>
      <c r="T20" s="12" t="s">
        <v>33</v>
      </c>
      <c r="U20" s="15">
        <f t="shared" si="0"/>
        <v>3175.3627289999999</v>
      </c>
      <c r="V20" s="15">
        <f t="shared" si="1"/>
        <v>4080.1320000000001</v>
      </c>
      <c r="W20" s="15">
        <f t="shared" si="2"/>
        <v>1053.732</v>
      </c>
      <c r="X20" s="15">
        <f t="shared" si="3"/>
        <v>1891.0160000000001</v>
      </c>
    </row>
    <row r="21" spans="1:24">
      <c r="A21" s="12" t="s">
        <v>121</v>
      </c>
      <c r="B21" s="12" t="s">
        <v>122</v>
      </c>
      <c r="C21" s="12" t="s">
        <v>26</v>
      </c>
      <c r="D21" s="12" t="s">
        <v>123</v>
      </c>
      <c r="E21" s="12" t="s">
        <v>70</v>
      </c>
      <c r="F21" s="13">
        <v>46155.03</v>
      </c>
      <c r="G21" s="13">
        <v>13.3</v>
      </c>
      <c r="H21" s="13">
        <v>40014.69</v>
      </c>
      <c r="I21" s="13">
        <v>4.8</v>
      </c>
      <c r="J21" s="13">
        <v>8</v>
      </c>
      <c r="K21" s="13">
        <v>301</v>
      </c>
      <c r="L21" s="12" t="s">
        <v>124</v>
      </c>
      <c r="M21" s="12">
        <v>3.9</v>
      </c>
      <c r="N21" s="14">
        <v>45550</v>
      </c>
      <c r="O21" s="13">
        <v>2</v>
      </c>
      <c r="P21" s="12" t="s">
        <v>40</v>
      </c>
      <c r="Q21" s="12" t="s">
        <v>31</v>
      </c>
      <c r="R21" s="12" t="s">
        <v>47</v>
      </c>
      <c r="S21" s="12" t="b">
        <v>0</v>
      </c>
      <c r="T21" s="12" t="s">
        <v>78</v>
      </c>
      <c r="U21" s="15">
        <f t="shared" si="0"/>
        <v>6138.6189899999999</v>
      </c>
      <c r="V21" s="15">
        <f t="shared" si="1"/>
        <v>18462.011999999999</v>
      </c>
      <c r="W21" s="15">
        <f t="shared" si="2"/>
        <v>6002.2034999999996</v>
      </c>
      <c r="X21" s="15">
        <f t="shared" si="3"/>
        <v>15550.4745</v>
      </c>
    </row>
    <row r="22" spans="1:24">
      <c r="A22" s="12" t="s">
        <v>125</v>
      </c>
      <c r="B22" s="12" t="s">
        <v>126</v>
      </c>
      <c r="C22" s="12" t="s">
        <v>26</v>
      </c>
      <c r="D22" s="12" t="s">
        <v>27</v>
      </c>
      <c r="E22" s="12" t="s">
        <v>70</v>
      </c>
      <c r="F22" s="13">
        <v>12025.61</v>
      </c>
      <c r="G22" s="13">
        <v>18.760000000000002</v>
      </c>
      <c r="H22" s="13">
        <v>9769.7999999999993</v>
      </c>
      <c r="I22" s="13">
        <v>4.0999999999999996</v>
      </c>
      <c r="J22" s="13">
        <v>45</v>
      </c>
      <c r="K22" s="13">
        <v>36</v>
      </c>
      <c r="L22" s="12" t="s">
        <v>127</v>
      </c>
      <c r="M22" s="12">
        <v>4.0999999999999996</v>
      </c>
      <c r="N22" s="14">
        <v>45435</v>
      </c>
      <c r="O22" s="13">
        <v>1</v>
      </c>
      <c r="P22" s="12" t="s">
        <v>40</v>
      </c>
      <c r="Q22" s="12" t="s">
        <v>46</v>
      </c>
      <c r="R22" s="12" t="s">
        <v>72</v>
      </c>
      <c r="S22" s="12" t="b">
        <v>0</v>
      </c>
      <c r="T22" s="12" t="s">
        <v>62</v>
      </c>
      <c r="U22" s="15">
        <f t="shared" si="0"/>
        <v>2256.0044360000002</v>
      </c>
      <c r="V22" s="15">
        <f t="shared" si="1"/>
        <v>4810.2439999999997</v>
      </c>
      <c r="W22" s="15">
        <f t="shared" si="2"/>
        <v>1465.47</v>
      </c>
      <c r="X22" s="15">
        <f t="shared" si="3"/>
        <v>3494.0859999999998</v>
      </c>
    </row>
    <row r="23" spans="1:24">
      <c r="A23" s="12" t="s">
        <v>128</v>
      </c>
      <c r="B23" s="12" t="s">
        <v>129</v>
      </c>
      <c r="C23" s="12" t="s">
        <v>50</v>
      </c>
      <c r="D23" s="12" t="s">
        <v>130</v>
      </c>
      <c r="E23" s="12" t="s">
        <v>131</v>
      </c>
      <c r="F23" s="13">
        <v>2596.13</v>
      </c>
      <c r="G23" s="13">
        <v>39.58</v>
      </c>
      <c r="H23" s="13">
        <v>1568.45</v>
      </c>
      <c r="I23" s="13">
        <v>2.9</v>
      </c>
      <c r="J23" s="13">
        <v>15</v>
      </c>
      <c r="K23" s="13">
        <v>295</v>
      </c>
      <c r="L23" s="12" t="s">
        <v>132</v>
      </c>
      <c r="M23" s="12">
        <v>2.5</v>
      </c>
      <c r="N23" s="14">
        <v>45970</v>
      </c>
      <c r="O23" s="13">
        <v>5</v>
      </c>
      <c r="P23" s="12" t="s">
        <v>54</v>
      </c>
      <c r="Q23" s="12" t="s">
        <v>46</v>
      </c>
      <c r="R23" s="12" t="s">
        <v>86</v>
      </c>
      <c r="S23" s="12" t="b">
        <v>0</v>
      </c>
      <c r="T23" s="12" t="s">
        <v>56</v>
      </c>
      <c r="U23" s="15">
        <f t="shared" si="0"/>
        <v>1027.548254</v>
      </c>
      <c r="V23" s="15">
        <f t="shared" si="1"/>
        <v>1038.452</v>
      </c>
      <c r="W23" s="15">
        <f t="shared" si="2"/>
        <v>235.26750000000001</v>
      </c>
      <c r="X23" s="15">
        <f t="shared" si="3"/>
        <v>294.73050000000001</v>
      </c>
    </row>
    <row r="24" spans="1:24">
      <c r="A24" s="12" t="s">
        <v>133</v>
      </c>
      <c r="B24" s="12" t="s">
        <v>134</v>
      </c>
      <c r="C24" s="12" t="s">
        <v>75</v>
      </c>
      <c r="D24" s="12" t="s">
        <v>135</v>
      </c>
      <c r="E24" s="12" t="s">
        <v>84</v>
      </c>
      <c r="F24" s="13">
        <v>2426.83</v>
      </c>
      <c r="G24" s="13">
        <v>27.67</v>
      </c>
      <c r="H24" s="13">
        <v>1755.4</v>
      </c>
      <c r="I24" s="13">
        <v>4.3</v>
      </c>
      <c r="J24" s="13">
        <v>14</v>
      </c>
      <c r="K24" s="13">
        <v>210</v>
      </c>
      <c r="L24" s="12" t="s">
        <v>136</v>
      </c>
      <c r="M24" s="12">
        <v>3.9</v>
      </c>
      <c r="N24" s="14">
        <v>45860</v>
      </c>
      <c r="O24" s="13">
        <v>3</v>
      </c>
      <c r="P24" s="12" t="s">
        <v>117</v>
      </c>
      <c r="Q24" s="12" t="s">
        <v>31</v>
      </c>
      <c r="R24" s="12" t="s">
        <v>32</v>
      </c>
      <c r="S24" s="12" t="b">
        <v>0</v>
      </c>
      <c r="T24" s="12" t="s">
        <v>62</v>
      </c>
      <c r="U24" s="15">
        <f t="shared" si="0"/>
        <v>671.50386100000003</v>
      </c>
      <c r="V24" s="15">
        <f t="shared" si="1"/>
        <v>970.73199999999997</v>
      </c>
      <c r="W24" s="15">
        <f t="shared" si="2"/>
        <v>263.31</v>
      </c>
      <c r="X24" s="15">
        <f t="shared" si="3"/>
        <v>521.35799999999995</v>
      </c>
    </row>
    <row r="25" spans="1:24">
      <c r="A25" s="12" t="s">
        <v>137</v>
      </c>
      <c r="B25" s="12" t="s">
        <v>138</v>
      </c>
      <c r="C25" s="12" t="s">
        <v>26</v>
      </c>
      <c r="D25" s="12" t="s">
        <v>27</v>
      </c>
      <c r="E25" s="12" t="s">
        <v>96</v>
      </c>
      <c r="F25" s="13">
        <v>75211.61</v>
      </c>
      <c r="G25" s="13">
        <v>39.65</v>
      </c>
      <c r="H25" s="13">
        <v>45388.79</v>
      </c>
      <c r="I25" s="13">
        <v>4.5999999999999996</v>
      </c>
      <c r="J25" s="13">
        <v>6</v>
      </c>
      <c r="K25" s="13">
        <v>127</v>
      </c>
      <c r="L25" s="12" t="s">
        <v>139</v>
      </c>
      <c r="M25" s="12">
        <v>4.5999999999999996</v>
      </c>
      <c r="N25" s="14">
        <v>45680</v>
      </c>
      <c r="O25" s="13">
        <v>2</v>
      </c>
      <c r="P25" s="12" t="s">
        <v>30</v>
      </c>
      <c r="Q25" s="12" t="s">
        <v>46</v>
      </c>
      <c r="R25" s="12" t="s">
        <v>86</v>
      </c>
      <c r="S25" s="12" t="b">
        <v>0</v>
      </c>
      <c r="T25" s="12" t="s">
        <v>78</v>
      </c>
      <c r="U25" s="15">
        <f t="shared" si="0"/>
        <v>29821.403364999998</v>
      </c>
      <c r="V25" s="15">
        <f t="shared" si="1"/>
        <v>30084.644</v>
      </c>
      <c r="W25" s="15">
        <f t="shared" si="2"/>
        <v>6808.3185000000003</v>
      </c>
      <c r="X25" s="15">
        <f t="shared" si="3"/>
        <v>8495.8274999999994</v>
      </c>
    </row>
    <row r="26" spans="1:24">
      <c r="A26" s="12" t="s">
        <v>140</v>
      </c>
      <c r="B26" s="12" t="s">
        <v>141</v>
      </c>
      <c r="C26" s="12" t="s">
        <v>50</v>
      </c>
      <c r="D26" s="12" t="s">
        <v>130</v>
      </c>
      <c r="E26" s="12" t="s">
        <v>52</v>
      </c>
      <c r="F26" s="13">
        <v>1623.25</v>
      </c>
      <c r="G26" s="13">
        <v>16.53</v>
      </c>
      <c r="H26" s="13">
        <v>1354.94</v>
      </c>
      <c r="I26" s="13">
        <v>3.4</v>
      </c>
      <c r="J26" s="13">
        <v>24</v>
      </c>
      <c r="K26" s="13">
        <v>226</v>
      </c>
      <c r="L26" s="12" t="s">
        <v>142</v>
      </c>
      <c r="M26" s="12">
        <v>3</v>
      </c>
      <c r="N26" s="14">
        <v>45803</v>
      </c>
      <c r="O26" s="13">
        <v>1</v>
      </c>
      <c r="P26" s="12" t="s">
        <v>117</v>
      </c>
      <c r="Q26" s="12" t="s">
        <v>46</v>
      </c>
      <c r="R26" s="12" t="s">
        <v>32</v>
      </c>
      <c r="S26" s="12" t="b">
        <v>0</v>
      </c>
      <c r="T26" s="12" t="s">
        <v>78</v>
      </c>
      <c r="U26" s="15">
        <f t="shared" si="0"/>
        <v>268.32322499999998</v>
      </c>
      <c r="V26" s="15">
        <f t="shared" si="1"/>
        <v>649.29999999999995</v>
      </c>
      <c r="W26" s="15">
        <f t="shared" si="2"/>
        <v>203.24100000000001</v>
      </c>
      <c r="X26" s="15">
        <f t="shared" si="3"/>
        <v>502.399</v>
      </c>
    </row>
    <row r="27" spans="1:24">
      <c r="A27" s="12" t="s">
        <v>143</v>
      </c>
      <c r="B27" s="12" t="s">
        <v>144</v>
      </c>
      <c r="C27" s="12" t="s">
        <v>75</v>
      </c>
      <c r="D27" s="12" t="s">
        <v>135</v>
      </c>
      <c r="E27" s="12" t="s">
        <v>96</v>
      </c>
      <c r="F27" s="13">
        <v>2285.5300000000002</v>
      </c>
      <c r="G27" s="13">
        <v>44.73</v>
      </c>
      <c r="H27" s="13">
        <v>1263.17</v>
      </c>
      <c r="I27" s="13">
        <v>4.8</v>
      </c>
      <c r="J27" s="13">
        <v>10</v>
      </c>
      <c r="K27" s="13">
        <v>442</v>
      </c>
      <c r="L27" s="12" t="s">
        <v>145</v>
      </c>
      <c r="M27" s="12">
        <v>3.9</v>
      </c>
      <c r="N27" s="14">
        <v>45641</v>
      </c>
      <c r="O27" s="13">
        <v>3</v>
      </c>
      <c r="P27" s="12" t="s">
        <v>117</v>
      </c>
      <c r="Q27" s="12" t="s">
        <v>46</v>
      </c>
      <c r="R27" s="12" t="s">
        <v>47</v>
      </c>
      <c r="S27" s="12" t="b">
        <v>0</v>
      </c>
      <c r="T27" s="12" t="s">
        <v>56</v>
      </c>
      <c r="U27" s="15">
        <f t="shared" si="0"/>
        <v>1022.317569</v>
      </c>
      <c r="V27" s="15">
        <f t="shared" si="1"/>
        <v>914.21199999999999</v>
      </c>
      <c r="W27" s="15">
        <f t="shared" si="2"/>
        <v>189.47550000000001</v>
      </c>
      <c r="X27" s="15">
        <f t="shared" si="3"/>
        <v>159.48249999999999</v>
      </c>
    </row>
    <row r="28" spans="1:24">
      <c r="A28" s="12" t="s">
        <v>146</v>
      </c>
      <c r="B28" s="12" t="s">
        <v>147</v>
      </c>
      <c r="C28" s="12" t="s">
        <v>26</v>
      </c>
      <c r="D28" s="12" t="s">
        <v>148</v>
      </c>
      <c r="E28" s="12" t="s">
        <v>52</v>
      </c>
      <c r="F28" s="13">
        <v>26490.59</v>
      </c>
      <c r="G28" s="13">
        <v>17.61</v>
      </c>
      <c r="H28" s="13">
        <v>21826.48</v>
      </c>
      <c r="I28" s="13">
        <v>4.0999999999999996</v>
      </c>
      <c r="J28" s="13">
        <v>6</v>
      </c>
      <c r="K28" s="13">
        <v>356</v>
      </c>
      <c r="L28" s="12" t="s">
        <v>149</v>
      </c>
      <c r="M28" s="12">
        <v>4.9000000000000004</v>
      </c>
      <c r="N28" s="14">
        <v>45867</v>
      </c>
      <c r="O28" s="13">
        <v>5</v>
      </c>
      <c r="P28" s="12" t="s">
        <v>117</v>
      </c>
      <c r="Q28" s="12" t="s">
        <v>46</v>
      </c>
      <c r="R28" s="12" t="s">
        <v>47</v>
      </c>
      <c r="S28" s="12" t="b">
        <v>0</v>
      </c>
      <c r="T28" s="12" t="s">
        <v>56</v>
      </c>
      <c r="U28" s="15">
        <f t="shared" si="0"/>
        <v>4664.9928989999999</v>
      </c>
      <c r="V28" s="15">
        <f t="shared" si="1"/>
        <v>10596.236000000001</v>
      </c>
      <c r="W28" s="15">
        <f t="shared" si="2"/>
        <v>3273.9720000000002</v>
      </c>
      <c r="X28" s="15">
        <f t="shared" si="3"/>
        <v>7956.2719999999999</v>
      </c>
    </row>
    <row r="29" spans="1:24">
      <c r="A29" s="12" t="s">
        <v>150</v>
      </c>
      <c r="B29" s="12" t="s">
        <v>151</v>
      </c>
      <c r="C29" s="12" t="s">
        <v>75</v>
      </c>
      <c r="D29" s="12" t="s">
        <v>135</v>
      </c>
      <c r="E29" s="12" t="s">
        <v>65</v>
      </c>
      <c r="F29" s="13">
        <v>4289.1000000000004</v>
      </c>
      <c r="G29" s="13">
        <v>18.3</v>
      </c>
      <c r="H29" s="13">
        <v>3504.14</v>
      </c>
      <c r="I29" s="13">
        <v>3.2</v>
      </c>
      <c r="J29" s="13">
        <v>2</v>
      </c>
      <c r="K29" s="13">
        <v>29</v>
      </c>
      <c r="L29" s="12" t="s">
        <v>152</v>
      </c>
      <c r="M29" s="12">
        <v>2.6</v>
      </c>
      <c r="N29" s="14">
        <v>45647</v>
      </c>
      <c r="O29" s="13">
        <v>2</v>
      </c>
      <c r="P29" s="12" t="s">
        <v>45</v>
      </c>
      <c r="Q29" s="12" t="s">
        <v>31</v>
      </c>
      <c r="R29" s="12" t="s">
        <v>86</v>
      </c>
      <c r="S29" s="12" t="b">
        <v>1</v>
      </c>
      <c r="T29" s="12" t="s">
        <v>33</v>
      </c>
      <c r="U29" s="15">
        <f t="shared" si="0"/>
        <v>784.90530000000001</v>
      </c>
      <c r="V29" s="15">
        <f t="shared" si="1"/>
        <v>1715.64</v>
      </c>
      <c r="W29" s="15">
        <f t="shared" si="2"/>
        <v>525.62099999999998</v>
      </c>
      <c r="X29" s="15">
        <f t="shared" si="3"/>
        <v>1262.8789999999999</v>
      </c>
    </row>
    <row r="30" spans="1:24">
      <c r="A30" s="12" t="s">
        <v>153</v>
      </c>
      <c r="B30" s="12" t="s">
        <v>154</v>
      </c>
      <c r="C30" s="12" t="s">
        <v>36</v>
      </c>
      <c r="D30" s="12" t="s">
        <v>108</v>
      </c>
      <c r="E30" s="12" t="s">
        <v>92</v>
      </c>
      <c r="F30" s="13">
        <v>3012.77</v>
      </c>
      <c r="G30" s="13">
        <v>12.04</v>
      </c>
      <c r="H30" s="13">
        <v>2650.04</v>
      </c>
      <c r="I30" s="13">
        <v>4</v>
      </c>
      <c r="J30" s="13">
        <v>4</v>
      </c>
      <c r="K30" s="13">
        <v>435</v>
      </c>
      <c r="L30" s="12" t="s">
        <v>155</v>
      </c>
      <c r="M30" s="12">
        <v>3.2</v>
      </c>
      <c r="N30" s="14">
        <v>46035</v>
      </c>
      <c r="O30" s="13">
        <v>1</v>
      </c>
      <c r="P30" s="12" t="s">
        <v>40</v>
      </c>
      <c r="Q30" s="12" t="s">
        <v>46</v>
      </c>
      <c r="R30" s="12" t="s">
        <v>32</v>
      </c>
      <c r="S30" s="12" t="b">
        <v>0</v>
      </c>
      <c r="T30" s="12" t="s">
        <v>62</v>
      </c>
      <c r="U30" s="15">
        <f t="shared" si="0"/>
        <v>362.73750799999999</v>
      </c>
      <c r="V30" s="15">
        <f t="shared" si="1"/>
        <v>1205.1079999999999</v>
      </c>
      <c r="W30" s="15">
        <f t="shared" si="2"/>
        <v>397.50599999999997</v>
      </c>
      <c r="X30" s="15">
        <f t="shared" si="3"/>
        <v>1047.4259999999999</v>
      </c>
    </row>
    <row r="31" spans="1:24">
      <c r="A31" s="12" t="s">
        <v>156</v>
      </c>
      <c r="B31" s="12" t="s">
        <v>157</v>
      </c>
      <c r="C31" s="12" t="s">
        <v>75</v>
      </c>
      <c r="D31" s="12" t="s">
        <v>104</v>
      </c>
      <c r="E31" s="12" t="s">
        <v>84</v>
      </c>
      <c r="F31" s="13">
        <v>3820.54</v>
      </c>
      <c r="G31" s="13">
        <v>24.86</v>
      </c>
      <c r="H31" s="13">
        <v>2870.61</v>
      </c>
      <c r="I31" s="13">
        <v>4.5</v>
      </c>
      <c r="J31" s="13">
        <v>9</v>
      </c>
      <c r="K31" s="13">
        <v>304</v>
      </c>
      <c r="L31" s="12" t="s">
        <v>158</v>
      </c>
      <c r="M31" s="12">
        <v>2.7</v>
      </c>
      <c r="N31" s="14">
        <v>45722</v>
      </c>
      <c r="O31" s="13">
        <v>1</v>
      </c>
      <c r="P31" s="12" t="s">
        <v>45</v>
      </c>
      <c r="Q31" s="12" t="s">
        <v>31</v>
      </c>
      <c r="R31" s="12" t="s">
        <v>32</v>
      </c>
      <c r="S31" s="12" t="b">
        <v>0</v>
      </c>
      <c r="T31" s="12" t="s">
        <v>56</v>
      </c>
      <c r="U31" s="15">
        <f t="shared" si="0"/>
        <v>949.78624400000001</v>
      </c>
      <c r="V31" s="15">
        <f t="shared" si="1"/>
        <v>1528.2159999999999</v>
      </c>
      <c r="W31" s="15">
        <f t="shared" si="2"/>
        <v>430.5915</v>
      </c>
      <c r="X31" s="15">
        <f t="shared" si="3"/>
        <v>911.80250000000001</v>
      </c>
    </row>
    <row r="32" spans="1:24">
      <c r="A32" s="12" t="s">
        <v>159</v>
      </c>
      <c r="B32" s="12" t="s">
        <v>160</v>
      </c>
      <c r="C32" s="12" t="s">
        <v>36</v>
      </c>
      <c r="D32" s="12" t="s">
        <v>108</v>
      </c>
      <c r="E32" s="12" t="s">
        <v>131</v>
      </c>
      <c r="F32" s="13">
        <v>748.84</v>
      </c>
      <c r="G32" s="13">
        <v>39.35</v>
      </c>
      <c r="H32" s="13">
        <v>454.16</v>
      </c>
      <c r="I32" s="13">
        <v>3.5</v>
      </c>
      <c r="J32" s="13">
        <v>60</v>
      </c>
      <c r="K32" s="13">
        <v>342</v>
      </c>
      <c r="L32" s="12" t="s">
        <v>161</v>
      </c>
      <c r="M32" s="12">
        <v>3.5</v>
      </c>
      <c r="N32" s="14">
        <v>45774</v>
      </c>
      <c r="O32" s="13">
        <v>6</v>
      </c>
      <c r="P32" s="12" t="s">
        <v>30</v>
      </c>
      <c r="Q32" s="12" t="s">
        <v>46</v>
      </c>
      <c r="R32" s="12" t="s">
        <v>72</v>
      </c>
      <c r="S32" s="12" t="b">
        <v>0</v>
      </c>
      <c r="T32" s="12" t="s">
        <v>56</v>
      </c>
      <c r="U32" s="15">
        <f t="shared" si="0"/>
        <v>294.66854000000001</v>
      </c>
      <c r="V32" s="15">
        <f t="shared" si="1"/>
        <v>299.536</v>
      </c>
      <c r="W32" s="15">
        <f t="shared" si="2"/>
        <v>68.123999999999995</v>
      </c>
      <c r="X32" s="15">
        <f t="shared" si="3"/>
        <v>86.5</v>
      </c>
    </row>
    <row r="33" spans="1:24">
      <c r="A33" s="12" t="s">
        <v>162</v>
      </c>
      <c r="B33" s="12" t="s">
        <v>163</v>
      </c>
      <c r="C33" s="12" t="s">
        <v>75</v>
      </c>
      <c r="D33" s="12" t="s">
        <v>76</v>
      </c>
      <c r="E33" s="12" t="s">
        <v>100</v>
      </c>
      <c r="F33" s="13">
        <v>3357.92</v>
      </c>
      <c r="G33" s="13">
        <v>40.19</v>
      </c>
      <c r="H33" s="13">
        <v>2008.43</v>
      </c>
      <c r="I33" s="13">
        <v>4</v>
      </c>
      <c r="J33" s="13">
        <v>49</v>
      </c>
      <c r="K33" s="13">
        <v>475</v>
      </c>
      <c r="L33" s="12" t="s">
        <v>164</v>
      </c>
      <c r="M33" s="12">
        <v>4.9000000000000004</v>
      </c>
      <c r="N33" s="14">
        <v>45971</v>
      </c>
      <c r="O33" s="13">
        <v>4</v>
      </c>
      <c r="P33" s="12" t="s">
        <v>30</v>
      </c>
      <c r="Q33" s="12" t="s">
        <v>46</v>
      </c>
      <c r="R33" s="12" t="s">
        <v>86</v>
      </c>
      <c r="S33" s="12" t="b">
        <v>0</v>
      </c>
      <c r="T33" s="12" t="s">
        <v>62</v>
      </c>
      <c r="U33" s="15">
        <f t="shared" si="0"/>
        <v>1349.5480480000001</v>
      </c>
      <c r="V33" s="15">
        <f t="shared" si="1"/>
        <v>1343.1679999999999</v>
      </c>
      <c r="W33" s="15">
        <f t="shared" si="2"/>
        <v>301.2645</v>
      </c>
      <c r="X33" s="15">
        <f t="shared" si="3"/>
        <v>363.9975</v>
      </c>
    </row>
    <row r="34" spans="1:24">
      <c r="A34" s="12" t="s">
        <v>165</v>
      </c>
      <c r="B34" s="12" t="s">
        <v>166</v>
      </c>
      <c r="C34" s="12" t="s">
        <v>36</v>
      </c>
      <c r="D34" s="12" t="s">
        <v>43</v>
      </c>
      <c r="E34" s="12" t="s">
        <v>84</v>
      </c>
      <c r="F34" s="13">
        <v>10318.94</v>
      </c>
      <c r="G34" s="13">
        <v>30.8</v>
      </c>
      <c r="H34" s="13">
        <v>7140.55</v>
      </c>
      <c r="I34" s="13">
        <v>4</v>
      </c>
      <c r="J34" s="13">
        <v>15</v>
      </c>
      <c r="K34" s="13">
        <v>135</v>
      </c>
      <c r="L34" s="12" t="s">
        <v>167</v>
      </c>
      <c r="M34" s="12">
        <v>3.5</v>
      </c>
      <c r="N34" s="14">
        <v>45436</v>
      </c>
      <c r="O34" s="13">
        <v>3</v>
      </c>
      <c r="P34" s="12" t="s">
        <v>45</v>
      </c>
      <c r="Q34" s="12" t="s">
        <v>55</v>
      </c>
      <c r="R34" s="12" t="s">
        <v>32</v>
      </c>
      <c r="S34" s="12" t="b">
        <v>0</v>
      </c>
      <c r="T34" s="12" t="s">
        <v>78</v>
      </c>
      <c r="U34" s="15">
        <f t="shared" si="0"/>
        <v>3178.2335200000002</v>
      </c>
      <c r="V34" s="15">
        <f t="shared" si="1"/>
        <v>4127.576</v>
      </c>
      <c r="W34" s="15">
        <f t="shared" si="2"/>
        <v>1071.0825</v>
      </c>
      <c r="X34" s="15">
        <f t="shared" si="3"/>
        <v>1941.8915</v>
      </c>
    </row>
    <row r="35" spans="1:24">
      <c r="A35" s="12" t="s">
        <v>168</v>
      </c>
      <c r="B35" s="12" t="s">
        <v>169</v>
      </c>
      <c r="C35" s="12" t="s">
        <v>59</v>
      </c>
      <c r="D35" s="12" t="s">
        <v>170</v>
      </c>
      <c r="E35" s="12" t="s">
        <v>92</v>
      </c>
      <c r="F35" s="13">
        <v>4720.03</v>
      </c>
      <c r="G35" s="13">
        <v>5.82</v>
      </c>
      <c r="H35" s="13">
        <v>4445.33</v>
      </c>
      <c r="I35" s="13">
        <v>4</v>
      </c>
      <c r="J35" s="13">
        <v>10</v>
      </c>
      <c r="K35" s="13">
        <v>360</v>
      </c>
      <c r="L35" s="12" t="s">
        <v>171</v>
      </c>
      <c r="M35" s="12">
        <v>3.5</v>
      </c>
      <c r="N35" s="14">
        <v>45454</v>
      </c>
      <c r="O35" s="13">
        <v>1</v>
      </c>
      <c r="P35" s="12" t="s">
        <v>117</v>
      </c>
      <c r="Q35" s="12" t="s">
        <v>31</v>
      </c>
      <c r="R35" s="12" t="s">
        <v>32</v>
      </c>
      <c r="S35" s="12" t="b">
        <v>0</v>
      </c>
      <c r="T35" s="12" t="s">
        <v>62</v>
      </c>
      <c r="U35" s="15">
        <f t="shared" si="0"/>
        <v>274.70574599999998</v>
      </c>
      <c r="V35" s="15">
        <f t="shared" si="1"/>
        <v>1888.0119999999999</v>
      </c>
      <c r="W35" s="15">
        <f t="shared" si="2"/>
        <v>666.79949999999997</v>
      </c>
      <c r="X35" s="15">
        <f t="shared" si="3"/>
        <v>1890.5184999999999</v>
      </c>
    </row>
    <row r="36" spans="1:24">
      <c r="A36" s="12" t="s">
        <v>172</v>
      </c>
      <c r="B36" s="12" t="s">
        <v>173</v>
      </c>
      <c r="C36" s="12" t="s">
        <v>36</v>
      </c>
      <c r="D36" s="12" t="s">
        <v>37</v>
      </c>
      <c r="E36" s="12" t="s">
        <v>100</v>
      </c>
      <c r="F36" s="13">
        <v>10546.91</v>
      </c>
      <c r="G36" s="13">
        <v>20.68</v>
      </c>
      <c r="H36" s="13">
        <v>8366.32</v>
      </c>
      <c r="I36" s="13">
        <v>4.0999999999999996</v>
      </c>
      <c r="J36" s="13">
        <v>18</v>
      </c>
      <c r="K36" s="13">
        <v>59</v>
      </c>
      <c r="L36" s="12" t="s">
        <v>174</v>
      </c>
      <c r="M36" s="12">
        <v>4.4000000000000004</v>
      </c>
      <c r="N36" s="14">
        <v>46042</v>
      </c>
      <c r="O36" s="13">
        <v>3</v>
      </c>
      <c r="P36" s="12" t="s">
        <v>40</v>
      </c>
      <c r="Q36" s="12" t="s">
        <v>31</v>
      </c>
      <c r="R36" s="12" t="s">
        <v>47</v>
      </c>
      <c r="S36" s="12" t="b">
        <v>0</v>
      </c>
      <c r="T36" s="12" t="s">
        <v>56</v>
      </c>
      <c r="U36" s="15">
        <f t="shared" si="0"/>
        <v>2181.1009880000001</v>
      </c>
      <c r="V36" s="15">
        <f t="shared" si="1"/>
        <v>4218.7640000000001</v>
      </c>
      <c r="W36" s="15">
        <f t="shared" si="2"/>
        <v>1254.9480000000001</v>
      </c>
      <c r="X36" s="15">
        <f t="shared" si="3"/>
        <v>2892.6080000000002</v>
      </c>
    </row>
    <row r="37" spans="1:24">
      <c r="A37" s="12" t="s">
        <v>175</v>
      </c>
      <c r="B37" s="12" t="s">
        <v>176</v>
      </c>
      <c r="C37" s="12" t="s">
        <v>59</v>
      </c>
      <c r="D37" s="12" t="s">
        <v>60</v>
      </c>
      <c r="E37" s="12" t="s">
        <v>70</v>
      </c>
      <c r="F37" s="13">
        <v>8839.74</v>
      </c>
      <c r="G37" s="13">
        <v>20.34</v>
      </c>
      <c r="H37" s="13">
        <v>7042.08</v>
      </c>
      <c r="I37" s="13">
        <v>4.7</v>
      </c>
      <c r="J37" s="13">
        <v>12</v>
      </c>
      <c r="K37" s="13">
        <v>436</v>
      </c>
      <c r="L37" s="12" t="s">
        <v>177</v>
      </c>
      <c r="M37" s="12">
        <v>3.4</v>
      </c>
      <c r="N37" s="14">
        <v>45550</v>
      </c>
      <c r="O37" s="13">
        <v>1</v>
      </c>
      <c r="P37" s="12" t="s">
        <v>30</v>
      </c>
      <c r="Q37" s="12" t="s">
        <v>31</v>
      </c>
      <c r="R37" s="12" t="s">
        <v>86</v>
      </c>
      <c r="S37" s="12" t="b">
        <v>0</v>
      </c>
      <c r="T37" s="12" t="s">
        <v>56</v>
      </c>
      <c r="U37" s="15">
        <f t="shared" si="0"/>
        <v>1798.0031160000001</v>
      </c>
      <c r="V37" s="15">
        <f t="shared" si="1"/>
        <v>3535.8960000000002</v>
      </c>
      <c r="W37" s="15">
        <f t="shared" si="2"/>
        <v>1056.3119999999999</v>
      </c>
      <c r="X37" s="15">
        <f t="shared" si="3"/>
        <v>2449.8719999999998</v>
      </c>
    </row>
    <row r="38" spans="1:24">
      <c r="A38" s="12" t="s">
        <v>178</v>
      </c>
      <c r="B38" s="12" t="s">
        <v>179</v>
      </c>
      <c r="C38" s="12" t="s">
        <v>26</v>
      </c>
      <c r="D38" s="12" t="s">
        <v>27</v>
      </c>
      <c r="E38" s="12" t="s">
        <v>100</v>
      </c>
      <c r="F38" s="13">
        <v>45074.559999999998</v>
      </c>
      <c r="G38" s="13">
        <v>6.87</v>
      </c>
      <c r="H38" s="13">
        <v>41977.04</v>
      </c>
      <c r="I38" s="13">
        <v>4.4000000000000004</v>
      </c>
      <c r="J38" s="13">
        <v>17</v>
      </c>
      <c r="K38" s="13">
        <v>22</v>
      </c>
      <c r="L38" s="12" t="s">
        <v>180</v>
      </c>
      <c r="M38" s="12">
        <v>4.0999999999999996</v>
      </c>
      <c r="N38" s="14">
        <v>45529</v>
      </c>
      <c r="O38" s="13">
        <v>4</v>
      </c>
      <c r="P38" s="12" t="s">
        <v>117</v>
      </c>
      <c r="Q38" s="12" t="s">
        <v>55</v>
      </c>
      <c r="R38" s="12" t="s">
        <v>47</v>
      </c>
      <c r="S38" s="12" t="b">
        <v>0</v>
      </c>
      <c r="T38" s="12" t="s">
        <v>62</v>
      </c>
      <c r="U38" s="15">
        <f t="shared" si="0"/>
        <v>3096.6222720000001</v>
      </c>
      <c r="V38" s="15">
        <f t="shared" si="1"/>
        <v>18029.824000000001</v>
      </c>
      <c r="W38" s="15">
        <f t="shared" si="2"/>
        <v>6296.5559999999996</v>
      </c>
      <c r="X38" s="15">
        <f t="shared" si="3"/>
        <v>17650.66</v>
      </c>
    </row>
    <row r="39" spans="1:24">
      <c r="A39" s="12" t="s">
        <v>181</v>
      </c>
      <c r="B39" s="12" t="s">
        <v>182</v>
      </c>
      <c r="C39" s="12" t="s">
        <v>59</v>
      </c>
      <c r="D39" s="12" t="s">
        <v>69</v>
      </c>
      <c r="E39" s="12" t="s">
        <v>28</v>
      </c>
      <c r="F39" s="13">
        <v>7244.63</v>
      </c>
      <c r="G39" s="13">
        <v>40.619999999999997</v>
      </c>
      <c r="H39" s="13">
        <v>4301.78</v>
      </c>
      <c r="I39" s="13">
        <v>3.5</v>
      </c>
      <c r="J39" s="13">
        <v>19</v>
      </c>
      <c r="K39" s="13">
        <v>287</v>
      </c>
      <c r="L39" s="12" t="s">
        <v>183</v>
      </c>
      <c r="M39" s="12">
        <v>4.7</v>
      </c>
      <c r="N39" s="14">
        <v>45527</v>
      </c>
      <c r="O39" s="13">
        <v>2</v>
      </c>
      <c r="P39" s="12" t="s">
        <v>117</v>
      </c>
      <c r="Q39" s="12" t="s">
        <v>46</v>
      </c>
      <c r="R39" s="12" t="s">
        <v>32</v>
      </c>
      <c r="S39" s="12" t="b">
        <v>0</v>
      </c>
      <c r="T39" s="12" t="s">
        <v>62</v>
      </c>
      <c r="U39" s="15">
        <f t="shared" si="0"/>
        <v>2942.7687059999998</v>
      </c>
      <c r="V39" s="15">
        <f t="shared" si="1"/>
        <v>2897.8519999999999</v>
      </c>
      <c r="W39" s="15">
        <f t="shared" si="2"/>
        <v>645.26700000000005</v>
      </c>
      <c r="X39" s="15">
        <f t="shared" si="3"/>
        <v>758.66099999999904</v>
      </c>
    </row>
    <row r="40" spans="1:24">
      <c r="A40" s="12" t="s">
        <v>184</v>
      </c>
      <c r="B40" s="12" t="s">
        <v>185</v>
      </c>
      <c r="C40" s="12" t="s">
        <v>75</v>
      </c>
      <c r="D40" s="12" t="s">
        <v>76</v>
      </c>
      <c r="E40" s="12" t="s">
        <v>38</v>
      </c>
      <c r="F40" s="13">
        <v>1026.8</v>
      </c>
      <c r="G40" s="13">
        <v>16.07</v>
      </c>
      <c r="H40" s="13">
        <v>861.82</v>
      </c>
      <c r="I40" s="13">
        <v>3.9</v>
      </c>
      <c r="J40" s="13">
        <v>12</v>
      </c>
      <c r="K40" s="13">
        <v>75</v>
      </c>
      <c r="L40" s="12" t="s">
        <v>186</v>
      </c>
      <c r="M40" s="12">
        <v>4.7</v>
      </c>
      <c r="N40" s="14">
        <v>45972</v>
      </c>
      <c r="O40" s="13">
        <v>2</v>
      </c>
      <c r="P40" s="12" t="s">
        <v>30</v>
      </c>
      <c r="Q40" s="12" t="s">
        <v>46</v>
      </c>
      <c r="R40" s="12" t="s">
        <v>32</v>
      </c>
      <c r="S40" s="12" t="b">
        <v>0</v>
      </c>
      <c r="T40" s="12" t="s">
        <v>56</v>
      </c>
      <c r="U40" s="15">
        <f t="shared" si="0"/>
        <v>165.00676000000001</v>
      </c>
      <c r="V40" s="15">
        <f t="shared" si="1"/>
        <v>410.72</v>
      </c>
      <c r="W40" s="15">
        <f t="shared" si="2"/>
        <v>129.273</v>
      </c>
      <c r="X40" s="15">
        <f t="shared" si="3"/>
        <v>321.827</v>
      </c>
    </row>
    <row r="41" spans="1:24">
      <c r="A41" s="12" t="s">
        <v>187</v>
      </c>
      <c r="B41" s="12" t="s">
        <v>188</v>
      </c>
      <c r="C41" s="12" t="s">
        <v>59</v>
      </c>
      <c r="D41" s="12" t="s">
        <v>69</v>
      </c>
      <c r="E41" s="12" t="s">
        <v>112</v>
      </c>
      <c r="F41" s="13">
        <v>5431.33</v>
      </c>
      <c r="G41" s="13">
        <v>44.62</v>
      </c>
      <c r="H41" s="13">
        <v>3008.08</v>
      </c>
      <c r="I41" s="13">
        <v>4</v>
      </c>
      <c r="J41" s="13">
        <v>16</v>
      </c>
      <c r="K41" s="13">
        <v>341</v>
      </c>
      <c r="L41" s="12" t="s">
        <v>189</v>
      </c>
      <c r="M41" s="12">
        <v>3.4</v>
      </c>
      <c r="N41" s="14">
        <v>45776</v>
      </c>
      <c r="O41" s="13">
        <v>4</v>
      </c>
      <c r="P41" s="12" t="s">
        <v>54</v>
      </c>
      <c r="Q41" s="12" t="s">
        <v>55</v>
      </c>
      <c r="R41" s="12" t="s">
        <v>86</v>
      </c>
      <c r="S41" s="12" t="b">
        <v>0</v>
      </c>
      <c r="T41" s="12" t="s">
        <v>62</v>
      </c>
      <c r="U41" s="15">
        <f t="shared" si="0"/>
        <v>2423.4594459999998</v>
      </c>
      <c r="V41" s="15">
        <f t="shared" si="1"/>
        <v>2172.5320000000002</v>
      </c>
      <c r="W41" s="15">
        <f t="shared" si="2"/>
        <v>451.21199999999999</v>
      </c>
      <c r="X41" s="15">
        <f t="shared" si="3"/>
        <v>384.33600000000001</v>
      </c>
    </row>
    <row r="42" spans="1:24">
      <c r="A42" s="12" t="s">
        <v>190</v>
      </c>
      <c r="B42" s="12" t="s">
        <v>191</v>
      </c>
      <c r="C42" s="12" t="s">
        <v>75</v>
      </c>
      <c r="D42" s="12" t="s">
        <v>135</v>
      </c>
      <c r="E42" s="12" t="s">
        <v>92</v>
      </c>
      <c r="F42" s="13">
        <v>3997.16</v>
      </c>
      <c r="G42" s="13">
        <v>16.670000000000002</v>
      </c>
      <c r="H42" s="13">
        <v>3330.76</v>
      </c>
      <c r="I42" s="13">
        <v>3.7</v>
      </c>
      <c r="J42" s="13">
        <v>19</v>
      </c>
      <c r="K42" s="13">
        <v>91</v>
      </c>
      <c r="L42" s="12" t="s">
        <v>192</v>
      </c>
      <c r="M42" s="12">
        <v>4.4000000000000004</v>
      </c>
      <c r="N42" s="14">
        <v>45569</v>
      </c>
      <c r="O42" s="13">
        <v>3</v>
      </c>
      <c r="P42" s="12" t="s">
        <v>54</v>
      </c>
      <c r="Q42" s="12" t="s">
        <v>55</v>
      </c>
      <c r="R42" s="12" t="s">
        <v>47</v>
      </c>
      <c r="S42" s="12" t="b">
        <v>0</v>
      </c>
      <c r="T42" s="12" t="s">
        <v>56</v>
      </c>
      <c r="U42" s="15">
        <f t="shared" si="0"/>
        <v>666.32657200000006</v>
      </c>
      <c r="V42" s="15">
        <f t="shared" si="1"/>
        <v>1598.864</v>
      </c>
      <c r="W42" s="15">
        <f t="shared" si="2"/>
        <v>499.61399999999998</v>
      </c>
      <c r="X42" s="15">
        <f t="shared" si="3"/>
        <v>1232.2819999999999</v>
      </c>
    </row>
    <row r="43" spans="1:24">
      <c r="A43" s="12" t="s">
        <v>193</v>
      </c>
      <c r="B43" s="12" t="s">
        <v>194</v>
      </c>
      <c r="C43" s="12" t="s">
        <v>75</v>
      </c>
      <c r="D43" s="12" t="s">
        <v>76</v>
      </c>
      <c r="E43" s="12" t="s">
        <v>84</v>
      </c>
      <c r="F43" s="13">
        <v>4202.5600000000004</v>
      </c>
      <c r="G43" s="13">
        <v>34.01</v>
      </c>
      <c r="H43" s="13">
        <v>2773.13</v>
      </c>
      <c r="I43" s="13">
        <v>3.4</v>
      </c>
      <c r="J43" s="13">
        <v>19</v>
      </c>
      <c r="K43" s="13">
        <v>113</v>
      </c>
      <c r="L43" s="12" t="s">
        <v>195</v>
      </c>
      <c r="M43" s="12">
        <v>4.9000000000000004</v>
      </c>
      <c r="N43" s="14">
        <v>45582</v>
      </c>
      <c r="O43" s="13">
        <v>1</v>
      </c>
      <c r="P43" s="12" t="s">
        <v>117</v>
      </c>
      <c r="Q43" s="12" t="s">
        <v>55</v>
      </c>
      <c r="R43" s="12" t="s">
        <v>72</v>
      </c>
      <c r="S43" s="12" t="b">
        <v>0</v>
      </c>
      <c r="T43" s="12" t="s">
        <v>56</v>
      </c>
      <c r="U43" s="15">
        <f t="shared" si="0"/>
        <v>1429.2906559999999</v>
      </c>
      <c r="V43" s="15">
        <f t="shared" si="1"/>
        <v>1681.0239999999999</v>
      </c>
      <c r="W43" s="15">
        <f t="shared" si="2"/>
        <v>415.96949999999998</v>
      </c>
      <c r="X43" s="15">
        <f t="shared" si="3"/>
        <v>676.13649999999996</v>
      </c>
    </row>
    <row r="44" spans="1:24">
      <c r="A44" s="12" t="s">
        <v>196</v>
      </c>
      <c r="B44" s="12" t="s">
        <v>197</v>
      </c>
      <c r="C44" s="12" t="s">
        <v>75</v>
      </c>
      <c r="D44" s="12" t="s">
        <v>135</v>
      </c>
      <c r="E44" s="12" t="s">
        <v>38</v>
      </c>
      <c r="F44" s="13">
        <v>4864.45</v>
      </c>
      <c r="G44" s="13">
        <v>69.58</v>
      </c>
      <c r="H44" s="13">
        <v>1479.87</v>
      </c>
      <c r="I44" s="13">
        <v>3.9</v>
      </c>
      <c r="J44" s="13">
        <v>9</v>
      </c>
      <c r="K44" s="13">
        <v>142</v>
      </c>
      <c r="L44" s="12" t="s">
        <v>198</v>
      </c>
      <c r="M44" s="12">
        <v>2.9</v>
      </c>
      <c r="N44" s="14">
        <v>45657</v>
      </c>
      <c r="O44" s="13">
        <v>3</v>
      </c>
      <c r="P44" s="12" t="s">
        <v>54</v>
      </c>
      <c r="Q44" s="12" t="s">
        <v>55</v>
      </c>
      <c r="R44" s="12" t="s">
        <v>72</v>
      </c>
      <c r="S44" s="12" t="b">
        <v>1</v>
      </c>
      <c r="T44" s="12" t="s">
        <v>33</v>
      </c>
      <c r="U44" s="15">
        <f t="shared" si="0"/>
        <v>3384.6843100000001</v>
      </c>
      <c r="V44" s="15">
        <f t="shared" si="1"/>
        <v>1945.78</v>
      </c>
      <c r="W44" s="15">
        <f t="shared" si="2"/>
        <v>221.98050000000001</v>
      </c>
      <c r="X44" s="15">
        <f t="shared" si="3"/>
        <v>-687.89049999999997</v>
      </c>
    </row>
    <row r="45" spans="1:24">
      <c r="A45" s="12" t="s">
        <v>199</v>
      </c>
      <c r="B45" s="12" t="s">
        <v>200</v>
      </c>
      <c r="C45" s="12" t="s">
        <v>36</v>
      </c>
      <c r="D45" s="12" t="s">
        <v>37</v>
      </c>
      <c r="E45" s="12" t="s">
        <v>100</v>
      </c>
      <c r="F45" s="13">
        <v>6070.93</v>
      </c>
      <c r="G45" s="13">
        <v>38.17</v>
      </c>
      <c r="H45" s="13">
        <v>3753.68</v>
      </c>
      <c r="I45" s="13">
        <v>3.8</v>
      </c>
      <c r="J45" s="13">
        <v>11</v>
      </c>
      <c r="K45" s="13">
        <v>59</v>
      </c>
      <c r="L45" s="12" t="s">
        <v>201</v>
      </c>
      <c r="M45" s="12">
        <v>2.9</v>
      </c>
      <c r="N45" s="14">
        <v>45458</v>
      </c>
      <c r="O45" s="13">
        <v>4</v>
      </c>
      <c r="P45" s="12" t="s">
        <v>45</v>
      </c>
      <c r="Q45" s="12" t="s">
        <v>46</v>
      </c>
      <c r="R45" s="12" t="s">
        <v>72</v>
      </c>
      <c r="S45" s="12" t="b">
        <v>0</v>
      </c>
      <c r="T45" s="12" t="s">
        <v>78</v>
      </c>
      <c r="U45" s="15">
        <f t="shared" si="0"/>
        <v>2317.2739809999998</v>
      </c>
      <c r="V45" s="15">
        <f t="shared" si="1"/>
        <v>2428.3719999999998</v>
      </c>
      <c r="W45" s="15">
        <f t="shared" si="2"/>
        <v>563.05200000000002</v>
      </c>
      <c r="X45" s="15">
        <f t="shared" si="3"/>
        <v>762.25599999999997</v>
      </c>
    </row>
    <row r="46" spans="1:24">
      <c r="A46" s="12" t="s">
        <v>202</v>
      </c>
      <c r="B46" s="12" t="s">
        <v>203</v>
      </c>
      <c r="C46" s="12" t="s">
        <v>26</v>
      </c>
      <c r="D46" s="12" t="s">
        <v>148</v>
      </c>
      <c r="E46" s="12" t="s">
        <v>112</v>
      </c>
      <c r="F46" s="13">
        <v>53513.63</v>
      </c>
      <c r="G46" s="13">
        <v>14.1</v>
      </c>
      <c r="H46" s="13">
        <v>45969.15</v>
      </c>
      <c r="I46" s="13">
        <v>4.0999999999999996</v>
      </c>
      <c r="J46" s="13">
        <v>19</v>
      </c>
      <c r="K46" s="13">
        <v>261</v>
      </c>
      <c r="L46" s="12" t="s">
        <v>204</v>
      </c>
      <c r="M46" s="12">
        <v>4.5</v>
      </c>
      <c r="N46" s="14">
        <v>45720</v>
      </c>
      <c r="O46" s="13">
        <v>1</v>
      </c>
      <c r="P46" s="12" t="s">
        <v>30</v>
      </c>
      <c r="Q46" s="12" t="s">
        <v>55</v>
      </c>
      <c r="R46" s="12" t="s">
        <v>47</v>
      </c>
      <c r="S46" s="12" t="b">
        <v>0</v>
      </c>
      <c r="T46" s="12" t="s">
        <v>56</v>
      </c>
      <c r="U46" s="15">
        <f t="shared" si="0"/>
        <v>7545.4218300000002</v>
      </c>
      <c r="V46" s="15">
        <f t="shared" si="1"/>
        <v>21405.452000000001</v>
      </c>
      <c r="W46" s="15">
        <f t="shared" si="2"/>
        <v>6895.3725000000004</v>
      </c>
      <c r="X46" s="15">
        <f t="shared" si="3"/>
        <v>17668.325499999999</v>
      </c>
    </row>
    <row r="47" spans="1:24">
      <c r="A47" s="12" t="s">
        <v>205</v>
      </c>
      <c r="B47" s="12" t="s">
        <v>206</v>
      </c>
      <c r="C47" s="12" t="s">
        <v>26</v>
      </c>
      <c r="D47" s="12" t="s">
        <v>148</v>
      </c>
      <c r="E47" s="12" t="s">
        <v>38</v>
      </c>
      <c r="F47" s="13">
        <v>56354.84</v>
      </c>
      <c r="G47" s="13">
        <v>30.4</v>
      </c>
      <c r="H47" s="13">
        <v>39222.870000000003</v>
      </c>
      <c r="I47" s="13">
        <v>3.7</v>
      </c>
      <c r="J47" s="13">
        <v>125</v>
      </c>
      <c r="K47" s="13">
        <v>351</v>
      </c>
      <c r="L47" s="12" t="s">
        <v>207</v>
      </c>
      <c r="M47" s="12">
        <v>2.6</v>
      </c>
      <c r="N47" s="14">
        <v>45693</v>
      </c>
      <c r="O47" s="13">
        <v>6</v>
      </c>
      <c r="P47" s="12" t="s">
        <v>45</v>
      </c>
      <c r="Q47" s="12" t="s">
        <v>55</v>
      </c>
      <c r="R47" s="12" t="s">
        <v>86</v>
      </c>
      <c r="S47" s="12" t="b">
        <v>0</v>
      </c>
      <c r="T47" s="12" t="s">
        <v>78</v>
      </c>
      <c r="U47" s="15">
        <f t="shared" si="0"/>
        <v>17131.871360000001</v>
      </c>
      <c r="V47" s="15">
        <f t="shared" si="1"/>
        <v>22541.936000000002</v>
      </c>
      <c r="W47" s="15">
        <f t="shared" si="2"/>
        <v>5883.4305000000004</v>
      </c>
      <c r="X47" s="15">
        <f t="shared" si="3"/>
        <v>10797.503500000001</v>
      </c>
    </row>
    <row r="48" spans="1:24">
      <c r="A48" s="12" t="s">
        <v>208</v>
      </c>
      <c r="B48" s="12" t="s">
        <v>209</v>
      </c>
      <c r="C48" s="12" t="s">
        <v>59</v>
      </c>
      <c r="D48" s="12" t="s">
        <v>60</v>
      </c>
      <c r="E48" s="12" t="s">
        <v>112</v>
      </c>
      <c r="F48" s="13">
        <v>16400.509999999998</v>
      </c>
      <c r="G48" s="13">
        <v>31.74</v>
      </c>
      <c r="H48" s="13">
        <v>11195.66</v>
      </c>
      <c r="I48" s="13">
        <v>4.0999999999999996</v>
      </c>
      <c r="J48" s="13">
        <v>18</v>
      </c>
      <c r="K48" s="13">
        <v>259</v>
      </c>
      <c r="L48" s="12" t="s">
        <v>210</v>
      </c>
      <c r="M48" s="12">
        <v>2.7</v>
      </c>
      <c r="N48" s="14">
        <v>46001</v>
      </c>
      <c r="O48" s="13">
        <v>2</v>
      </c>
      <c r="P48" s="12" t="s">
        <v>40</v>
      </c>
      <c r="Q48" s="12" t="s">
        <v>31</v>
      </c>
      <c r="R48" s="12" t="s">
        <v>86</v>
      </c>
      <c r="S48" s="12" t="b">
        <v>0</v>
      </c>
      <c r="T48" s="12" t="s">
        <v>56</v>
      </c>
      <c r="U48" s="15">
        <f t="shared" si="0"/>
        <v>5205.521874</v>
      </c>
      <c r="V48" s="15">
        <f t="shared" si="1"/>
        <v>6560.2039999999997</v>
      </c>
      <c r="W48" s="15">
        <f t="shared" si="2"/>
        <v>1679.3489999999999</v>
      </c>
      <c r="X48" s="15">
        <f t="shared" si="3"/>
        <v>2956.107</v>
      </c>
    </row>
    <row r="49" spans="1:24">
      <c r="A49" s="12" t="s">
        <v>211</v>
      </c>
      <c r="B49" s="12" t="s">
        <v>212</v>
      </c>
      <c r="C49" s="12" t="s">
        <v>50</v>
      </c>
      <c r="D49" s="12" t="s">
        <v>213</v>
      </c>
      <c r="E49" s="12" t="s">
        <v>52</v>
      </c>
      <c r="F49" s="13">
        <v>561.72</v>
      </c>
      <c r="G49" s="13">
        <v>29.05</v>
      </c>
      <c r="H49" s="13">
        <v>398.57</v>
      </c>
      <c r="I49" s="13">
        <v>4</v>
      </c>
      <c r="J49" s="13">
        <v>24</v>
      </c>
      <c r="K49" s="13">
        <v>215</v>
      </c>
      <c r="L49" s="12" t="s">
        <v>214</v>
      </c>
      <c r="M49" s="12">
        <v>4.4000000000000004</v>
      </c>
      <c r="N49" s="14">
        <v>45488</v>
      </c>
      <c r="O49" s="13">
        <v>5</v>
      </c>
      <c r="P49" s="12" t="s">
        <v>45</v>
      </c>
      <c r="Q49" s="12" t="s">
        <v>31</v>
      </c>
      <c r="R49" s="12" t="s">
        <v>47</v>
      </c>
      <c r="S49" s="12" t="b">
        <v>0</v>
      </c>
      <c r="T49" s="12" t="s">
        <v>62</v>
      </c>
      <c r="U49" s="15">
        <f t="shared" si="0"/>
        <v>163.17966000000001</v>
      </c>
      <c r="V49" s="15">
        <f t="shared" si="1"/>
        <v>224.68799999999999</v>
      </c>
      <c r="W49" s="15">
        <f t="shared" si="2"/>
        <v>59.785499999999999</v>
      </c>
      <c r="X49" s="15">
        <f t="shared" si="3"/>
        <v>114.09650000000001</v>
      </c>
    </row>
    <row r="50" spans="1:24">
      <c r="A50" s="12" t="s">
        <v>215</v>
      </c>
      <c r="B50" s="12" t="s">
        <v>216</v>
      </c>
      <c r="C50" s="12" t="s">
        <v>36</v>
      </c>
      <c r="D50" s="12" t="s">
        <v>37</v>
      </c>
      <c r="E50" s="12" t="s">
        <v>96</v>
      </c>
      <c r="F50" s="13">
        <v>4483.6099999999997</v>
      </c>
      <c r="G50" s="13">
        <v>14.33</v>
      </c>
      <c r="H50" s="13">
        <v>3841.32</v>
      </c>
      <c r="I50" s="13">
        <v>4</v>
      </c>
      <c r="J50" s="13">
        <v>32</v>
      </c>
      <c r="K50" s="13">
        <v>155</v>
      </c>
      <c r="L50" s="12" t="s">
        <v>217</v>
      </c>
      <c r="M50" s="12">
        <v>2.8</v>
      </c>
      <c r="N50" s="14">
        <v>45515</v>
      </c>
      <c r="O50" s="13">
        <v>2</v>
      </c>
      <c r="P50" s="12" t="s">
        <v>45</v>
      </c>
      <c r="Q50" s="12" t="s">
        <v>46</v>
      </c>
      <c r="R50" s="12" t="s">
        <v>86</v>
      </c>
      <c r="S50" s="12" t="b">
        <v>0</v>
      </c>
      <c r="T50" s="12" t="s">
        <v>62</v>
      </c>
      <c r="U50" s="15">
        <f t="shared" si="0"/>
        <v>642.50131299999998</v>
      </c>
      <c r="V50" s="15">
        <f t="shared" si="1"/>
        <v>1793.444</v>
      </c>
      <c r="W50" s="15">
        <f t="shared" si="2"/>
        <v>576.19799999999998</v>
      </c>
      <c r="X50" s="15">
        <f t="shared" si="3"/>
        <v>1471.6780000000001</v>
      </c>
    </row>
    <row r="51" spans="1:24">
      <c r="A51" s="12" t="s">
        <v>218</v>
      </c>
      <c r="B51" s="12" t="s">
        <v>219</v>
      </c>
      <c r="C51" s="12" t="s">
        <v>36</v>
      </c>
      <c r="D51" s="12" t="s">
        <v>108</v>
      </c>
      <c r="E51" s="12" t="s">
        <v>112</v>
      </c>
      <c r="F51" s="13">
        <v>12856.63</v>
      </c>
      <c r="G51" s="13">
        <v>29.84</v>
      </c>
      <c r="H51" s="13">
        <v>9020.75</v>
      </c>
      <c r="I51" s="13">
        <v>4.4000000000000004</v>
      </c>
      <c r="J51" s="13">
        <v>23</v>
      </c>
      <c r="K51" s="13">
        <v>345</v>
      </c>
      <c r="L51" s="12" t="s">
        <v>220</v>
      </c>
      <c r="M51" s="12">
        <v>3.7</v>
      </c>
      <c r="N51" s="14">
        <v>45671</v>
      </c>
      <c r="O51" s="13">
        <v>1</v>
      </c>
      <c r="P51" s="12" t="s">
        <v>117</v>
      </c>
      <c r="Q51" s="12" t="s">
        <v>31</v>
      </c>
      <c r="R51" s="12" t="s">
        <v>86</v>
      </c>
      <c r="S51" s="12" t="b">
        <v>0</v>
      </c>
      <c r="T51" s="12" t="s">
        <v>62</v>
      </c>
      <c r="U51" s="15">
        <f t="shared" si="0"/>
        <v>3836.418392</v>
      </c>
      <c r="V51" s="15">
        <f t="shared" si="1"/>
        <v>5142.652</v>
      </c>
      <c r="W51" s="15">
        <f t="shared" si="2"/>
        <v>1353.1125</v>
      </c>
      <c r="X51" s="15">
        <f t="shared" si="3"/>
        <v>2524.9854999999998</v>
      </c>
    </row>
    <row r="52" spans="1:24">
      <c r="A52" s="12" t="s">
        <v>221</v>
      </c>
      <c r="B52" s="12" t="s">
        <v>222</v>
      </c>
      <c r="C52" s="12" t="s">
        <v>75</v>
      </c>
      <c r="D52" s="12" t="s">
        <v>76</v>
      </c>
      <c r="E52" s="12" t="s">
        <v>84</v>
      </c>
      <c r="F52" s="13">
        <v>4031.01</v>
      </c>
      <c r="G52" s="13">
        <v>47.04</v>
      </c>
      <c r="H52" s="13">
        <v>2134.9899999999998</v>
      </c>
      <c r="I52" s="13">
        <v>3.9</v>
      </c>
      <c r="J52" s="13">
        <v>25</v>
      </c>
      <c r="K52" s="13">
        <v>324</v>
      </c>
      <c r="L52" s="12" t="s">
        <v>223</v>
      </c>
      <c r="M52" s="12">
        <v>3.6</v>
      </c>
      <c r="N52" s="14">
        <v>45705</v>
      </c>
      <c r="O52" s="13">
        <v>2</v>
      </c>
      <c r="P52" s="12" t="s">
        <v>30</v>
      </c>
      <c r="Q52" s="12" t="s">
        <v>46</v>
      </c>
      <c r="R52" s="12" t="s">
        <v>47</v>
      </c>
      <c r="S52" s="12" t="b">
        <v>0</v>
      </c>
      <c r="T52" s="12" t="s">
        <v>62</v>
      </c>
      <c r="U52" s="15">
        <f t="shared" si="0"/>
        <v>1896.1871040000001</v>
      </c>
      <c r="V52" s="15">
        <f t="shared" si="1"/>
        <v>1612.404</v>
      </c>
      <c r="W52" s="15">
        <f t="shared" si="2"/>
        <v>320.24849999999998</v>
      </c>
      <c r="X52" s="15">
        <f t="shared" si="3"/>
        <v>202.33750000000001</v>
      </c>
    </row>
    <row r="53" spans="1:24">
      <c r="A53" s="12" t="s">
        <v>224</v>
      </c>
      <c r="B53" s="12" t="s">
        <v>225</v>
      </c>
      <c r="C53" s="12" t="s">
        <v>59</v>
      </c>
      <c r="D53" s="12" t="s">
        <v>69</v>
      </c>
      <c r="E53" s="12" t="s">
        <v>70</v>
      </c>
      <c r="F53" s="13">
        <v>10765.8</v>
      </c>
      <c r="G53" s="13">
        <v>32.99</v>
      </c>
      <c r="H53" s="13">
        <v>7213.74</v>
      </c>
      <c r="I53" s="13">
        <v>3.1</v>
      </c>
      <c r="J53" s="13">
        <v>19</v>
      </c>
      <c r="K53" s="13">
        <v>125</v>
      </c>
      <c r="L53" s="12" t="s">
        <v>226</v>
      </c>
      <c r="M53" s="12">
        <v>3.7</v>
      </c>
      <c r="N53" s="14">
        <v>45468</v>
      </c>
      <c r="O53" s="13">
        <v>4</v>
      </c>
      <c r="P53" s="12" t="s">
        <v>54</v>
      </c>
      <c r="Q53" s="12" t="s">
        <v>31</v>
      </c>
      <c r="R53" s="12" t="s">
        <v>32</v>
      </c>
      <c r="S53" s="12" t="b">
        <v>0</v>
      </c>
      <c r="T53" s="12" t="s">
        <v>56</v>
      </c>
      <c r="U53" s="15">
        <f t="shared" si="0"/>
        <v>3551.63742</v>
      </c>
      <c r="V53" s="15">
        <f t="shared" si="1"/>
        <v>4306.32</v>
      </c>
      <c r="W53" s="15">
        <f t="shared" si="2"/>
        <v>1082.0609999999999</v>
      </c>
      <c r="X53" s="15">
        <f t="shared" si="3"/>
        <v>1825.3589999999999</v>
      </c>
    </row>
    <row r="54" spans="1:24">
      <c r="A54" s="12" t="s">
        <v>227</v>
      </c>
      <c r="B54" s="12" t="s">
        <v>228</v>
      </c>
      <c r="C54" s="12" t="s">
        <v>50</v>
      </c>
      <c r="D54" s="12" t="s">
        <v>213</v>
      </c>
      <c r="E54" s="12" t="s">
        <v>65</v>
      </c>
      <c r="F54" s="13">
        <v>564.14</v>
      </c>
      <c r="G54" s="13">
        <v>10.76</v>
      </c>
      <c r="H54" s="13">
        <v>503.43</v>
      </c>
      <c r="I54" s="13">
        <v>3.3</v>
      </c>
      <c r="J54" s="13">
        <v>32</v>
      </c>
      <c r="K54" s="13">
        <v>253</v>
      </c>
      <c r="L54" s="12" t="s">
        <v>229</v>
      </c>
      <c r="M54" s="12">
        <v>3.7</v>
      </c>
      <c r="N54" s="14">
        <v>45922</v>
      </c>
      <c r="O54" s="13">
        <v>1</v>
      </c>
      <c r="P54" s="12" t="s">
        <v>54</v>
      </c>
      <c r="Q54" s="12" t="s">
        <v>46</v>
      </c>
      <c r="R54" s="12" t="s">
        <v>47</v>
      </c>
      <c r="S54" s="12" t="b">
        <v>0</v>
      </c>
      <c r="T54" s="12" t="s">
        <v>62</v>
      </c>
      <c r="U54" s="15">
        <f t="shared" si="0"/>
        <v>60.701464000000001</v>
      </c>
      <c r="V54" s="15">
        <f t="shared" si="1"/>
        <v>225.65600000000001</v>
      </c>
      <c r="W54" s="15">
        <f t="shared" si="2"/>
        <v>75.514499999999998</v>
      </c>
      <c r="X54" s="15">
        <f t="shared" si="3"/>
        <v>202.2595</v>
      </c>
    </row>
    <row r="55" spans="1:24">
      <c r="A55" s="12" t="s">
        <v>230</v>
      </c>
      <c r="B55" s="12" t="s">
        <v>231</v>
      </c>
      <c r="C55" s="12" t="s">
        <v>26</v>
      </c>
      <c r="D55" s="12" t="s">
        <v>27</v>
      </c>
      <c r="E55" s="12" t="s">
        <v>96</v>
      </c>
      <c r="F55" s="13">
        <v>55066.83</v>
      </c>
      <c r="G55" s="13">
        <v>14.75</v>
      </c>
      <c r="H55" s="13">
        <v>46944.11</v>
      </c>
      <c r="I55" s="13">
        <v>4.3</v>
      </c>
      <c r="J55" s="13">
        <v>7</v>
      </c>
      <c r="K55" s="13">
        <v>237</v>
      </c>
      <c r="L55" s="12" t="s">
        <v>232</v>
      </c>
      <c r="M55" s="12">
        <v>2.8</v>
      </c>
      <c r="N55" s="14">
        <v>45481</v>
      </c>
      <c r="O55" s="13">
        <v>1</v>
      </c>
      <c r="P55" s="12" t="s">
        <v>54</v>
      </c>
      <c r="Q55" s="12" t="s">
        <v>31</v>
      </c>
      <c r="R55" s="12" t="s">
        <v>47</v>
      </c>
      <c r="S55" s="12" t="b">
        <v>0</v>
      </c>
      <c r="T55" s="12" t="s">
        <v>78</v>
      </c>
      <c r="U55" s="15">
        <f t="shared" si="0"/>
        <v>8122.3574250000001</v>
      </c>
      <c r="V55" s="15">
        <f t="shared" si="1"/>
        <v>22026.732</v>
      </c>
      <c r="W55" s="15">
        <f t="shared" si="2"/>
        <v>7041.6165000000001</v>
      </c>
      <c r="X55" s="15">
        <f t="shared" si="3"/>
        <v>17875.761500000001</v>
      </c>
    </row>
    <row r="56" spans="1:24">
      <c r="A56" s="12" t="s">
        <v>233</v>
      </c>
      <c r="B56" s="12" t="s">
        <v>234</v>
      </c>
      <c r="C56" s="12" t="s">
        <v>50</v>
      </c>
      <c r="D56" s="12" t="s">
        <v>130</v>
      </c>
      <c r="E56" s="12" t="s">
        <v>235</v>
      </c>
      <c r="F56" s="13">
        <v>2509.5</v>
      </c>
      <c r="G56" s="13">
        <v>28.02</v>
      </c>
      <c r="H56" s="13">
        <v>1806.22</v>
      </c>
      <c r="I56" s="13">
        <v>3.6</v>
      </c>
      <c r="J56" s="13">
        <v>6</v>
      </c>
      <c r="K56" s="13">
        <v>162</v>
      </c>
      <c r="L56" s="12" t="s">
        <v>236</v>
      </c>
      <c r="M56" s="12">
        <v>4.5</v>
      </c>
      <c r="N56" s="14">
        <v>45995</v>
      </c>
      <c r="O56" s="13">
        <v>1</v>
      </c>
      <c r="P56" s="12" t="s">
        <v>45</v>
      </c>
      <c r="Q56" s="12" t="s">
        <v>31</v>
      </c>
      <c r="R56" s="12" t="s">
        <v>86</v>
      </c>
      <c r="S56" s="12" t="b">
        <v>0</v>
      </c>
      <c r="T56" s="12" t="s">
        <v>62</v>
      </c>
      <c r="U56" s="15">
        <f t="shared" si="0"/>
        <v>703.16189999999995</v>
      </c>
      <c r="V56" s="15">
        <f t="shared" si="1"/>
        <v>1003.8</v>
      </c>
      <c r="W56" s="15">
        <f t="shared" si="2"/>
        <v>270.93299999999999</v>
      </c>
      <c r="X56" s="15">
        <f t="shared" si="3"/>
        <v>531.48699999999997</v>
      </c>
    </row>
    <row r="57" spans="1:24">
      <c r="A57" s="12" t="s">
        <v>237</v>
      </c>
      <c r="B57" s="12" t="s">
        <v>238</v>
      </c>
      <c r="C57" s="12" t="s">
        <v>50</v>
      </c>
      <c r="D57" s="12" t="s">
        <v>130</v>
      </c>
      <c r="E57" s="12" t="s">
        <v>28</v>
      </c>
      <c r="F57" s="13">
        <v>1978.27</v>
      </c>
      <c r="G57" s="13">
        <v>32.82</v>
      </c>
      <c r="H57" s="13">
        <v>1328.97</v>
      </c>
      <c r="I57" s="13">
        <v>3.5</v>
      </c>
      <c r="J57" s="13">
        <v>2</v>
      </c>
      <c r="K57" s="13">
        <v>384</v>
      </c>
      <c r="L57" s="12" t="s">
        <v>239</v>
      </c>
      <c r="M57" s="12">
        <v>2.9</v>
      </c>
      <c r="N57" s="14">
        <v>45835</v>
      </c>
      <c r="O57" s="13">
        <v>5</v>
      </c>
      <c r="P57" s="12" t="s">
        <v>117</v>
      </c>
      <c r="Q57" s="12" t="s">
        <v>31</v>
      </c>
      <c r="R57" s="12" t="s">
        <v>72</v>
      </c>
      <c r="S57" s="12" t="b">
        <v>1</v>
      </c>
      <c r="T57" s="12" t="s">
        <v>33</v>
      </c>
      <c r="U57" s="15">
        <f t="shared" si="0"/>
        <v>649.26821399999994</v>
      </c>
      <c r="V57" s="15">
        <f t="shared" si="1"/>
        <v>791.30799999999999</v>
      </c>
      <c r="W57" s="15">
        <f t="shared" si="2"/>
        <v>199.34549999999999</v>
      </c>
      <c r="X57" s="15">
        <f t="shared" si="3"/>
        <v>338.31650000000002</v>
      </c>
    </row>
    <row r="58" spans="1:24">
      <c r="A58" s="12" t="s">
        <v>240</v>
      </c>
      <c r="B58" s="12" t="s">
        <v>241</v>
      </c>
      <c r="C58" s="12" t="s">
        <v>36</v>
      </c>
      <c r="D58" s="12" t="s">
        <v>37</v>
      </c>
      <c r="E58" s="12" t="s">
        <v>100</v>
      </c>
      <c r="F58" s="13">
        <v>941.85</v>
      </c>
      <c r="G58" s="13">
        <v>44.02</v>
      </c>
      <c r="H58" s="13">
        <v>527.20000000000005</v>
      </c>
      <c r="I58" s="13">
        <v>3.2</v>
      </c>
      <c r="J58" s="13">
        <v>3</v>
      </c>
      <c r="K58" s="13">
        <v>39</v>
      </c>
      <c r="L58" s="12" t="s">
        <v>242</v>
      </c>
      <c r="M58" s="12">
        <v>3</v>
      </c>
      <c r="N58" s="14">
        <v>45943</v>
      </c>
      <c r="O58" s="13">
        <v>1</v>
      </c>
      <c r="P58" s="12" t="s">
        <v>54</v>
      </c>
      <c r="Q58" s="12" t="s">
        <v>46</v>
      </c>
      <c r="R58" s="12" t="s">
        <v>72</v>
      </c>
      <c r="S58" s="12" t="b">
        <v>0</v>
      </c>
      <c r="T58" s="12" t="s">
        <v>56</v>
      </c>
      <c r="U58" s="15">
        <f t="shared" si="0"/>
        <v>414.60237000000001</v>
      </c>
      <c r="V58" s="15">
        <f t="shared" si="1"/>
        <v>376.74</v>
      </c>
      <c r="W58" s="15">
        <f t="shared" si="2"/>
        <v>79.08</v>
      </c>
      <c r="X58" s="15">
        <f t="shared" si="3"/>
        <v>71.38</v>
      </c>
    </row>
    <row r="59" spans="1:24">
      <c r="A59" s="12" t="s">
        <v>243</v>
      </c>
      <c r="B59" s="12" t="s">
        <v>244</v>
      </c>
      <c r="C59" s="12" t="s">
        <v>59</v>
      </c>
      <c r="D59" s="12" t="s">
        <v>60</v>
      </c>
      <c r="E59" s="12" t="s">
        <v>84</v>
      </c>
      <c r="F59" s="13">
        <v>2694.88</v>
      </c>
      <c r="G59" s="13">
        <v>20.43</v>
      </c>
      <c r="H59" s="13">
        <v>2144.27</v>
      </c>
      <c r="I59" s="13">
        <v>2.7</v>
      </c>
      <c r="J59" s="13">
        <v>13</v>
      </c>
      <c r="K59" s="13">
        <v>196</v>
      </c>
      <c r="L59" s="12" t="s">
        <v>245</v>
      </c>
      <c r="M59" s="12">
        <v>2.7</v>
      </c>
      <c r="N59" s="14">
        <v>45916</v>
      </c>
      <c r="O59" s="13">
        <v>1</v>
      </c>
      <c r="P59" s="12" t="s">
        <v>54</v>
      </c>
      <c r="Q59" s="12" t="s">
        <v>31</v>
      </c>
      <c r="R59" s="12" t="s">
        <v>47</v>
      </c>
      <c r="S59" s="12" t="b">
        <v>0</v>
      </c>
      <c r="T59" s="12" t="s">
        <v>78</v>
      </c>
      <c r="U59" s="15">
        <f t="shared" si="0"/>
        <v>550.563984</v>
      </c>
      <c r="V59" s="15">
        <f t="shared" si="1"/>
        <v>1077.952</v>
      </c>
      <c r="W59" s="15">
        <f t="shared" si="2"/>
        <v>321.64049999999997</v>
      </c>
      <c r="X59" s="15">
        <f t="shared" si="3"/>
        <v>744.67750000000001</v>
      </c>
    </row>
    <row r="60" spans="1:24">
      <c r="A60" s="12" t="s">
        <v>246</v>
      </c>
      <c r="B60" s="12" t="s">
        <v>247</v>
      </c>
      <c r="C60" s="12" t="s">
        <v>50</v>
      </c>
      <c r="D60" s="12" t="s">
        <v>51</v>
      </c>
      <c r="E60" s="12" t="s">
        <v>112</v>
      </c>
      <c r="F60" s="13">
        <v>2271.9699999999998</v>
      </c>
      <c r="G60" s="13">
        <v>17.77</v>
      </c>
      <c r="H60" s="13">
        <v>1868.24</v>
      </c>
      <c r="I60" s="13">
        <v>4.5</v>
      </c>
      <c r="J60" s="13">
        <v>5</v>
      </c>
      <c r="K60" s="13">
        <v>31</v>
      </c>
      <c r="L60" s="12" t="s">
        <v>248</v>
      </c>
      <c r="M60" s="12">
        <v>3.7</v>
      </c>
      <c r="N60" s="14">
        <v>45439</v>
      </c>
      <c r="O60" s="13">
        <v>2</v>
      </c>
      <c r="P60" s="12" t="s">
        <v>45</v>
      </c>
      <c r="Q60" s="12" t="s">
        <v>55</v>
      </c>
      <c r="R60" s="12" t="s">
        <v>86</v>
      </c>
      <c r="S60" s="12" t="b">
        <v>0</v>
      </c>
      <c r="T60" s="12" t="s">
        <v>62</v>
      </c>
      <c r="U60" s="15">
        <f t="shared" si="0"/>
        <v>403.72906899999998</v>
      </c>
      <c r="V60" s="15">
        <f t="shared" si="1"/>
        <v>908.78800000000001</v>
      </c>
      <c r="W60" s="15">
        <f t="shared" si="2"/>
        <v>280.23599999999999</v>
      </c>
      <c r="X60" s="15">
        <f t="shared" si="3"/>
        <v>679.21600000000001</v>
      </c>
    </row>
    <row r="61" spans="1:24">
      <c r="A61" s="12" t="s">
        <v>249</v>
      </c>
      <c r="B61" s="12" t="s">
        <v>250</v>
      </c>
      <c r="C61" s="12" t="s">
        <v>26</v>
      </c>
      <c r="D61" s="12" t="s">
        <v>148</v>
      </c>
      <c r="E61" s="12" t="s">
        <v>235</v>
      </c>
      <c r="F61" s="13">
        <v>29776.14</v>
      </c>
      <c r="G61" s="13">
        <v>22.07</v>
      </c>
      <c r="H61" s="13">
        <v>23203.55</v>
      </c>
      <c r="I61" s="13">
        <v>4.5</v>
      </c>
      <c r="J61" s="13">
        <v>23</v>
      </c>
      <c r="K61" s="13">
        <v>385</v>
      </c>
      <c r="L61" s="12" t="s">
        <v>251</v>
      </c>
      <c r="M61" s="12">
        <v>3.7</v>
      </c>
      <c r="N61" s="14">
        <v>45904</v>
      </c>
      <c r="O61" s="13">
        <v>5</v>
      </c>
      <c r="P61" s="12" t="s">
        <v>40</v>
      </c>
      <c r="Q61" s="12" t="s">
        <v>55</v>
      </c>
      <c r="R61" s="12" t="s">
        <v>47</v>
      </c>
      <c r="S61" s="12" t="b">
        <v>0</v>
      </c>
      <c r="T61" s="12" t="s">
        <v>56</v>
      </c>
      <c r="U61" s="15">
        <f t="shared" si="0"/>
        <v>6571.5940979999996</v>
      </c>
      <c r="V61" s="15">
        <f t="shared" si="1"/>
        <v>11910.456</v>
      </c>
      <c r="W61" s="15">
        <f t="shared" si="2"/>
        <v>3480.5324999999998</v>
      </c>
      <c r="X61" s="15">
        <f t="shared" si="3"/>
        <v>7812.5614999999998</v>
      </c>
    </row>
    <row r="62" spans="1:24">
      <c r="A62" s="12" t="s">
        <v>252</v>
      </c>
      <c r="B62" s="12" t="s">
        <v>253</v>
      </c>
      <c r="C62" s="12" t="s">
        <v>75</v>
      </c>
      <c r="D62" s="12" t="s">
        <v>104</v>
      </c>
      <c r="E62" s="12" t="s">
        <v>96</v>
      </c>
      <c r="F62" s="13">
        <v>4193.88</v>
      </c>
      <c r="G62" s="13">
        <v>60.31</v>
      </c>
      <c r="H62" s="13">
        <v>1664.34</v>
      </c>
      <c r="I62" s="13">
        <v>3.4</v>
      </c>
      <c r="J62" s="13">
        <v>38</v>
      </c>
      <c r="K62" s="13">
        <v>172</v>
      </c>
      <c r="L62" s="12" t="s">
        <v>254</v>
      </c>
      <c r="M62" s="12">
        <v>2.8</v>
      </c>
      <c r="N62" s="14">
        <v>45386</v>
      </c>
      <c r="O62" s="13">
        <v>4</v>
      </c>
      <c r="P62" s="12" t="s">
        <v>117</v>
      </c>
      <c r="Q62" s="12" t="s">
        <v>31</v>
      </c>
      <c r="R62" s="12" t="s">
        <v>47</v>
      </c>
      <c r="S62" s="12" t="b">
        <v>0</v>
      </c>
      <c r="T62" s="12" t="s">
        <v>56</v>
      </c>
      <c r="U62" s="15">
        <f t="shared" si="0"/>
        <v>2529.3290280000001</v>
      </c>
      <c r="V62" s="15">
        <f t="shared" si="1"/>
        <v>1677.5519999999999</v>
      </c>
      <c r="W62" s="15">
        <f t="shared" si="2"/>
        <v>249.65100000000001</v>
      </c>
      <c r="X62" s="15">
        <f t="shared" si="3"/>
        <v>-262.863</v>
      </c>
    </row>
    <row r="63" spans="1:24">
      <c r="A63" s="12" t="s">
        <v>255</v>
      </c>
      <c r="B63" s="12" t="s">
        <v>256</v>
      </c>
      <c r="C63" s="12" t="s">
        <v>75</v>
      </c>
      <c r="D63" s="12" t="s">
        <v>76</v>
      </c>
      <c r="E63" s="12" t="s">
        <v>131</v>
      </c>
      <c r="F63" s="13">
        <v>1798.84</v>
      </c>
      <c r="G63" s="13">
        <v>41.96</v>
      </c>
      <c r="H63" s="13">
        <v>1044.1300000000001</v>
      </c>
      <c r="I63" s="13">
        <v>3.7</v>
      </c>
      <c r="J63" s="13">
        <v>13</v>
      </c>
      <c r="K63" s="13">
        <v>288</v>
      </c>
      <c r="L63" s="12" t="s">
        <v>257</v>
      </c>
      <c r="M63" s="12">
        <v>3.9</v>
      </c>
      <c r="N63" s="14">
        <v>45992</v>
      </c>
      <c r="O63" s="13">
        <v>1</v>
      </c>
      <c r="P63" s="12" t="s">
        <v>40</v>
      </c>
      <c r="Q63" s="12" t="s">
        <v>46</v>
      </c>
      <c r="R63" s="12" t="s">
        <v>86</v>
      </c>
      <c r="S63" s="12" t="b">
        <v>0</v>
      </c>
      <c r="T63" s="12" t="s">
        <v>78</v>
      </c>
      <c r="U63" s="15">
        <f t="shared" si="0"/>
        <v>754.79326400000002</v>
      </c>
      <c r="V63" s="15">
        <f t="shared" si="1"/>
        <v>719.53599999999994</v>
      </c>
      <c r="W63" s="15">
        <f t="shared" si="2"/>
        <v>156.61949999999999</v>
      </c>
      <c r="X63" s="15">
        <f t="shared" si="3"/>
        <v>167.97450000000001</v>
      </c>
    </row>
    <row r="64" spans="1:24">
      <c r="A64" s="12" t="s">
        <v>258</v>
      </c>
      <c r="B64" s="12" t="s">
        <v>259</v>
      </c>
      <c r="C64" s="12" t="s">
        <v>50</v>
      </c>
      <c r="D64" s="12" t="s">
        <v>130</v>
      </c>
      <c r="E64" s="12" t="s">
        <v>38</v>
      </c>
      <c r="F64" s="13">
        <v>866.36</v>
      </c>
      <c r="G64" s="13">
        <v>10.25</v>
      </c>
      <c r="H64" s="13">
        <v>777.55</v>
      </c>
      <c r="I64" s="13">
        <v>5</v>
      </c>
      <c r="J64" s="13">
        <v>10</v>
      </c>
      <c r="K64" s="13">
        <v>108</v>
      </c>
      <c r="L64" s="12" t="s">
        <v>260</v>
      </c>
      <c r="M64" s="12">
        <v>4.8</v>
      </c>
      <c r="N64" s="14">
        <v>45395</v>
      </c>
      <c r="O64" s="13">
        <v>3</v>
      </c>
      <c r="P64" s="12" t="s">
        <v>30</v>
      </c>
      <c r="Q64" s="12" t="s">
        <v>55</v>
      </c>
      <c r="R64" s="12" t="s">
        <v>72</v>
      </c>
      <c r="S64" s="12" t="b">
        <v>0</v>
      </c>
      <c r="T64" s="12" t="s">
        <v>56</v>
      </c>
      <c r="U64" s="15">
        <f t="shared" si="0"/>
        <v>88.801900000000003</v>
      </c>
      <c r="V64" s="15">
        <f t="shared" si="1"/>
        <v>346.54399999999998</v>
      </c>
      <c r="W64" s="15">
        <f t="shared" si="2"/>
        <v>116.63249999999999</v>
      </c>
      <c r="X64" s="15">
        <f t="shared" si="3"/>
        <v>314.37349999999998</v>
      </c>
    </row>
    <row r="65" spans="1:24">
      <c r="A65" s="12" t="s">
        <v>261</v>
      </c>
      <c r="B65" s="12" t="s">
        <v>262</v>
      </c>
      <c r="C65" s="12" t="s">
        <v>59</v>
      </c>
      <c r="D65" s="12" t="s">
        <v>170</v>
      </c>
      <c r="E65" s="12" t="s">
        <v>52</v>
      </c>
      <c r="F65" s="13">
        <v>3361.65</v>
      </c>
      <c r="G65" s="13">
        <v>13.16</v>
      </c>
      <c r="H65" s="13">
        <v>2919.41</v>
      </c>
      <c r="I65" s="13">
        <v>3.9</v>
      </c>
      <c r="J65" s="13">
        <v>17</v>
      </c>
      <c r="K65" s="13">
        <v>383</v>
      </c>
      <c r="L65" s="12" t="s">
        <v>263</v>
      </c>
      <c r="M65" s="12">
        <v>4.5</v>
      </c>
      <c r="N65" s="14">
        <v>45400</v>
      </c>
      <c r="O65" s="13">
        <v>5</v>
      </c>
      <c r="P65" s="12" t="s">
        <v>40</v>
      </c>
      <c r="Q65" s="12" t="s">
        <v>46</v>
      </c>
      <c r="R65" s="12" t="s">
        <v>72</v>
      </c>
      <c r="S65" s="12" t="b">
        <v>1</v>
      </c>
      <c r="T65" s="12" t="s">
        <v>33</v>
      </c>
      <c r="U65" s="15">
        <f t="shared" si="0"/>
        <v>442.39314000000002</v>
      </c>
      <c r="V65" s="15">
        <f t="shared" si="1"/>
        <v>1344.66</v>
      </c>
      <c r="W65" s="15">
        <f t="shared" si="2"/>
        <v>437.91149999999999</v>
      </c>
      <c r="X65" s="15">
        <f t="shared" si="3"/>
        <v>1136.8385000000001</v>
      </c>
    </row>
    <row r="66" spans="1:24">
      <c r="A66" s="12" t="s">
        <v>264</v>
      </c>
      <c r="B66" s="12" t="s">
        <v>265</v>
      </c>
      <c r="C66" s="12" t="s">
        <v>75</v>
      </c>
      <c r="D66" s="12" t="s">
        <v>76</v>
      </c>
      <c r="E66" s="12" t="s">
        <v>84</v>
      </c>
      <c r="F66" s="13">
        <v>3877.26</v>
      </c>
      <c r="G66" s="13">
        <v>24.14</v>
      </c>
      <c r="H66" s="13">
        <v>2941.23</v>
      </c>
      <c r="I66" s="13">
        <v>4.2</v>
      </c>
      <c r="J66" s="13">
        <v>25</v>
      </c>
      <c r="K66" s="13">
        <v>486</v>
      </c>
      <c r="L66" s="12" t="s">
        <v>266</v>
      </c>
      <c r="M66" s="12">
        <v>3.5</v>
      </c>
      <c r="N66" s="14">
        <v>46003</v>
      </c>
      <c r="O66" s="13">
        <v>1</v>
      </c>
      <c r="P66" s="12" t="s">
        <v>40</v>
      </c>
      <c r="Q66" s="12" t="s">
        <v>46</v>
      </c>
      <c r="R66" s="12" t="s">
        <v>32</v>
      </c>
      <c r="S66" s="12" t="b">
        <v>0</v>
      </c>
      <c r="T66" s="12" t="s">
        <v>62</v>
      </c>
      <c r="U66" s="15">
        <f t="shared" si="0"/>
        <v>935.97056399999997</v>
      </c>
      <c r="V66" s="15">
        <f t="shared" si="1"/>
        <v>1550.904</v>
      </c>
      <c r="W66" s="15">
        <f t="shared" si="2"/>
        <v>441.18450000000001</v>
      </c>
      <c r="X66" s="15">
        <f t="shared" si="3"/>
        <v>949.14149999999995</v>
      </c>
    </row>
    <row r="67" spans="1:24">
      <c r="A67" s="12" t="s">
        <v>267</v>
      </c>
      <c r="B67" s="12" t="s">
        <v>268</v>
      </c>
      <c r="C67" s="12" t="s">
        <v>75</v>
      </c>
      <c r="D67" s="12" t="s">
        <v>135</v>
      </c>
      <c r="E67" s="12" t="s">
        <v>92</v>
      </c>
      <c r="F67" s="13">
        <v>2476.11</v>
      </c>
      <c r="G67" s="13">
        <v>54.86</v>
      </c>
      <c r="H67" s="13">
        <v>1117.8</v>
      </c>
      <c r="I67" s="13">
        <v>3</v>
      </c>
      <c r="J67" s="13">
        <v>20</v>
      </c>
      <c r="K67" s="13">
        <v>288</v>
      </c>
      <c r="L67" s="12" t="s">
        <v>269</v>
      </c>
      <c r="M67" s="12">
        <v>3.8</v>
      </c>
      <c r="N67" s="14">
        <v>46003</v>
      </c>
      <c r="O67" s="13">
        <v>1</v>
      </c>
      <c r="P67" s="12" t="s">
        <v>117</v>
      </c>
      <c r="Q67" s="12" t="s">
        <v>55</v>
      </c>
      <c r="R67" s="12" t="s">
        <v>72</v>
      </c>
      <c r="S67" s="12" t="b">
        <v>0</v>
      </c>
      <c r="T67" s="12" t="s">
        <v>56</v>
      </c>
      <c r="U67" s="15">
        <f t="shared" ref="U67:U130" si="4">F67*(G67/100)</f>
        <v>1358.3939459999999</v>
      </c>
      <c r="V67" s="15">
        <f t="shared" ref="V67:V130" si="5">F67*0.4</f>
        <v>990.44399999999996</v>
      </c>
      <c r="W67" s="15">
        <f t="shared" ref="W67:W130" si="6">H67*0.15</f>
        <v>167.67</v>
      </c>
      <c r="X67" s="15">
        <f t="shared" ref="X67:X130" si="7">H67-V67-W67</f>
        <v>-40.3140000000001</v>
      </c>
    </row>
    <row r="68" spans="1:24">
      <c r="A68" s="12" t="s">
        <v>270</v>
      </c>
      <c r="B68" s="12" t="s">
        <v>271</v>
      </c>
      <c r="C68" s="12" t="s">
        <v>75</v>
      </c>
      <c r="D68" s="12" t="s">
        <v>76</v>
      </c>
      <c r="E68" s="12" t="s">
        <v>65</v>
      </c>
      <c r="F68" s="13">
        <v>1530.61</v>
      </c>
      <c r="G68" s="13">
        <v>53.83</v>
      </c>
      <c r="H68" s="13">
        <v>706.64</v>
      </c>
      <c r="I68" s="13">
        <v>3.4</v>
      </c>
      <c r="J68" s="13">
        <v>33</v>
      </c>
      <c r="K68" s="13">
        <v>493</v>
      </c>
      <c r="L68" s="12" t="s">
        <v>272</v>
      </c>
      <c r="M68" s="12">
        <v>4.4000000000000004</v>
      </c>
      <c r="N68" s="14">
        <v>45576</v>
      </c>
      <c r="O68" s="13">
        <v>4</v>
      </c>
      <c r="P68" s="12" t="s">
        <v>40</v>
      </c>
      <c r="Q68" s="12" t="s">
        <v>46</v>
      </c>
      <c r="R68" s="12" t="s">
        <v>32</v>
      </c>
      <c r="S68" s="12" t="b">
        <v>0</v>
      </c>
      <c r="T68" s="12" t="s">
        <v>56</v>
      </c>
      <c r="U68" s="15">
        <f t="shared" si="4"/>
        <v>823.92736300000001</v>
      </c>
      <c r="V68" s="15">
        <f t="shared" si="5"/>
        <v>612.24400000000003</v>
      </c>
      <c r="W68" s="15">
        <f t="shared" si="6"/>
        <v>105.996</v>
      </c>
      <c r="X68" s="15">
        <f t="shared" si="7"/>
        <v>-11.6</v>
      </c>
    </row>
    <row r="69" spans="1:24">
      <c r="A69" s="12" t="s">
        <v>273</v>
      </c>
      <c r="B69" s="12" t="s">
        <v>274</v>
      </c>
      <c r="C69" s="12" t="s">
        <v>36</v>
      </c>
      <c r="D69" s="12" t="s">
        <v>108</v>
      </c>
      <c r="E69" s="12" t="s">
        <v>96</v>
      </c>
      <c r="F69" s="13">
        <v>11789.29</v>
      </c>
      <c r="G69" s="13">
        <v>11.44</v>
      </c>
      <c r="H69" s="13">
        <v>10440.51</v>
      </c>
      <c r="I69" s="13">
        <v>4.2</v>
      </c>
      <c r="J69" s="13">
        <v>8</v>
      </c>
      <c r="K69" s="13">
        <v>38</v>
      </c>
      <c r="L69" s="12" t="s">
        <v>275</v>
      </c>
      <c r="M69" s="12">
        <v>3.4</v>
      </c>
      <c r="N69" s="14">
        <v>45522</v>
      </c>
      <c r="O69" s="13">
        <v>5</v>
      </c>
      <c r="P69" s="12" t="s">
        <v>117</v>
      </c>
      <c r="Q69" s="12" t="s">
        <v>46</v>
      </c>
      <c r="R69" s="12" t="s">
        <v>72</v>
      </c>
      <c r="S69" s="12" t="b">
        <v>0</v>
      </c>
      <c r="T69" s="12" t="s">
        <v>62</v>
      </c>
      <c r="U69" s="15">
        <f t="shared" si="4"/>
        <v>1348.694776</v>
      </c>
      <c r="V69" s="15">
        <f t="shared" si="5"/>
        <v>4715.7160000000003</v>
      </c>
      <c r="W69" s="15">
        <f t="shared" si="6"/>
        <v>1566.0764999999999</v>
      </c>
      <c r="X69" s="15">
        <f t="shared" si="7"/>
        <v>4158.7174999999997</v>
      </c>
    </row>
    <row r="70" spans="1:24">
      <c r="A70" s="12" t="s">
        <v>276</v>
      </c>
      <c r="B70" s="12" t="s">
        <v>277</v>
      </c>
      <c r="C70" s="12" t="s">
        <v>36</v>
      </c>
      <c r="D70" s="12" t="s">
        <v>43</v>
      </c>
      <c r="E70" s="12" t="s">
        <v>65</v>
      </c>
      <c r="F70" s="13">
        <v>6260.67</v>
      </c>
      <c r="G70" s="13">
        <v>40.880000000000003</v>
      </c>
      <c r="H70" s="13">
        <v>3701.42</v>
      </c>
      <c r="I70" s="13">
        <v>3.6</v>
      </c>
      <c r="J70" s="13">
        <v>11</v>
      </c>
      <c r="K70" s="13">
        <v>219</v>
      </c>
      <c r="L70" s="12" t="s">
        <v>278</v>
      </c>
      <c r="M70" s="12">
        <v>2.5</v>
      </c>
      <c r="N70" s="14">
        <v>45650</v>
      </c>
      <c r="O70" s="13">
        <v>3</v>
      </c>
      <c r="P70" s="12" t="s">
        <v>40</v>
      </c>
      <c r="Q70" s="12" t="s">
        <v>46</v>
      </c>
      <c r="R70" s="12" t="s">
        <v>72</v>
      </c>
      <c r="S70" s="12" t="b">
        <v>0</v>
      </c>
      <c r="T70" s="12" t="s">
        <v>78</v>
      </c>
      <c r="U70" s="15">
        <f t="shared" si="4"/>
        <v>2559.3618959999999</v>
      </c>
      <c r="V70" s="15">
        <f t="shared" si="5"/>
        <v>2504.268</v>
      </c>
      <c r="W70" s="15">
        <f t="shared" si="6"/>
        <v>555.21299999999997</v>
      </c>
      <c r="X70" s="15">
        <f t="shared" si="7"/>
        <v>641.93899999999996</v>
      </c>
    </row>
    <row r="71" spans="1:24">
      <c r="A71" s="12" t="s">
        <v>279</v>
      </c>
      <c r="B71" s="12" t="s">
        <v>280</v>
      </c>
      <c r="C71" s="12" t="s">
        <v>50</v>
      </c>
      <c r="D71" s="12" t="s">
        <v>51</v>
      </c>
      <c r="E71" s="12" t="s">
        <v>84</v>
      </c>
      <c r="F71" s="13">
        <v>3075.34</v>
      </c>
      <c r="G71" s="13">
        <v>48.16</v>
      </c>
      <c r="H71" s="13">
        <v>1594.31</v>
      </c>
      <c r="I71" s="13">
        <v>3.2</v>
      </c>
      <c r="J71" s="13">
        <v>10</v>
      </c>
      <c r="K71" s="13">
        <v>456</v>
      </c>
      <c r="L71" s="12" t="s">
        <v>281</v>
      </c>
      <c r="M71" s="12">
        <v>2.9</v>
      </c>
      <c r="N71" s="14">
        <v>45801</v>
      </c>
      <c r="O71" s="13">
        <v>2</v>
      </c>
      <c r="P71" s="12" t="s">
        <v>117</v>
      </c>
      <c r="Q71" s="12" t="s">
        <v>31</v>
      </c>
      <c r="R71" s="12" t="s">
        <v>47</v>
      </c>
      <c r="S71" s="12" t="b">
        <v>0</v>
      </c>
      <c r="T71" s="12" t="s">
        <v>56</v>
      </c>
      <c r="U71" s="15">
        <f t="shared" si="4"/>
        <v>1481.083744</v>
      </c>
      <c r="V71" s="15">
        <f t="shared" si="5"/>
        <v>1230.136</v>
      </c>
      <c r="W71" s="15">
        <f t="shared" si="6"/>
        <v>239.1465</v>
      </c>
      <c r="X71" s="15">
        <f t="shared" si="7"/>
        <v>125.0275</v>
      </c>
    </row>
    <row r="72" spans="1:24">
      <c r="A72" s="12" t="s">
        <v>282</v>
      </c>
      <c r="B72" s="12" t="s">
        <v>283</v>
      </c>
      <c r="C72" s="12" t="s">
        <v>75</v>
      </c>
      <c r="D72" s="12" t="s">
        <v>76</v>
      </c>
      <c r="E72" s="12" t="s">
        <v>131</v>
      </c>
      <c r="F72" s="13">
        <v>2776.5</v>
      </c>
      <c r="G72" s="13">
        <v>65.930000000000007</v>
      </c>
      <c r="H72" s="13">
        <v>946.03</v>
      </c>
      <c r="I72" s="13">
        <v>4.7</v>
      </c>
      <c r="J72" s="13">
        <v>36</v>
      </c>
      <c r="K72" s="13">
        <v>396</v>
      </c>
      <c r="L72" s="12" t="s">
        <v>284</v>
      </c>
      <c r="M72" s="12">
        <v>2.9</v>
      </c>
      <c r="N72" s="14">
        <v>45417</v>
      </c>
      <c r="O72" s="13">
        <v>5</v>
      </c>
      <c r="P72" s="12" t="s">
        <v>30</v>
      </c>
      <c r="Q72" s="12" t="s">
        <v>55</v>
      </c>
      <c r="R72" s="12" t="s">
        <v>86</v>
      </c>
      <c r="S72" s="12" t="b">
        <v>0</v>
      </c>
      <c r="T72" s="12" t="s">
        <v>62</v>
      </c>
      <c r="U72" s="15">
        <f t="shared" si="4"/>
        <v>1830.54645</v>
      </c>
      <c r="V72" s="15">
        <f t="shared" si="5"/>
        <v>1110.5999999999999</v>
      </c>
      <c r="W72" s="15">
        <f t="shared" si="6"/>
        <v>141.90450000000001</v>
      </c>
      <c r="X72" s="15">
        <f t="shared" si="7"/>
        <v>-306.47449999999998</v>
      </c>
    </row>
    <row r="73" spans="1:24">
      <c r="A73" s="12" t="s">
        <v>285</v>
      </c>
      <c r="B73" s="12" t="s">
        <v>286</v>
      </c>
      <c r="C73" s="12" t="s">
        <v>36</v>
      </c>
      <c r="D73" s="12" t="s">
        <v>37</v>
      </c>
      <c r="E73" s="12" t="s">
        <v>112</v>
      </c>
      <c r="F73" s="13">
        <v>14048.32</v>
      </c>
      <c r="G73" s="13">
        <v>46.65</v>
      </c>
      <c r="H73" s="13">
        <v>7494.7</v>
      </c>
      <c r="I73" s="13">
        <v>3.4</v>
      </c>
      <c r="J73" s="13">
        <v>17</v>
      </c>
      <c r="K73" s="13">
        <v>142</v>
      </c>
      <c r="L73" s="12" t="s">
        <v>287</v>
      </c>
      <c r="M73" s="12">
        <v>3</v>
      </c>
      <c r="N73" s="14">
        <v>46022</v>
      </c>
      <c r="O73" s="13">
        <v>4</v>
      </c>
      <c r="P73" s="12" t="s">
        <v>54</v>
      </c>
      <c r="Q73" s="12" t="s">
        <v>46</v>
      </c>
      <c r="R73" s="12" t="s">
        <v>86</v>
      </c>
      <c r="S73" s="12" t="b">
        <v>0</v>
      </c>
      <c r="T73" s="12" t="s">
        <v>62</v>
      </c>
      <c r="U73" s="15">
        <f t="shared" si="4"/>
        <v>6553.5412800000004</v>
      </c>
      <c r="V73" s="15">
        <f t="shared" si="5"/>
        <v>5619.3280000000004</v>
      </c>
      <c r="W73" s="15">
        <f t="shared" si="6"/>
        <v>1124.2049999999999</v>
      </c>
      <c r="X73" s="15">
        <f t="shared" si="7"/>
        <v>751.16699999999901</v>
      </c>
    </row>
    <row r="74" spans="1:24">
      <c r="A74" s="12" t="s">
        <v>288</v>
      </c>
      <c r="B74" s="12" t="s">
        <v>289</v>
      </c>
      <c r="C74" s="12" t="s">
        <v>36</v>
      </c>
      <c r="D74" s="12" t="s">
        <v>108</v>
      </c>
      <c r="E74" s="12" t="s">
        <v>96</v>
      </c>
      <c r="F74" s="13">
        <v>9314.4699999999993</v>
      </c>
      <c r="G74" s="13">
        <v>22.07</v>
      </c>
      <c r="H74" s="13">
        <v>7258.88</v>
      </c>
      <c r="I74" s="13">
        <v>3.5</v>
      </c>
      <c r="J74" s="13">
        <v>38</v>
      </c>
      <c r="K74" s="13">
        <v>435</v>
      </c>
      <c r="L74" s="12" t="s">
        <v>290</v>
      </c>
      <c r="M74" s="12">
        <v>3.3</v>
      </c>
      <c r="N74" s="14">
        <v>46079</v>
      </c>
      <c r="O74" s="13">
        <v>1</v>
      </c>
      <c r="P74" s="12" t="s">
        <v>30</v>
      </c>
      <c r="Q74" s="12" t="s">
        <v>46</v>
      </c>
      <c r="R74" s="12" t="s">
        <v>86</v>
      </c>
      <c r="S74" s="12" t="b">
        <v>1</v>
      </c>
      <c r="T74" s="12" t="s">
        <v>33</v>
      </c>
      <c r="U74" s="15">
        <f t="shared" si="4"/>
        <v>2055.7035289999999</v>
      </c>
      <c r="V74" s="15">
        <f t="shared" si="5"/>
        <v>3725.788</v>
      </c>
      <c r="W74" s="15">
        <f t="shared" si="6"/>
        <v>1088.8320000000001</v>
      </c>
      <c r="X74" s="15">
        <f t="shared" si="7"/>
        <v>2444.2600000000002</v>
      </c>
    </row>
    <row r="75" spans="1:24">
      <c r="A75" s="12" t="s">
        <v>291</v>
      </c>
      <c r="B75" s="12" t="s">
        <v>292</v>
      </c>
      <c r="C75" s="12" t="s">
        <v>75</v>
      </c>
      <c r="D75" s="12" t="s">
        <v>104</v>
      </c>
      <c r="E75" s="12" t="s">
        <v>52</v>
      </c>
      <c r="F75" s="13">
        <v>2918.28</v>
      </c>
      <c r="G75" s="13">
        <v>54.25</v>
      </c>
      <c r="H75" s="13">
        <v>1335.11</v>
      </c>
      <c r="I75" s="13">
        <v>3.1</v>
      </c>
      <c r="J75" s="13">
        <v>15</v>
      </c>
      <c r="K75" s="13">
        <v>359</v>
      </c>
      <c r="L75" s="12" t="s">
        <v>293</v>
      </c>
      <c r="M75" s="12">
        <v>3.1</v>
      </c>
      <c r="N75" s="14">
        <v>45962</v>
      </c>
      <c r="O75" s="13">
        <v>4</v>
      </c>
      <c r="P75" s="12" t="s">
        <v>30</v>
      </c>
      <c r="Q75" s="12" t="s">
        <v>31</v>
      </c>
      <c r="R75" s="12" t="s">
        <v>32</v>
      </c>
      <c r="S75" s="12" t="b">
        <v>0</v>
      </c>
      <c r="T75" s="12" t="s">
        <v>62</v>
      </c>
      <c r="U75" s="15">
        <f t="shared" si="4"/>
        <v>1583.1668999999999</v>
      </c>
      <c r="V75" s="15">
        <f t="shared" si="5"/>
        <v>1167.3119999999999</v>
      </c>
      <c r="W75" s="15">
        <f t="shared" si="6"/>
        <v>200.26650000000001</v>
      </c>
      <c r="X75" s="15">
        <f t="shared" si="7"/>
        <v>-32.468500000000198</v>
      </c>
    </row>
    <row r="76" spans="1:24">
      <c r="A76" s="12" t="s">
        <v>294</v>
      </c>
      <c r="B76" s="12" t="s">
        <v>295</v>
      </c>
      <c r="C76" s="12" t="s">
        <v>75</v>
      </c>
      <c r="D76" s="12" t="s">
        <v>135</v>
      </c>
      <c r="E76" s="12" t="s">
        <v>70</v>
      </c>
      <c r="F76" s="13">
        <v>1244.81</v>
      </c>
      <c r="G76" s="13">
        <v>26.66</v>
      </c>
      <c r="H76" s="13">
        <v>913</v>
      </c>
      <c r="I76" s="13">
        <v>3.5</v>
      </c>
      <c r="J76" s="13">
        <v>10</v>
      </c>
      <c r="K76" s="13">
        <v>388</v>
      </c>
      <c r="L76" s="12" t="s">
        <v>296</v>
      </c>
      <c r="M76" s="12">
        <v>4.9000000000000004</v>
      </c>
      <c r="N76" s="14">
        <v>46033</v>
      </c>
      <c r="O76" s="13">
        <v>1</v>
      </c>
      <c r="P76" s="12" t="s">
        <v>117</v>
      </c>
      <c r="Q76" s="12" t="s">
        <v>31</v>
      </c>
      <c r="R76" s="12" t="s">
        <v>86</v>
      </c>
      <c r="S76" s="12" t="b">
        <v>0</v>
      </c>
      <c r="T76" s="12" t="s">
        <v>62</v>
      </c>
      <c r="U76" s="15">
        <f t="shared" si="4"/>
        <v>331.86634600000002</v>
      </c>
      <c r="V76" s="15">
        <f t="shared" si="5"/>
        <v>497.92399999999998</v>
      </c>
      <c r="W76" s="15">
        <f t="shared" si="6"/>
        <v>136.94999999999999</v>
      </c>
      <c r="X76" s="15">
        <f t="shared" si="7"/>
        <v>278.12599999999998</v>
      </c>
    </row>
    <row r="77" spans="1:24">
      <c r="A77" s="12" t="s">
        <v>297</v>
      </c>
      <c r="B77" s="12" t="s">
        <v>298</v>
      </c>
      <c r="C77" s="12" t="s">
        <v>50</v>
      </c>
      <c r="D77" s="12" t="s">
        <v>51</v>
      </c>
      <c r="E77" s="12" t="s">
        <v>38</v>
      </c>
      <c r="F77" s="13">
        <v>4985</v>
      </c>
      <c r="G77" s="13">
        <v>31.79</v>
      </c>
      <c r="H77" s="13">
        <v>3400.15</v>
      </c>
      <c r="I77" s="13">
        <v>3.9</v>
      </c>
      <c r="J77" s="13">
        <v>19</v>
      </c>
      <c r="K77" s="13">
        <v>207</v>
      </c>
      <c r="L77" s="12" t="s">
        <v>299</v>
      </c>
      <c r="M77" s="12">
        <v>3.4</v>
      </c>
      <c r="N77" s="14">
        <v>45574</v>
      </c>
      <c r="O77" s="13">
        <v>2</v>
      </c>
      <c r="P77" s="12" t="s">
        <v>40</v>
      </c>
      <c r="Q77" s="12" t="s">
        <v>55</v>
      </c>
      <c r="R77" s="12" t="s">
        <v>72</v>
      </c>
      <c r="S77" s="12" t="b">
        <v>0</v>
      </c>
      <c r="T77" s="12" t="s">
        <v>56</v>
      </c>
      <c r="U77" s="15">
        <f t="shared" si="4"/>
        <v>1584.7315000000001</v>
      </c>
      <c r="V77" s="15">
        <f t="shared" si="5"/>
        <v>1994</v>
      </c>
      <c r="W77" s="15">
        <f t="shared" si="6"/>
        <v>510.02249999999998</v>
      </c>
      <c r="X77" s="15">
        <f t="shared" si="7"/>
        <v>896.12750000000005</v>
      </c>
    </row>
    <row r="78" spans="1:24">
      <c r="A78" s="12" t="s">
        <v>300</v>
      </c>
      <c r="B78" s="12" t="s">
        <v>301</v>
      </c>
      <c r="C78" s="12" t="s">
        <v>36</v>
      </c>
      <c r="D78" s="12" t="s">
        <v>108</v>
      </c>
      <c r="E78" s="12" t="s">
        <v>112</v>
      </c>
      <c r="F78" s="13">
        <v>9018.08</v>
      </c>
      <c r="G78" s="13">
        <v>18.23</v>
      </c>
      <c r="H78" s="13">
        <v>7373.9</v>
      </c>
      <c r="I78" s="13">
        <v>4</v>
      </c>
      <c r="J78" s="13">
        <v>123</v>
      </c>
      <c r="K78" s="13">
        <v>169</v>
      </c>
      <c r="L78" s="12" t="s">
        <v>302</v>
      </c>
      <c r="M78" s="12">
        <v>3.5</v>
      </c>
      <c r="N78" s="14">
        <v>45838</v>
      </c>
      <c r="O78" s="13">
        <v>6</v>
      </c>
      <c r="P78" s="12" t="s">
        <v>117</v>
      </c>
      <c r="Q78" s="12" t="s">
        <v>31</v>
      </c>
      <c r="R78" s="12" t="s">
        <v>86</v>
      </c>
      <c r="S78" s="12" t="b">
        <v>0</v>
      </c>
      <c r="T78" s="12" t="s">
        <v>56</v>
      </c>
      <c r="U78" s="15">
        <f t="shared" si="4"/>
        <v>1643.9959839999999</v>
      </c>
      <c r="V78" s="15">
        <f t="shared" si="5"/>
        <v>3607.232</v>
      </c>
      <c r="W78" s="15">
        <f t="shared" si="6"/>
        <v>1106.085</v>
      </c>
      <c r="X78" s="15">
        <f t="shared" si="7"/>
        <v>2660.5830000000001</v>
      </c>
    </row>
    <row r="79" spans="1:24">
      <c r="A79" s="12" t="s">
        <v>303</v>
      </c>
      <c r="B79" s="12" t="s">
        <v>304</v>
      </c>
      <c r="C79" s="12" t="s">
        <v>59</v>
      </c>
      <c r="D79" s="12" t="s">
        <v>170</v>
      </c>
      <c r="E79" s="12" t="s">
        <v>70</v>
      </c>
      <c r="F79" s="13">
        <v>4456.63</v>
      </c>
      <c r="G79" s="13">
        <v>21.8</v>
      </c>
      <c r="H79" s="13">
        <v>3485.13</v>
      </c>
      <c r="I79" s="13">
        <v>4.3</v>
      </c>
      <c r="J79" s="13">
        <v>5</v>
      </c>
      <c r="K79" s="13">
        <v>161</v>
      </c>
      <c r="L79" s="12" t="s">
        <v>305</v>
      </c>
      <c r="M79" s="12">
        <v>4.9000000000000004</v>
      </c>
      <c r="N79" s="14">
        <v>45403</v>
      </c>
      <c r="O79" s="13">
        <v>3</v>
      </c>
      <c r="P79" s="12" t="s">
        <v>40</v>
      </c>
      <c r="Q79" s="12" t="s">
        <v>31</v>
      </c>
      <c r="R79" s="12" t="s">
        <v>47</v>
      </c>
      <c r="S79" s="12" t="b">
        <v>0</v>
      </c>
      <c r="T79" s="12" t="s">
        <v>78</v>
      </c>
      <c r="U79" s="15">
        <f t="shared" si="4"/>
        <v>971.54534000000001</v>
      </c>
      <c r="V79" s="15">
        <f t="shared" si="5"/>
        <v>1782.652</v>
      </c>
      <c r="W79" s="15">
        <f t="shared" si="6"/>
        <v>522.76949999999999</v>
      </c>
      <c r="X79" s="15">
        <f t="shared" si="7"/>
        <v>1179.7085</v>
      </c>
    </row>
    <row r="80" spans="1:24">
      <c r="A80" s="12" t="s">
        <v>306</v>
      </c>
      <c r="B80" s="12" t="s">
        <v>307</v>
      </c>
      <c r="C80" s="12" t="s">
        <v>75</v>
      </c>
      <c r="D80" s="12" t="s">
        <v>76</v>
      </c>
      <c r="E80" s="12" t="s">
        <v>235</v>
      </c>
      <c r="F80" s="13">
        <v>4401.47</v>
      </c>
      <c r="G80" s="13">
        <v>21.77</v>
      </c>
      <c r="H80" s="13">
        <v>3443.41</v>
      </c>
      <c r="I80" s="13">
        <v>5</v>
      </c>
      <c r="J80" s="13">
        <v>23</v>
      </c>
      <c r="K80" s="13">
        <v>500</v>
      </c>
      <c r="L80" s="12" t="s">
        <v>308</v>
      </c>
      <c r="M80" s="12">
        <v>2.9</v>
      </c>
      <c r="N80" s="14">
        <v>45438</v>
      </c>
      <c r="O80" s="13">
        <v>1</v>
      </c>
      <c r="P80" s="12" t="s">
        <v>30</v>
      </c>
      <c r="Q80" s="12" t="s">
        <v>31</v>
      </c>
      <c r="R80" s="12" t="s">
        <v>72</v>
      </c>
      <c r="S80" s="12" t="b">
        <v>0</v>
      </c>
      <c r="T80" s="12" t="s">
        <v>78</v>
      </c>
      <c r="U80" s="15">
        <f t="shared" si="4"/>
        <v>958.200019</v>
      </c>
      <c r="V80" s="15">
        <f t="shared" si="5"/>
        <v>1760.588</v>
      </c>
      <c r="W80" s="15">
        <f t="shared" si="6"/>
        <v>516.51149999999996</v>
      </c>
      <c r="X80" s="15">
        <f t="shared" si="7"/>
        <v>1166.3105</v>
      </c>
    </row>
    <row r="81" spans="1:24">
      <c r="A81" s="12" t="s">
        <v>309</v>
      </c>
      <c r="B81" s="12" t="s">
        <v>310</v>
      </c>
      <c r="C81" s="12" t="s">
        <v>75</v>
      </c>
      <c r="D81" s="12" t="s">
        <v>104</v>
      </c>
      <c r="E81" s="12" t="s">
        <v>70</v>
      </c>
      <c r="F81" s="13">
        <v>1571.82</v>
      </c>
      <c r="G81" s="13">
        <v>61.34</v>
      </c>
      <c r="H81" s="13">
        <v>607.64</v>
      </c>
      <c r="I81" s="13">
        <v>3.6</v>
      </c>
      <c r="J81" s="13">
        <v>64</v>
      </c>
      <c r="K81" s="13">
        <v>7</v>
      </c>
      <c r="L81" s="12" t="s">
        <v>77</v>
      </c>
      <c r="M81" s="12">
        <v>3.5</v>
      </c>
      <c r="N81" s="14">
        <v>45674</v>
      </c>
      <c r="O81" s="13">
        <v>5</v>
      </c>
      <c r="P81" s="12" t="s">
        <v>30</v>
      </c>
      <c r="Q81" s="12" t="s">
        <v>46</v>
      </c>
      <c r="R81" s="12" t="s">
        <v>72</v>
      </c>
      <c r="S81" s="12" t="b">
        <v>0</v>
      </c>
      <c r="T81" s="12" t="s">
        <v>78</v>
      </c>
      <c r="U81" s="15">
        <f t="shared" si="4"/>
        <v>964.15438800000004</v>
      </c>
      <c r="V81" s="15">
        <f t="shared" si="5"/>
        <v>628.72799999999995</v>
      </c>
      <c r="W81" s="15">
        <f t="shared" si="6"/>
        <v>91.146000000000001</v>
      </c>
      <c r="X81" s="15">
        <f t="shared" si="7"/>
        <v>-112.23399999999999</v>
      </c>
    </row>
    <row r="82" spans="1:24">
      <c r="A82" s="12" t="s">
        <v>311</v>
      </c>
      <c r="B82" s="12" t="s">
        <v>312</v>
      </c>
      <c r="C82" s="12" t="s">
        <v>26</v>
      </c>
      <c r="D82" s="12" t="s">
        <v>313</v>
      </c>
      <c r="E82" s="12" t="s">
        <v>28</v>
      </c>
      <c r="F82" s="13">
        <v>29299.25</v>
      </c>
      <c r="G82" s="13">
        <v>9.3000000000000007</v>
      </c>
      <c r="H82" s="13">
        <v>26575.24</v>
      </c>
      <c r="I82" s="13">
        <v>4.3</v>
      </c>
      <c r="J82" s="13">
        <v>47</v>
      </c>
      <c r="K82" s="13">
        <v>52</v>
      </c>
      <c r="L82" s="12" t="s">
        <v>314</v>
      </c>
      <c r="M82" s="12">
        <v>4.5</v>
      </c>
      <c r="N82" s="14">
        <v>45760</v>
      </c>
      <c r="O82" s="13">
        <v>1</v>
      </c>
      <c r="P82" s="12" t="s">
        <v>54</v>
      </c>
      <c r="Q82" s="12" t="s">
        <v>31</v>
      </c>
      <c r="R82" s="12" t="s">
        <v>72</v>
      </c>
      <c r="S82" s="12" t="b">
        <v>0</v>
      </c>
      <c r="T82" s="12" t="s">
        <v>56</v>
      </c>
      <c r="U82" s="15">
        <f t="shared" si="4"/>
        <v>2724.83025</v>
      </c>
      <c r="V82" s="15">
        <f t="shared" si="5"/>
        <v>11719.7</v>
      </c>
      <c r="W82" s="15">
        <f t="shared" si="6"/>
        <v>3986.2860000000001</v>
      </c>
      <c r="X82" s="15">
        <f t="shared" si="7"/>
        <v>10869.254000000001</v>
      </c>
    </row>
    <row r="83" spans="1:24">
      <c r="A83" s="12" t="s">
        <v>315</v>
      </c>
      <c r="B83" s="12" t="s">
        <v>316</v>
      </c>
      <c r="C83" s="12" t="s">
        <v>50</v>
      </c>
      <c r="D83" s="12" t="s">
        <v>51</v>
      </c>
      <c r="E83" s="12" t="s">
        <v>112</v>
      </c>
      <c r="F83" s="13">
        <v>3033.42</v>
      </c>
      <c r="G83" s="13">
        <v>33.090000000000003</v>
      </c>
      <c r="H83" s="13">
        <v>2029.76</v>
      </c>
      <c r="I83" s="13">
        <v>4.5</v>
      </c>
      <c r="J83" s="13">
        <v>2</v>
      </c>
      <c r="K83" s="13">
        <v>481</v>
      </c>
      <c r="L83" s="12" t="s">
        <v>317</v>
      </c>
      <c r="M83" s="12">
        <v>3</v>
      </c>
      <c r="N83" s="14">
        <v>45933</v>
      </c>
      <c r="O83" s="13">
        <v>1</v>
      </c>
      <c r="P83" s="12" t="s">
        <v>54</v>
      </c>
      <c r="Q83" s="12" t="s">
        <v>46</v>
      </c>
      <c r="R83" s="12" t="s">
        <v>32</v>
      </c>
      <c r="S83" s="12" t="b">
        <v>0</v>
      </c>
      <c r="T83" s="12" t="s">
        <v>56</v>
      </c>
      <c r="U83" s="15">
        <f t="shared" si="4"/>
        <v>1003.758678</v>
      </c>
      <c r="V83" s="15">
        <f t="shared" si="5"/>
        <v>1213.3679999999999</v>
      </c>
      <c r="W83" s="15">
        <f t="shared" si="6"/>
        <v>304.464</v>
      </c>
      <c r="X83" s="15">
        <f t="shared" si="7"/>
        <v>511.928</v>
      </c>
    </row>
    <row r="84" spans="1:24">
      <c r="A84" s="12" t="s">
        <v>318</v>
      </c>
      <c r="B84" s="12" t="s">
        <v>319</v>
      </c>
      <c r="C84" s="12" t="s">
        <v>50</v>
      </c>
      <c r="D84" s="12" t="s">
        <v>130</v>
      </c>
      <c r="E84" s="12" t="s">
        <v>65</v>
      </c>
      <c r="F84" s="13">
        <v>2915.73</v>
      </c>
      <c r="G84" s="13">
        <v>26.2</v>
      </c>
      <c r="H84" s="13">
        <v>2151.87</v>
      </c>
      <c r="I84" s="13">
        <v>3.8</v>
      </c>
      <c r="J84" s="13">
        <v>5</v>
      </c>
      <c r="K84" s="13">
        <v>415</v>
      </c>
      <c r="L84" s="12" t="s">
        <v>320</v>
      </c>
      <c r="M84" s="12">
        <v>3.9</v>
      </c>
      <c r="N84" s="14">
        <v>46084</v>
      </c>
      <c r="O84" s="13">
        <v>1</v>
      </c>
      <c r="P84" s="12" t="s">
        <v>40</v>
      </c>
      <c r="Q84" s="12" t="s">
        <v>46</v>
      </c>
      <c r="R84" s="12" t="s">
        <v>47</v>
      </c>
      <c r="S84" s="12" t="b">
        <v>0</v>
      </c>
      <c r="T84" s="12" t="s">
        <v>78</v>
      </c>
      <c r="U84" s="15">
        <f t="shared" si="4"/>
        <v>763.92125999999996</v>
      </c>
      <c r="V84" s="15">
        <f t="shared" si="5"/>
        <v>1166.2919999999999</v>
      </c>
      <c r="W84" s="15">
        <f t="shared" si="6"/>
        <v>322.78050000000002</v>
      </c>
      <c r="X84" s="15">
        <f t="shared" si="7"/>
        <v>662.79750000000001</v>
      </c>
    </row>
    <row r="85" spans="1:24">
      <c r="A85" s="12" t="s">
        <v>321</v>
      </c>
      <c r="B85" s="12" t="s">
        <v>322</v>
      </c>
      <c r="C85" s="12" t="s">
        <v>36</v>
      </c>
      <c r="D85" s="12" t="s">
        <v>37</v>
      </c>
      <c r="E85" s="12" t="s">
        <v>65</v>
      </c>
      <c r="F85" s="13">
        <v>14773.83</v>
      </c>
      <c r="G85" s="13">
        <v>28.66</v>
      </c>
      <c r="H85" s="13">
        <v>10540.23</v>
      </c>
      <c r="I85" s="13">
        <v>3.7</v>
      </c>
      <c r="J85" s="13">
        <v>9</v>
      </c>
      <c r="K85" s="13">
        <v>115</v>
      </c>
      <c r="L85" s="12" t="s">
        <v>323</v>
      </c>
      <c r="M85" s="12">
        <v>3.8</v>
      </c>
      <c r="N85" s="14">
        <v>45553</v>
      </c>
      <c r="O85" s="13">
        <v>3</v>
      </c>
      <c r="P85" s="12" t="s">
        <v>45</v>
      </c>
      <c r="Q85" s="12" t="s">
        <v>55</v>
      </c>
      <c r="R85" s="12" t="s">
        <v>86</v>
      </c>
      <c r="S85" s="12" t="b">
        <v>0</v>
      </c>
      <c r="T85" s="12" t="s">
        <v>56</v>
      </c>
      <c r="U85" s="15">
        <f t="shared" si="4"/>
        <v>4234.1796780000004</v>
      </c>
      <c r="V85" s="15">
        <f t="shared" si="5"/>
        <v>5909.5320000000002</v>
      </c>
      <c r="W85" s="15">
        <f t="shared" si="6"/>
        <v>1581.0345</v>
      </c>
      <c r="X85" s="15">
        <f t="shared" si="7"/>
        <v>3049.6635000000001</v>
      </c>
    </row>
    <row r="86" spans="1:24">
      <c r="A86" s="12" t="s">
        <v>324</v>
      </c>
      <c r="B86" s="12" t="s">
        <v>325</v>
      </c>
      <c r="C86" s="12" t="s">
        <v>59</v>
      </c>
      <c r="D86" s="12" t="s">
        <v>60</v>
      </c>
      <c r="E86" s="12" t="s">
        <v>96</v>
      </c>
      <c r="F86" s="13">
        <v>2276.33</v>
      </c>
      <c r="G86" s="13">
        <v>37.409999999999997</v>
      </c>
      <c r="H86" s="13">
        <v>1424.78</v>
      </c>
      <c r="I86" s="13">
        <v>3.4</v>
      </c>
      <c r="J86" s="13">
        <v>8</v>
      </c>
      <c r="K86" s="13">
        <v>30</v>
      </c>
      <c r="L86" s="12" t="s">
        <v>326</v>
      </c>
      <c r="M86" s="12">
        <v>4</v>
      </c>
      <c r="N86" s="14">
        <v>45416</v>
      </c>
      <c r="O86" s="13">
        <v>3</v>
      </c>
      <c r="P86" s="12" t="s">
        <v>30</v>
      </c>
      <c r="Q86" s="12" t="s">
        <v>46</v>
      </c>
      <c r="R86" s="12" t="s">
        <v>47</v>
      </c>
      <c r="S86" s="12" t="b">
        <v>0</v>
      </c>
      <c r="T86" s="12" t="s">
        <v>56</v>
      </c>
      <c r="U86" s="15">
        <f t="shared" si="4"/>
        <v>851.57505300000003</v>
      </c>
      <c r="V86" s="15">
        <f t="shared" si="5"/>
        <v>910.53200000000004</v>
      </c>
      <c r="W86" s="15">
        <f t="shared" si="6"/>
        <v>213.71700000000001</v>
      </c>
      <c r="X86" s="15">
        <f t="shared" si="7"/>
        <v>300.53100000000001</v>
      </c>
    </row>
    <row r="87" spans="1:24">
      <c r="A87" s="12" t="s">
        <v>327</v>
      </c>
      <c r="B87" s="12" t="s">
        <v>328</v>
      </c>
      <c r="C87" s="12" t="s">
        <v>26</v>
      </c>
      <c r="D87" s="12" t="s">
        <v>123</v>
      </c>
      <c r="E87" s="12" t="s">
        <v>70</v>
      </c>
      <c r="F87" s="13">
        <v>54877.75</v>
      </c>
      <c r="G87" s="13">
        <v>23.16</v>
      </c>
      <c r="H87" s="13">
        <v>42166.9</v>
      </c>
      <c r="I87" s="13">
        <v>4.2</v>
      </c>
      <c r="J87" s="13">
        <v>24</v>
      </c>
      <c r="K87" s="13">
        <v>80</v>
      </c>
      <c r="L87" s="12" t="s">
        <v>329</v>
      </c>
      <c r="M87" s="12">
        <v>2.7</v>
      </c>
      <c r="N87" s="14">
        <v>46044</v>
      </c>
      <c r="O87" s="13">
        <v>3</v>
      </c>
      <c r="P87" s="12" t="s">
        <v>54</v>
      </c>
      <c r="Q87" s="12" t="s">
        <v>55</v>
      </c>
      <c r="R87" s="12" t="s">
        <v>86</v>
      </c>
      <c r="S87" s="12" t="b">
        <v>0</v>
      </c>
      <c r="T87" s="12" t="s">
        <v>62</v>
      </c>
      <c r="U87" s="15">
        <f t="shared" si="4"/>
        <v>12709.686900000001</v>
      </c>
      <c r="V87" s="15">
        <f t="shared" si="5"/>
        <v>21951.1</v>
      </c>
      <c r="W87" s="15">
        <f t="shared" si="6"/>
        <v>6325.0349999999999</v>
      </c>
      <c r="X87" s="15">
        <f t="shared" si="7"/>
        <v>13890.764999999999</v>
      </c>
    </row>
    <row r="88" spans="1:24">
      <c r="A88" s="12" t="s">
        <v>330</v>
      </c>
      <c r="B88" s="12" t="s">
        <v>331</v>
      </c>
      <c r="C88" s="12" t="s">
        <v>36</v>
      </c>
      <c r="D88" s="12" t="s">
        <v>37</v>
      </c>
      <c r="E88" s="12" t="s">
        <v>52</v>
      </c>
      <c r="F88" s="13">
        <v>9350.8700000000008</v>
      </c>
      <c r="G88" s="13">
        <v>47.72</v>
      </c>
      <c r="H88" s="13">
        <v>4888.75</v>
      </c>
      <c r="I88" s="13">
        <v>4.2</v>
      </c>
      <c r="J88" s="13">
        <v>17</v>
      </c>
      <c r="K88" s="13">
        <v>361</v>
      </c>
      <c r="L88" s="12" t="s">
        <v>332</v>
      </c>
      <c r="M88" s="12">
        <v>3</v>
      </c>
      <c r="N88" s="14">
        <v>45448</v>
      </c>
      <c r="O88" s="13">
        <v>5</v>
      </c>
      <c r="P88" s="12" t="s">
        <v>40</v>
      </c>
      <c r="Q88" s="12" t="s">
        <v>31</v>
      </c>
      <c r="R88" s="12" t="s">
        <v>86</v>
      </c>
      <c r="S88" s="12" t="b">
        <v>0</v>
      </c>
      <c r="T88" s="12" t="s">
        <v>78</v>
      </c>
      <c r="U88" s="15">
        <f t="shared" si="4"/>
        <v>4462.2351639999997</v>
      </c>
      <c r="V88" s="15">
        <f t="shared" si="5"/>
        <v>3740.348</v>
      </c>
      <c r="W88" s="15">
        <f t="shared" si="6"/>
        <v>733.3125</v>
      </c>
      <c r="X88" s="15">
        <f t="shared" si="7"/>
        <v>415.08949999999999</v>
      </c>
    </row>
    <row r="89" spans="1:24">
      <c r="A89" s="12" t="s">
        <v>333</v>
      </c>
      <c r="B89" s="12" t="s">
        <v>334</v>
      </c>
      <c r="C89" s="12" t="s">
        <v>75</v>
      </c>
      <c r="D89" s="12" t="s">
        <v>104</v>
      </c>
      <c r="E89" s="12" t="s">
        <v>100</v>
      </c>
      <c r="F89" s="13">
        <v>1680.19</v>
      </c>
      <c r="G89" s="13">
        <v>45.81</v>
      </c>
      <c r="H89" s="13">
        <v>910.49</v>
      </c>
      <c r="I89" s="13">
        <v>4.4000000000000004</v>
      </c>
      <c r="J89" s="13">
        <v>9</v>
      </c>
      <c r="K89" s="13">
        <v>217</v>
      </c>
      <c r="L89" s="12" t="s">
        <v>335</v>
      </c>
      <c r="M89" s="12">
        <v>3.4</v>
      </c>
      <c r="N89" s="14">
        <v>45681</v>
      </c>
      <c r="O89" s="13">
        <v>5</v>
      </c>
      <c r="P89" s="12" t="s">
        <v>45</v>
      </c>
      <c r="Q89" s="12" t="s">
        <v>31</v>
      </c>
      <c r="R89" s="12" t="s">
        <v>47</v>
      </c>
      <c r="S89" s="12" t="b">
        <v>0</v>
      </c>
      <c r="T89" s="12" t="s">
        <v>62</v>
      </c>
      <c r="U89" s="15">
        <f t="shared" si="4"/>
        <v>769.69503899999995</v>
      </c>
      <c r="V89" s="15">
        <f t="shared" si="5"/>
        <v>672.07600000000002</v>
      </c>
      <c r="W89" s="15">
        <f t="shared" si="6"/>
        <v>136.5735</v>
      </c>
      <c r="X89" s="15">
        <f t="shared" si="7"/>
        <v>101.84050000000001</v>
      </c>
    </row>
    <row r="90" spans="1:24">
      <c r="A90" s="12" t="s">
        <v>336</v>
      </c>
      <c r="B90" s="12" t="s">
        <v>337</v>
      </c>
      <c r="C90" s="12" t="s">
        <v>75</v>
      </c>
      <c r="D90" s="12" t="s">
        <v>104</v>
      </c>
      <c r="E90" s="12" t="s">
        <v>92</v>
      </c>
      <c r="F90" s="13">
        <v>3672.16</v>
      </c>
      <c r="G90" s="13">
        <v>14.67</v>
      </c>
      <c r="H90" s="13">
        <v>3133.6</v>
      </c>
      <c r="I90" s="13">
        <v>4.3</v>
      </c>
      <c r="J90" s="13">
        <v>11</v>
      </c>
      <c r="K90" s="13">
        <v>405</v>
      </c>
      <c r="L90" s="12" t="s">
        <v>338</v>
      </c>
      <c r="M90" s="12">
        <v>4.9000000000000004</v>
      </c>
      <c r="N90" s="14">
        <v>45506</v>
      </c>
      <c r="O90" s="13">
        <v>1</v>
      </c>
      <c r="P90" s="12" t="s">
        <v>40</v>
      </c>
      <c r="Q90" s="12" t="s">
        <v>31</v>
      </c>
      <c r="R90" s="12" t="s">
        <v>72</v>
      </c>
      <c r="S90" s="12" t="b">
        <v>0</v>
      </c>
      <c r="T90" s="12" t="s">
        <v>56</v>
      </c>
      <c r="U90" s="15">
        <f t="shared" si="4"/>
        <v>538.705872</v>
      </c>
      <c r="V90" s="15">
        <f t="shared" si="5"/>
        <v>1468.864</v>
      </c>
      <c r="W90" s="15">
        <f t="shared" si="6"/>
        <v>470.04</v>
      </c>
      <c r="X90" s="15">
        <f t="shared" si="7"/>
        <v>1194.6959999999999</v>
      </c>
    </row>
    <row r="91" spans="1:24">
      <c r="A91" s="12" t="s">
        <v>339</v>
      </c>
      <c r="B91" s="12" t="s">
        <v>340</v>
      </c>
      <c r="C91" s="12" t="s">
        <v>26</v>
      </c>
      <c r="D91" s="12" t="s">
        <v>148</v>
      </c>
      <c r="E91" s="12" t="s">
        <v>28</v>
      </c>
      <c r="F91" s="13">
        <v>38450.43</v>
      </c>
      <c r="G91" s="13">
        <v>33.229999999999997</v>
      </c>
      <c r="H91" s="13">
        <v>25673.49</v>
      </c>
      <c r="I91" s="13">
        <v>4.8</v>
      </c>
      <c r="J91" s="13">
        <v>58</v>
      </c>
      <c r="K91" s="13">
        <v>482</v>
      </c>
      <c r="L91" s="12" t="s">
        <v>341</v>
      </c>
      <c r="M91" s="12">
        <v>4.8</v>
      </c>
      <c r="N91" s="14">
        <v>45853</v>
      </c>
      <c r="O91" s="13">
        <v>6</v>
      </c>
      <c r="P91" s="12" t="s">
        <v>30</v>
      </c>
      <c r="Q91" s="12" t="s">
        <v>31</v>
      </c>
      <c r="R91" s="12" t="s">
        <v>86</v>
      </c>
      <c r="S91" s="12" t="b">
        <v>0</v>
      </c>
      <c r="T91" s="12" t="s">
        <v>56</v>
      </c>
      <c r="U91" s="15">
        <f t="shared" si="4"/>
        <v>12777.077889</v>
      </c>
      <c r="V91" s="15">
        <f t="shared" si="5"/>
        <v>15380.172</v>
      </c>
      <c r="W91" s="15">
        <f t="shared" si="6"/>
        <v>3851.0234999999998</v>
      </c>
      <c r="X91" s="15">
        <f t="shared" si="7"/>
        <v>6442.2945</v>
      </c>
    </row>
    <row r="92" spans="1:24">
      <c r="A92" s="12" t="s">
        <v>342</v>
      </c>
      <c r="B92" s="12" t="s">
        <v>343</v>
      </c>
      <c r="C92" s="12" t="s">
        <v>26</v>
      </c>
      <c r="D92" s="12" t="s">
        <v>27</v>
      </c>
      <c r="E92" s="12" t="s">
        <v>96</v>
      </c>
      <c r="F92" s="13">
        <v>53499.87</v>
      </c>
      <c r="G92" s="13">
        <v>25.59</v>
      </c>
      <c r="H92" s="13">
        <v>39809.660000000003</v>
      </c>
      <c r="I92" s="13">
        <v>3.4</v>
      </c>
      <c r="J92" s="13">
        <v>15</v>
      </c>
      <c r="K92" s="13">
        <v>13</v>
      </c>
      <c r="L92" s="12" t="s">
        <v>344</v>
      </c>
      <c r="M92" s="12">
        <v>3</v>
      </c>
      <c r="N92" s="14">
        <v>45809</v>
      </c>
      <c r="O92" s="13">
        <v>5</v>
      </c>
      <c r="P92" s="12" t="s">
        <v>30</v>
      </c>
      <c r="Q92" s="12" t="s">
        <v>46</v>
      </c>
      <c r="R92" s="12" t="s">
        <v>32</v>
      </c>
      <c r="S92" s="12" t="b">
        <v>0</v>
      </c>
      <c r="T92" s="12" t="s">
        <v>62</v>
      </c>
      <c r="U92" s="15">
        <f t="shared" si="4"/>
        <v>13690.616733000001</v>
      </c>
      <c r="V92" s="15">
        <f t="shared" si="5"/>
        <v>21399.948</v>
      </c>
      <c r="W92" s="15">
        <f t="shared" si="6"/>
        <v>5971.4489999999996</v>
      </c>
      <c r="X92" s="15">
        <f t="shared" si="7"/>
        <v>12438.263000000001</v>
      </c>
    </row>
    <row r="93" spans="1:24">
      <c r="A93" s="12" t="s">
        <v>345</v>
      </c>
      <c r="B93" s="12" t="s">
        <v>346</v>
      </c>
      <c r="C93" s="12" t="s">
        <v>59</v>
      </c>
      <c r="D93" s="12" t="s">
        <v>60</v>
      </c>
      <c r="E93" s="12" t="s">
        <v>38</v>
      </c>
      <c r="F93" s="13">
        <v>16111.49</v>
      </c>
      <c r="G93" s="13">
        <v>25.48</v>
      </c>
      <c r="H93" s="13">
        <v>12006.05</v>
      </c>
      <c r="I93" s="13">
        <v>5</v>
      </c>
      <c r="J93" s="13">
        <v>28</v>
      </c>
      <c r="K93" s="13">
        <v>333</v>
      </c>
      <c r="L93" s="12" t="s">
        <v>347</v>
      </c>
      <c r="M93" s="12">
        <v>3.1</v>
      </c>
      <c r="N93" s="14">
        <v>45677</v>
      </c>
      <c r="O93" s="13">
        <v>5</v>
      </c>
      <c r="P93" s="12" t="s">
        <v>54</v>
      </c>
      <c r="Q93" s="12" t="s">
        <v>55</v>
      </c>
      <c r="R93" s="12" t="s">
        <v>47</v>
      </c>
      <c r="S93" s="12" t="b">
        <v>0</v>
      </c>
      <c r="T93" s="12" t="s">
        <v>62</v>
      </c>
      <c r="U93" s="15">
        <f t="shared" si="4"/>
        <v>4105.2076520000001</v>
      </c>
      <c r="V93" s="15">
        <f t="shared" si="5"/>
        <v>6444.5959999999995</v>
      </c>
      <c r="W93" s="15">
        <f t="shared" si="6"/>
        <v>1800.9075</v>
      </c>
      <c r="X93" s="15">
        <f t="shared" si="7"/>
        <v>3760.5464999999999</v>
      </c>
    </row>
    <row r="94" spans="1:24">
      <c r="A94" s="12" t="s">
        <v>348</v>
      </c>
      <c r="B94" s="12" t="s">
        <v>349</v>
      </c>
      <c r="C94" s="12" t="s">
        <v>50</v>
      </c>
      <c r="D94" s="12" t="s">
        <v>213</v>
      </c>
      <c r="E94" s="12" t="s">
        <v>235</v>
      </c>
      <c r="F94" s="13">
        <v>1831.4</v>
      </c>
      <c r="G94" s="13">
        <v>7.94</v>
      </c>
      <c r="H94" s="13">
        <v>1685.97</v>
      </c>
      <c r="I94" s="13">
        <v>4</v>
      </c>
      <c r="J94" s="13">
        <v>2</v>
      </c>
      <c r="K94" s="13">
        <v>209</v>
      </c>
      <c r="L94" s="12" t="s">
        <v>350</v>
      </c>
      <c r="M94" s="12">
        <v>4.3</v>
      </c>
      <c r="N94" s="14">
        <v>46035</v>
      </c>
      <c r="O94" s="13">
        <v>4</v>
      </c>
      <c r="P94" s="12" t="s">
        <v>40</v>
      </c>
      <c r="Q94" s="12" t="s">
        <v>55</v>
      </c>
      <c r="R94" s="12" t="s">
        <v>32</v>
      </c>
      <c r="S94" s="12" t="b">
        <v>0</v>
      </c>
      <c r="T94" s="12" t="s">
        <v>78</v>
      </c>
      <c r="U94" s="15">
        <f t="shared" si="4"/>
        <v>145.41316</v>
      </c>
      <c r="V94" s="15">
        <f t="shared" si="5"/>
        <v>732.56</v>
      </c>
      <c r="W94" s="15">
        <f t="shared" si="6"/>
        <v>252.8955</v>
      </c>
      <c r="X94" s="15">
        <f t="shared" si="7"/>
        <v>700.5145</v>
      </c>
    </row>
    <row r="95" spans="1:24">
      <c r="A95" s="12" t="s">
        <v>351</v>
      </c>
      <c r="B95" s="12" t="s">
        <v>352</v>
      </c>
      <c r="C95" s="12" t="s">
        <v>59</v>
      </c>
      <c r="D95" s="12" t="s">
        <v>170</v>
      </c>
      <c r="E95" s="12" t="s">
        <v>28</v>
      </c>
      <c r="F95" s="13">
        <v>17656.64</v>
      </c>
      <c r="G95" s="13">
        <v>49.57</v>
      </c>
      <c r="H95" s="13">
        <v>8905.06</v>
      </c>
      <c r="I95" s="13">
        <v>4.3</v>
      </c>
      <c r="J95" s="13">
        <v>16</v>
      </c>
      <c r="K95" s="13">
        <v>483</v>
      </c>
      <c r="L95" s="12" t="s">
        <v>353</v>
      </c>
      <c r="M95" s="12">
        <v>3.4</v>
      </c>
      <c r="N95" s="14">
        <v>45738</v>
      </c>
      <c r="O95" s="13">
        <v>3</v>
      </c>
      <c r="P95" s="12" t="s">
        <v>117</v>
      </c>
      <c r="Q95" s="12" t="s">
        <v>31</v>
      </c>
      <c r="R95" s="12" t="s">
        <v>32</v>
      </c>
      <c r="S95" s="12" t="b">
        <v>0</v>
      </c>
      <c r="T95" s="12" t="s">
        <v>56</v>
      </c>
      <c r="U95" s="15">
        <f t="shared" si="4"/>
        <v>8752.3964479999995</v>
      </c>
      <c r="V95" s="15">
        <f t="shared" si="5"/>
        <v>7062.6559999999999</v>
      </c>
      <c r="W95" s="15">
        <f t="shared" si="6"/>
        <v>1335.759</v>
      </c>
      <c r="X95" s="15">
        <f t="shared" si="7"/>
        <v>506.64499999999998</v>
      </c>
    </row>
    <row r="96" spans="1:24">
      <c r="A96" s="12" t="s">
        <v>354</v>
      </c>
      <c r="B96" s="12" t="s">
        <v>355</v>
      </c>
      <c r="C96" s="12" t="s">
        <v>26</v>
      </c>
      <c r="D96" s="12" t="s">
        <v>313</v>
      </c>
      <c r="E96" s="12" t="s">
        <v>52</v>
      </c>
      <c r="F96" s="13">
        <v>62539.12</v>
      </c>
      <c r="G96" s="13">
        <v>39.44</v>
      </c>
      <c r="H96" s="13">
        <v>37871.86</v>
      </c>
      <c r="I96" s="13">
        <v>4.2</v>
      </c>
      <c r="J96" s="13">
        <v>85</v>
      </c>
      <c r="K96" s="13">
        <v>442</v>
      </c>
      <c r="L96" s="12" t="s">
        <v>356</v>
      </c>
      <c r="M96" s="12">
        <v>3.1</v>
      </c>
      <c r="N96" s="14">
        <v>46049</v>
      </c>
      <c r="O96" s="13">
        <v>4</v>
      </c>
      <c r="P96" s="12" t="s">
        <v>30</v>
      </c>
      <c r="Q96" s="12" t="s">
        <v>46</v>
      </c>
      <c r="R96" s="12" t="s">
        <v>86</v>
      </c>
      <c r="S96" s="12" t="b">
        <v>0</v>
      </c>
      <c r="T96" s="12" t="s">
        <v>56</v>
      </c>
      <c r="U96" s="15">
        <f t="shared" si="4"/>
        <v>24665.428928000001</v>
      </c>
      <c r="V96" s="15">
        <f t="shared" si="5"/>
        <v>25015.648000000001</v>
      </c>
      <c r="W96" s="15">
        <f t="shared" si="6"/>
        <v>5680.7790000000005</v>
      </c>
      <c r="X96" s="15">
        <f t="shared" si="7"/>
        <v>7175.433</v>
      </c>
    </row>
    <row r="97" spans="1:24">
      <c r="A97" s="12" t="s">
        <v>357</v>
      </c>
      <c r="B97" s="12" t="s">
        <v>358</v>
      </c>
      <c r="C97" s="12" t="s">
        <v>26</v>
      </c>
      <c r="D97" s="12" t="s">
        <v>123</v>
      </c>
      <c r="E97" s="12" t="s">
        <v>131</v>
      </c>
      <c r="F97" s="13">
        <v>13285.56</v>
      </c>
      <c r="G97" s="13">
        <v>6.47</v>
      </c>
      <c r="H97" s="13">
        <v>12425.55</v>
      </c>
      <c r="I97" s="13">
        <v>3</v>
      </c>
      <c r="J97" s="13">
        <v>6</v>
      </c>
      <c r="K97" s="13">
        <v>320</v>
      </c>
      <c r="L97" s="12" t="s">
        <v>359</v>
      </c>
      <c r="M97" s="12">
        <v>4.9000000000000004</v>
      </c>
      <c r="N97" s="14">
        <v>45676</v>
      </c>
      <c r="O97" s="13">
        <v>4</v>
      </c>
      <c r="P97" s="12" t="s">
        <v>30</v>
      </c>
      <c r="Q97" s="12" t="s">
        <v>46</v>
      </c>
      <c r="R97" s="12" t="s">
        <v>47</v>
      </c>
      <c r="S97" s="12" t="b">
        <v>0</v>
      </c>
      <c r="T97" s="12" t="s">
        <v>56</v>
      </c>
      <c r="U97" s="15">
        <f t="shared" si="4"/>
        <v>859.57573200000002</v>
      </c>
      <c r="V97" s="15">
        <f t="shared" si="5"/>
        <v>5314.2240000000002</v>
      </c>
      <c r="W97" s="15">
        <f t="shared" si="6"/>
        <v>1863.8325</v>
      </c>
      <c r="X97" s="15">
        <f t="shared" si="7"/>
        <v>5247.4934999999996</v>
      </c>
    </row>
    <row r="98" spans="1:24">
      <c r="A98" s="12" t="s">
        <v>360</v>
      </c>
      <c r="B98" s="12" t="s">
        <v>361</v>
      </c>
      <c r="C98" s="12" t="s">
        <v>36</v>
      </c>
      <c r="D98" s="12" t="s">
        <v>43</v>
      </c>
      <c r="E98" s="12" t="s">
        <v>52</v>
      </c>
      <c r="F98" s="13">
        <v>14198.61</v>
      </c>
      <c r="G98" s="13">
        <v>26.03</v>
      </c>
      <c r="H98" s="13">
        <v>10502.28</v>
      </c>
      <c r="I98" s="13">
        <v>3.4</v>
      </c>
      <c r="J98" s="13">
        <v>29</v>
      </c>
      <c r="K98" s="13">
        <v>62</v>
      </c>
      <c r="L98" s="12" t="s">
        <v>362</v>
      </c>
      <c r="M98" s="12">
        <v>3.5</v>
      </c>
      <c r="N98" s="14">
        <v>45501</v>
      </c>
      <c r="O98" s="13">
        <v>4</v>
      </c>
      <c r="P98" s="12" t="s">
        <v>117</v>
      </c>
      <c r="Q98" s="12" t="s">
        <v>31</v>
      </c>
      <c r="R98" s="12" t="s">
        <v>47</v>
      </c>
      <c r="S98" s="12" t="b">
        <v>1</v>
      </c>
      <c r="T98" s="12" t="s">
        <v>33</v>
      </c>
      <c r="U98" s="15">
        <f t="shared" si="4"/>
        <v>3695.8981829999998</v>
      </c>
      <c r="V98" s="15">
        <f t="shared" si="5"/>
        <v>5679.4440000000004</v>
      </c>
      <c r="W98" s="15">
        <f t="shared" si="6"/>
        <v>1575.3420000000001</v>
      </c>
      <c r="X98" s="15">
        <f t="shared" si="7"/>
        <v>3247.4940000000001</v>
      </c>
    </row>
    <row r="99" spans="1:24">
      <c r="A99" s="12" t="s">
        <v>363</v>
      </c>
      <c r="B99" s="12" t="s">
        <v>364</v>
      </c>
      <c r="C99" s="12" t="s">
        <v>75</v>
      </c>
      <c r="D99" s="12" t="s">
        <v>104</v>
      </c>
      <c r="E99" s="12" t="s">
        <v>131</v>
      </c>
      <c r="F99" s="13">
        <v>1537.56</v>
      </c>
      <c r="G99" s="13">
        <v>33.049999999999997</v>
      </c>
      <c r="H99" s="13">
        <v>1029.47</v>
      </c>
      <c r="I99" s="13">
        <v>4</v>
      </c>
      <c r="J99" s="13">
        <v>33</v>
      </c>
      <c r="K99" s="13">
        <v>47</v>
      </c>
      <c r="L99" s="12" t="s">
        <v>365</v>
      </c>
      <c r="M99" s="12">
        <v>4.7</v>
      </c>
      <c r="N99" s="14">
        <v>46090</v>
      </c>
      <c r="O99" s="13">
        <v>5</v>
      </c>
      <c r="P99" s="12" t="s">
        <v>40</v>
      </c>
      <c r="Q99" s="12" t="s">
        <v>46</v>
      </c>
      <c r="R99" s="12" t="s">
        <v>86</v>
      </c>
      <c r="S99" s="12" t="b">
        <v>0</v>
      </c>
      <c r="T99" s="12" t="s">
        <v>78</v>
      </c>
      <c r="U99" s="15">
        <f t="shared" si="4"/>
        <v>508.16358000000002</v>
      </c>
      <c r="V99" s="15">
        <f t="shared" si="5"/>
        <v>615.024</v>
      </c>
      <c r="W99" s="15">
        <f t="shared" si="6"/>
        <v>154.4205</v>
      </c>
      <c r="X99" s="15">
        <f t="shared" si="7"/>
        <v>260.02550000000002</v>
      </c>
    </row>
    <row r="100" spans="1:24">
      <c r="A100" s="12" t="s">
        <v>366</v>
      </c>
      <c r="B100" s="12" t="s">
        <v>367</v>
      </c>
      <c r="C100" s="12" t="s">
        <v>75</v>
      </c>
      <c r="D100" s="12" t="s">
        <v>104</v>
      </c>
      <c r="E100" s="12" t="s">
        <v>28</v>
      </c>
      <c r="F100" s="13">
        <v>4977.09</v>
      </c>
      <c r="G100" s="13">
        <v>51.76</v>
      </c>
      <c r="H100" s="13">
        <v>2400.89</v>
      </c>
      <c r="I100" s="13">
        <v>4</v>
      </c>
      <c r="J100" s="13">
        <v>13</v>
      </c>
      <c r="K100" s="13">
        <v>212</v>
      </c>
      <c r="L100" s="12" t="s">
        <v>368</v>
      </c>
      <c r="M100" s="12">
        <v>4.4000000000000004</v>
      </c>
      <c r="N100" s="14">
        <v>45895</v>
      </c>
      <c r="O100" s="13">
        <v>6</v>
      </c>
      <c r="P100" s="12" t="s">
        <v>30</v>
      </c>
      <c r="Q100" s="12" t="s">
        <v>55</v>
      </c>
      <c r="R100" s="12" t="s">
        <v>47</v>
      </c>
      <c r="S100" s="12" t="b">
        <v>0</v>
      </c>
      <c r="T100" s="12" t="s">
        <v>56</v>
      </c>
      <c r="U100" s="15">
        <f t="shared" si="4"/>
        <v>2576.1417839999999</v>
      </c>
      <c r="V100" s="15">
        <f t="shared" si="5"/>
        <v>1990.836</v>
      </c>
      <c r="W100" s="15">
        <f t="shared" si="6"/>
        <v>360.13350000000003</v>
      </c>
      <c r="X100" s="15">
        <f t="shared" si="7"/>
        <v>49.920499999999699</v>
      </c>
    </row>
    <row r="101" spans="1:24">
      <c r="A101" s="12" t="s">
        <v>369</v>
      </c>
      <c r="B101" s="12" t="s">
        <v>370</v>
      </c>
      <c r="C101" s="12" t="s">
        <v>36</v>
      </c>
      <c r="D101" s="12" t="s">
        <v>43</v>
      </c>
      <c r="E101" s="12" t="s">
        <v>96</v>
      </c>
      <c r="F101" s="13">
        <v>6171.96</v>
      </c>
      <c r="G101" s="13">
        <v>17.28</v>
      </c>
      <c r="H101" s="13">
        <v>5105.25</v>
      </c>
      <c r="I101" s="13">
        <v>3.6</v>
      </c>
      <c r="J101" s="13">
        <v>19</v>
      </c>
      <c r="K101" s="13">
        <v>382</v>
      </c>
      <c r="L101" s="12" t="s">
        <v>371</v>
      </c>
      <c r="M101" s="12">
        <v>4.5</v>
      </c>
      <c r="N101" s="14">
        <v>45524</v>
      </c>
      <c r="O101" s="13">
        <v>1</v>
      </c>
      <c r="P101" s="12" t="s">
        <v>54</v>
      </c>
      <c r="Q101" s="12" t="s">
        <v>46</v>
      </c>
      <c r="R101" s="12" t="s">
        <v>72</v>
      </c>
      <c r="S101" s="12" t="b">
        <v>0</v>
      </c>
      <c r="T101" s="12" t="s">
        <v>56</v>
      </c>
      <c r="U101" s="15">
        <f t="shared" si="4"/>
        <v>1066.514688</v>
      </c>
      <c r="V101" s="15">
        <f t="shared" si="5"/>
        <v>2468.7840000000001</v>
      </c>
      <c r="W101" s="15">
        <f t="shared" si="6"/>
        <v>765.78750000000002</v>
      </c>
      <c r="X101" s="15">
        <f t="shared" si="7"/>
        <v>1870.6785</v>
      </c>
    </row>
    <row r="102" spans="1:24">
      <c r="A102" s="12" t="s">
        <v>372</v>
      </c>
      <c r="B102" s="12" t="s">
        <v>373</v>
      </c>
      <c r="C102" s="12" t="s">
        <v>59</v>
      </c>
      <c r="D102" s="12" t="s">
        <v>60</v>
      </c>
      <c r="E102" s="12" t="s">
        <v>52</v>
      </c>
      <c r="F102" s="13">
        <v>2652.75</v>
      </c>
      <c r="G102" s="13">
        <v>16.690000000000001</v>
      </c>
      <c r="H102" s="13">
        <v>2210.0300000000002</v>
      </c>
      <c r="I102" s="13">
        <v>3.8</v>
      </c>
      <c r="J102" s="13">
        <v>120</v>
      </c>
      <c r="K102" s="13">
        <v>428</v>
      </c>
      <c r="L102" s="12" t="s">
        <v>374</v>
      </c>
      <c r="M102" s="12">
        <v>2.8</v>
      </c>
      <c r="N102" s="14">
        <v>45567</v>
      </c>
      <c r="O102" s="13">
        <v>5</v>
      </c>
      <c r="P102" s="12" t="s">
        <v>40</v>
      </c>
      <c r="Q102" s="12" t="s">
        <v>46</v>
      </c>
      <c r="R102" s="12" t="s">
        <v>86</v>
      </c>
      <c r="S102" s="12" t="b">
        <v>0</v>
      </c>
      <c r="T102" s="12" t="s">
        <v>62</v>
      </c>
      <c r="U102" s="15">
        <f t="shared" si="4"/>
        <v>442.74397499999998</v>
      </c>
      <c r="V102" s="15">
        <f t="shared" si="5"/>
        <v>1061.0999999999999</v>
      </c>
      <c r="W102" s="15">
        <f t="shared" si="6"/>
        <v>331.50450000000001</v>
      </c>
      <c r="X102" s="15">
        <f t="shared" si="7"/>
        <v>817.42550000000006</v>
      </c>
    </row>
    <row r="103" spans="1:24">
      <c r="A103" s="12" t="s">
        <v>375</v>
      </c>
      <c r="B103" s="12" t="s">
        <v>376</v>
      </c>
      <c r="C103" s="12" t="s">
        <v>50</v>
      </c>
      <c r="D103" s="12" t="s">
        <v>51</v>
      </c>
      <c r="E103" s="12" t="s">
        <v>112</v>
      </c>
      <c r="F103" s="13">
        <v>4437.95</v>
      </c>
      <c r="G103" s="13">
        <v>45.79</v>
      </c>
      <c r="H103" s="13">
        <v>2405.67</v>
      </c>
      <c r="I103" s="13">
        <v>4.8</v>
      </c>
      <c r="J103" s="13">
        <v>45</v>
      </c>
      <c r="K103" s="13">
        <v>193</v>
      </c>
      <c r="L103" s="12" t="s">
        <v>377</v>
      </c>
      <c r="M103" s="12">
        <v>4.3</v>
      </c>
      <c r="N103" s="14">
        <v>45987</v>
      </c>
      <c r="O103" s="13">
        <v>3</v>
      </c>
      <c r="P103" s="12" t="s">
        <v>45</v>
      </c>
      <c r="Q103" s="12" t="s">
        <v>55</v>
      </c>
      <c r="R103" s="12" t="s">
        <v>47</v>
      </c>
      <c r="S103" s="12" t="b">
        <v>0</v>
      </c>
      <c r="T103" s="12" t="s">
        <v>62</v>
      </c>
      <c r="U103" s="15">
        <f t="shared" si="4"/>
        <v>2032.137305</v>
      </c>
      <c r="V103" s="15">
        <f t="shared" si="5"/>
        <v>1775.18</v>
      </c>
      <c r="W103" s="15">
        <f t="shared" si="6"/>
        <v>360.85050000000001</v>
      </c>
      <c r="X103" s="15">
        <f t="shared" si="7"/>
        <v>269.6395</v>
      </c>
    </row>
    <row r="104" spans="1:24">
      <c r="A104" s="12" t="s">
        <v>378</v>
      </c>
      <c r="B104" s="12" t="s">
        <v>379</v>
      </c>
      <c r="C104" s="12" t="s">
        <v>75</v>
      </c>
      <c r="D104" s="12" t="s">
        <v>76</v>
      </c>
      <c r="E104" s="12" t="s">
        <v>96</v>
      </c>
      <c r="F104" s="13">
        <v>4406.72</v>
      </c>
      <c r="G104" s="13">
        <v>30.04</v>
      </c>
      <c r="H104" s="13">
        <v>3082.92</v>
      </c>
      <c r="I104" s="13">
        <v>4</v>
      </c>
      <c r="J104" s="13">
        <v>10</v>
      </c>
      <c r="K104" s="13">
        <v>22</v>
      </c>
      <c r="L104" s="12" t="s">
        <v>380</v>
      </c>
      <c r="M104" s="12">
        <v>4.7</v>
      </c>
      <c r="N104" s="14">
        <v>45736</v>
      </c>
      <c r="O104" s="13">
        <v>3</v>
      </c>
      <c r="P104" s="12" t="s">
        <v>54</v>
      </c>
      <c r="Q104" s="12" t="s">
        <v>31</v>
      </c>
      <c r="R104" s="12" t="s">
        <v>86</v>
      </c>
      <c r="S104" s="12" t="b">
        <v>0</v>
      </c>
      <c r="T104" s="12" t="s">
        <v>62</v>
      </c>
      <c r="U104" s="15">
        <f t="shared" si="4"/>
        <v>1323.7786880000001</v>
      </c>
      <c r="V104" s="15">
        <f t="shared" si="5"/>
        <v>1762.6880000000001</v>
      </c>
      <c r="W104" s="15">
        <f t="shared" si="6"/>
        <v>462.43799999999999</v>
      </c>
      <c r="X104" s="15">
        <f t="shared" si="7"/>
        <v>857.79399999999998</v>
      </c>
    </row>
    <row r="105" spans="1:24">
      <c r="A105" s="12" t="s">
        <v>381</v>
      </c>
      <c r="B105" s="12" t="s">
        <v>382</v>
      </c>
      <c r="C105" s="12" t="s">
        <v>50</v>
      </c>
      <c r="D105" s="12" t="s">
        <v>51</v>
      </c>
      <c r="E105" s="12" t="s">
        <v>100</v>
      </c>
      <c r="F105" s="13">
        <v>818.58</v>
      </c>
      <c r="G105" s="13">
        <v>38.46</v>
      </c>
      <c r="H105" s="13">
        <v>503.77</v>
      </c>
      <c r="I105" s="13">
        <v>4</v>
      </c>
      <c r="J105" s="13">
        <v>13</v>
      </c>
      <c r="K105" s="13">
        <v>64</v>
      </c>
      <c r="L105" s="12" t="s">
        <v>383</v>
      </c>
      <c r="M105" s="12">
        <v>3.1</v>
      </c>
      <c r="N105" s="14">
        <v>45880</v>
      </c>
      <c r="O105" s="13">
        <v>5</v>
      </c>
      <c r="P105" s="12" t="s">
        <v>54</v>
      </c>
      <c r="Q105" s="12" t="s">
        <v>31</v>
      </c>
      <c r="R105" s="12" t="s">
        <v>72</v>
      </c>
      <c r="S105" s="12" t="b">
        <v>0</v>
      </c>
      <c r="T105" s="12" t="s">
        <v>78</v>
      </c>
      <c r="U105" s="15">
        <f t="shared" si="4"/>
        <v>314.82586800000001</v>
      </c>
      <c r="V105" s="15">
        <f t="shared" si="5"/>
        <v>327.43200000000002</v>
      </c>
      <c r="W105" s="15">
        <f t="shared" si="6"/>
        <v>75.5655</v>
      </c>
      <c r="X105" s="15">
        <f t="shared" si="7"/>
        <v>100.77249999999999</v>
      </c>
    </row>
    <row r="106" spans="1:24">
      <c r="A106" s="12" t="s">
        <v>384</v>
      </c>
      <c r="B106" s="12" t="s">
        <v>385</v>
      </c>
      <c r="C106" s="12" t="s">
        <v>50</v>
      </c>
      <c r="D106" s="12" t="s">
        <v>130</v>
      </c>
      <c r="E106" s="12" t="s">
        <v>131</v>
      </c>
      <c r="F106" s="13">
        <v>2887.25</v>
      </c>
      <c r="G106" s="13">
        <v>21.95</v>
      </c>
      <c r="H106" s="13">
        <v>2253.46</v>
      </c>
      <c r="I106" s="13">
        <v>3.6</v>
      </c>
      <c r="J106" s="13">
        <v>10</v>
      </c>
      <c r="K106" s="13">
        <v>209</v>
      </c>
      <c r="L106" s="12" t="s">
        <v>386</v>
      </c>
      <c r="M106" s="12">
        <v>4.5999999999999996</v>
      </c>
      <c r="N106" s="14">
        <v>45390</v>
      </c>
      <c r="O106" s="13">
        <v>2</v>
      </c>
      <c r="P106" s="12" t="s">
        <v>117</v>
      </c>
      <c r="Q106" s="12" t="s">
        <v>46</v>
      </c>
      <c r="R106" s="12" t="s">
        <v>86</v>
      </c>
      <c r="S106" s="12" t="b">
        <v>0</v>
      </c>
      <c r="T106" s="12" t="s">
        <v>56</v>
      </c>
      <c r="U106" s="15">
        <f t="shared" si="4"/>
        <v>633.75137500000005</v>
      </c>
      <c r="V106" s="15">
        <f t="shared" si="5"/>
        <v>1154.9000000000001</v>
      </c>
      <c r="W106" s="15">
        <f t="shared" si="6"/>
        <v>338.01900000000001</v>
      </c>
      <c r="X106" s="15">
        <f t="shared" si="7"/>
        <v>760.54100000000005</v>
      </c>
    </row>
    <row r="107" spans="1:24">
      <c r="A107" s="12" t="s">
        <v>387</v>
      </c>
      <c r="B107" s="12" t="s">
        <v>388</v>
      </c>
      <c r="C107" s="12" t="s">
        <v>59</v>
      </c>
      <c r="D107" s="12" t="s">
        <v>60</v>
      </c>
      <c r="E107" s="12" t="s">
        <v>28</v>
      </c>
      <c r="F107" s="13">
        <v>15320.28</v>
      </c>
      <c r="G107" s="13">
        <v>39.69</v>
      </c>
      <c r="H107" s="13">
        <v>9239.9</v>
      </c>
      <c r="I107" s="13">
        <v>4.3</v>
      </c>
      <c r="J107" s="13">
        <v>53</v>
      </c>
      <c r="K107" s="13">
        <v>436</v>
      </c>
      <c r="L107" s="12" t="s">
        <v>389</v>
      </c>
      <c r="M107" s="12">
        <v>4.0999999999999996</v>
      </c>
      <c r="N107" s="14">
        <v>46088</v>
      </c>
      <c r="O107" s="13">
        <v>6</v>
      </c>
      <c r="P107" s="12" t="s">
        <v>117</v>
      </c>
      <c r="Q107" s="12" t="s">
        <v>31</v>
      </c>
      <c r="R107" s="12" t="s">
        <v>86</v>
      </c>
      <c r="S107" s="12" t="b">
        <v>0</v>
      </c>
      <c r="T107" s="12" t="s">
        <v>56</v>
      </c>
      <c r="U107" s="15">
        <f t="shared" si="4"/>
        <v>6080.6191319999998</v>
      </c>
      <c r="V107" s="15">
        <f t="shared" si="5"/>
        <v>6128.1120000000001</v>
      </c>
      <c r="W107" s="15">
        <f t="shared" si="6"/>
        <v>1385.9849999999999</v>
      </c>
      <c r="X107" s="15">
        <f t="shared" si="7"/>
        <v>1725.8030000000001</v>
      </c>
    </row>
    <row r="108" spans="1:24">
      <c r="A108" s="12" t="s">
        <v>390</v>
      </c>
      <c r="B108" s="12" t="s">
        <v>391</v>
      </c>
      <c r="C108" s="12" t="s">
        <v>50</v>
      </c>
      <c r="D108" s="12" t="s">
        <v>213</v>
      </c>
      <c r="E108" s="12" t="s">
        <v>38</v>
      </c>
      <c r="F108" s="13">
        <v>4850.6099999999997</v>
      </c>
      <c r="G108" s="13">
        <v>10.85</v>
      </c>
      <c r="H108" s="13">
        <v>4324.13</v>
      </c>
      <c r="I108" s="13">
        <v>4.5999999999999996</v>
      </c>
      <c r="J108" s="13">
        <v>18</v>
      </c>
      <c r="K108" s="13">
        <v>323</v>
      </c>
      <c r="L108" s="12" t="s">
        <v>392</v>
      </c>
      <c r="M108" s="12">
        <v>2.9</v>
      </c>
      <c r="N108" s="14">
        <v>45698</v>
      </c>
      <c r="O108" s="13">
        <v>2</v>
      </c>
      <c r="P108" s="12" t="s">
        <v>45</v>
      </c>
      <c r="Q108" s="12" t="s">
        <v>46</v>
      </c>
      <c r="R108" s="12" t="s">
        <v>32</v>
      </c>
      <c r="S108" s="12" t="b">
        <v>1</v>
      </c>
      <c r="T108" s="12" t="s">
        <v>33</v>
      </c>
      <c r="U108" s="15">
        <f t="shared" si="4"/>
        <v>526.29118500000004</v>
      </c>
      <c r="V108" s="15">
        <f t="shared" si="5"/>
        <v>1940.2439999999999</v>
      </c>
      <c r="W108" s="15">
        <f t="shared" si="6"/>
        <v>648.61950000000002</v>
      </c>
      <c r="X108" s="15">
        <f t="shared" si="7"/>
        <v>1735.2665</v>
      </c>
    </row>
    <row r="109" spans="1:24">
      <c r="A109" s="12" t="s">
        <v>393</v>
      </c>
      <c r="B109" s="12" t="s">
        <v>394</v>
      </c>
      <c r="C109" s="12" t="s">
        <v>50</v>
      </c>
      <c r="D109" s="12" t="s">
        <v>130</v>
      </c>
      <c r="E109" s="12" t="s">
        <v>100</v>
      </c>
      <c r="F109" s="13">
        <v>4300.21</v>
      </c>
      <c r="G109" s="13">
        <v>42.17</v>
      </c>
      <c r="H109" s="13">
        <v>2486.96</v>
      </c>
      <c r="I109" s="13">
        <v>4.3</v>
      </c>
      <c r="J109" s="13">
        <v>12</v>
      </c>
      <c r="K109" s="13">
        <v>355</v>
      </c>
      <c r="L109" s="12" t="s">
        <v>395</v>
      </c>
      <c r="M109" s="12">
        <v>2.8</v>
      </c>
      <c r="N109" s="14">
        <v>45614</v>
      </c>
      <c r="O109" s="13">
        <v>5</v>
      </c>
      <c r="P109" s="12" t="s">
        <v>40</v>
      </c>
      <c r="Q109" s="12" t="s">
        <v>46</v>
      </c>
      <c r="R109" s="12" t="s">
        <v>32</v>
      </c>
      <c r="S109" s="12" t="b">
        <v>0</v>
      </c>
      <c r="T109" s="12" t="s">
        <v>56</v>
      </c>
      <c r="U109" s="15">
        <f t="shared" si="4"/>
        <v>1813.398557</v>
      </c>
      <c r="V109" s="15">
        <f t="shared" si="5"/>
        <v>1720.0840000000001</v>
      </c>
      <c r="W109" s="15">
        <f t="shared" si="6"/>
        <v>373.04399999999998</v>
      </c>
      <c r="X109" s="15">
        <f t="shared" si="7"/>
        <v>393.83199999999999</v>
      </c>
    </row>
    <row r="110" spans="1:24">
      <c r="A110" s="12" t="s">
        <v>396</v>
      </c>
      <c r="B110" s="12" t="s">
        <v>397</v>
      </c>
      <c r="C110" s="12" t="s">
        <v>26</v>
      </c>
      <c r="D110" s="12" t="s">
        <v>313</v>
      </c>
      <c r="E110" s="12" t="s">
        <v>112</v>
      </c>
      <c r="F110" s="13">
        <v>70104.070000000007</v>
      </c>
      <c r="G110" s="13">
        <v>35.01</v>
      </c>
      <c r="H110" s="13">
        <v>45562.32</v>
      </c>
      <c r="I110" s="13">
        <v>3.6</v>
      </c>
      <c r="J110" s="13">
        <v>11</v>
      </c>
      <c r="K110" s="13">
        <v>125</v>
      </c>
      <c r="L110" s="12" t="s">
        <v>398</v>
      </c>
      <c r="M110" s="12">
        <v>3.1</v>
      </c>
      <c r="N110" s="14">
        <v>45966</v>
      </c>
      <c r="O110" s="13">
        <v>2</v>
      </c>
      <c r="P110" s="12" t="s">
        <v>30</v>
      </c>
      <c r="Q110" s="12" t="s">
        <v>55</v>
      </c>
      <c r="R110" s="12" t="s">
        <v>47</v>
      </c>
      <c r="S110" s="12" t="b">
        <v>0</v>
      </c>
      <c r="T110" s="12" t="s">
        <v>78</v>
      </c>
      <c r="U110" s="15">
        <f t="shared" si="4"/>
        <v>24543.434906999999</v>
      </c>
      <c r="V110" s="15">
        <f t="shared" si="5"/>
        <v>28041.628000000001</v>
      </c>
      <c r="W110" s="15">
        <f t="shared" si="6"/>
        <v>6834.348</v>
      </c>
      <c r="X110" s="15">
        <f t="shared" si="7"/>
        <v>10686.343999999999</v>
      </c>
    </row>
    <row r="111" spans="1:24">
      <c r="A111" s="12" t="s">
        <v>399</v>
      </c>
      <c r="B111" s="12" t="s">
        <v>400</v>
      </c>
      <c r="C111" s="12" t="s">
        <v>75</v>
      </c>
      <c r="D111" s="12" t="s">
        <v>135</v>
      </c>
      <c r="E111" s="12" t="s">
        <v>65</v>
      </c>
      <c r="F111" s="13">
        <v>640.1</v>
      </c>
      <c r="G111" s="13">
        <v>38.39</v>
      </c>
      <c r="H111" s="13">
        <v>394.35</v>
      </c>
      <c r="I111" s="13">
        <v>4</v>
      </c>
      <c r="J111" s="13">
        <v>31</v>
      </c>
      <c r="K111" s="13">
        <v>123</v>
      </c>
      <c r="L111" s="12" t="s">
        <v>401</v>
      </c>
      <c r="M111" s="12">
        <v>4.4000000000000004</v>
      </c>
      <c r="N111" s="14">
        <v>45971</v>
      </c>
      <c r="O111" s="13">
        <v>3</v>
      </c>
      <c r="P111" s="12" t="s">
        <v>117</v>
      </c>
      <c r="Q111" s="12" t="s">
        <v>31</v>
      </c>
      <c r="R111" s="12" t="s">
        <v>47</v>
      </c>
      <c r="S111" s="12" t="b">
        <v>0</v>
      </c>
      <c r="T111" s="12" t="s">
        <v>78</v>
      </c>
      <c r="U111" s="15">
        <f t="shared" si="4"/>
        <v>245.73438999999999</v>
      </c>
      <c r="V111" s="15">
        <f t="shared" si="5"/>
        <v>256.04000000000002</v>
      </c>
      <c r="W111" s="15">
        <f t="shared" si="6"/>
        <v>59.152500000000003</v>
      </c>
      <c r="X111" s="15">
        <f t="shared" si="7"/>
        <v>79.157499999999999</v>
      </c>
    </row>
    <row r="112" spans="1:24">
      <c r="A112" s="12" t="s">
        <v>402</v>
      </c>
      <c r="B112" s="12" t="s">
        <v>403</v>
      </c>
      <c r="C112" s="12" t="s">
        <v>50</v>
      </c>
      <c r="D112" s="12" t="s">
        <v>213</v>
      </c>
      <c r="E112" s="12" t="s">
        <v>52</v>
      </c>
      <c r="F112" s="13">
        <v>4620.07</v>
      </c>
      <c r="G112" s="13">
        <v>40.840000000000003</v>
      </c>
      <c r="H112" s="13">
        <v>2733.04</v>
      </c>
      <c r="I112" s="13">
        <v>3.3</v>
      </c>
      <c r="J112" s="13">
        <v>19</v>
      </c>
      <c r="K112" s="13">
        <v>4</v>
      </c>
      <c r="L112" s="12" t="s">
        <v>404</v>
      </c>
      <c r="M112" s="12">
        <v>3.1</v>
      </c>
      <c r="N112" s="14">
        <v>45908</v>
      </c>
      <c r="O112" s="13">
        <v>1</v>
      </c>
      <c r="P112" s="12" t="s">
        <v>117</v>
      </c>
      <c r="Q112" s="12" t="s">
        <v>55</v>
      </c>
      <c r="R112" s="12" t="s">
        <v>47</v>
      </c>
      <c r="S112" s="12" t="b">
        <v>0</v>
      </c>
      <c r="T112" s="12" t="s">
        <v>78</v>
      </c>
      <c r="U112" s="15">
        <f t="shared" si="4"/>
        <v>1886.8365879999999</v>
      </c>
      <c r="V112" s="15">
        <f t="shared" si="5"/>
        <v>1848.028</v>
      </c>
      <c r="W112" s="15">
        <f t="shared" si="6"/>
        <v>409.95600000000002</v>
      </c>
      <c r="X112" s="15">
        <f t="shared" si="7"/>
        <v>475.05599999999998</v>
      </c>
    </row>
    <row r="113" spans="1:24">
      <c r="A113" s="12" t="s">
        <v>405</v>
      </c>
      <c r="B113" s="12" t="s">
        <v>406</v>
      </c>
      <c r="C113" s="12" t="s">
        <v>50</v>
      </c>
      <c r="D113" s="12" t="s">
        <v>51</v>
      </c>
      <c r="E113" s="12" t="s">
        <v>65</v>
      </c>
      <c r="F113" s="13">
        <v>3327.29</v>
      </c>
      <c r="G113" s="13">
        <v>31.56</v>
      </c>
      <c r="H113" s="13">
        <v>2277.13</v>
      </c>
      <c r="I113" s="13">
        <v>4</v>
      </c>
      <c r="J113" s="13">
        <v>19</v>
      </c>
      <c r="K113" s="13">
        <v>353</v>
      </c>
      <c r="L113" s="12" t="s">
        <v>407</v>
      </c>
      <c r="M113" s="12">
        <v>2.7</v>
      </c>
      <c r="N113" s="14">
        <v>46030</v>
      </c>
      <c r="O113" s="13">
        <v>1</v>
      </c>
      <c r="P113" s="12" t="s">
        <v>30</v>
      </c>
      <c r="Q113" s="12" t="s">
        <v>55</v>
      </c>
      <c r="R113" s="12" t="s">
        <v>72</v>
      </c>
      <c r="S113" s="12" t="b">
        <v>1</v>
      </c>
      <c r="T113" s="12" t="s">
        <v>33</v>
      </c>
      <c r="U113" s="15">
        <f t="shared" si="4"/>
        <v>1050.0927240000001</v>
      </c>
      <c r="V113" s="15">
        <f t="shared" si="5"/>
        <v>1330.9159999999999</v>
      </c>
      <c r="W113" s="15">
        <f t="shared" si="6"/>
        <v>341.56950000000001</v>
      </c>
      <c r="X113" s="15">
        <f t="shared" si="7"/>
        <v>604.64449999999999</v>
      </c>
    </row>
    <row r="114" spans="1:24">
      <c r="A114" s="12" t="s">
        <v>408</v>
      </c>
      <c r="B114" s="12" t="s">
        <v>409</v>
      </c>
      <c r="C114" s="12" t="s">
        <v>75</v>
      </c>
      <c r="D114" s="12" t="s">
        <v>104</v>
      </c>
      <c r="E114" s="12" t="s">
        <v>235</v>
      </c>
      <c r="F114" s="13">
        <v>2659.72</v>
      </c>
      <c r="G114" s="13">
        <v>61.61</v>
      </c>
      <c r="H114" s="13">
        <v>1021.14</v>
      </c>
      <c r="I114" s="13">
        <v>3.3</v>
      </c>
      <c r="J114" s="13">
        <v>19</v>
      </c>
      <c r="K114" s="13">
        <v>292</v>
      </c>
      <c r="L114" s="12" t="s">
        <v>410</v>
      </c>
      <c r="M114" s="12">
        <v>3.9</v>
      </c>
      <c r="N114" s="14">
        <v>45844</v>
      </c>
      <c r="O114" s="13">
        <v>1</v>
      </c>
      <c r="P114" s="12" t="s">
        <v>40</v>
      </c>
      <c r="Q114" s="12" t="s">
        <v>31</v>
      </c>
      <c r="R114" s="12" t="s">
        <v>72</v>
      </c>
      <c r="S114" s="12" t="b">
        <v>0</v>
      </c>
      <c r="T114" s="12" t="s">
        <v>62</v>
      </c>
      <c r="U114" s="15">
        <f t="shared" si="4"/>
        <v>1638.6534919999999</v>
      </c>
      <c r="V114" s="15">
        <f t="shared" si="5"/>
        <v>1063.8879999999999</v>
      </c>
      <c r="W114" s="15">
        <f t="shared" si="6"/>
        <v>153.17099999999999</v>
      </c>
      <c r="X114" s="15">
        <f t="shared" si="7"/>
        <v>-195.91900000000001</v>
      </c>
    </row>
    <row r="115" spans="1:24">
      <c r="A115" s="12" t="s">
        <v>411</v>
      </c>
      <c r="B115" s="12" t="s">
        <v>412</v>
      </c>
      <c r="C115" s="12" t="s">
        <v>59</v>
      </c>
      <c r="D115" s="12" t="s">
        <v>69</v>
      </c>
      <c r="E115" s="12" t="s">
        <v>100</v>
      </c>
      <c r="F115" s="13">
        <v>4996.6400000000003</v>
      </c>
      <c r="G115" s="13">
        <v>47.36</v>
      </c>
      <c r="H115" s="13">
        <v>2630.45</v>
      </c>
      <c r="I115" s="13">
        <v>3.9</v>
      </c>
      <c r="J115" s="13">
        <v>9</v>
      </c>
      <c r="K115" s="13">
        <v>289</v>
      </c>
      <c r="L115" s="12" t="s">
        <v>413</v>
      </c>
      <c r="M115" s="12">
        <v>2.6</v>
      </c>
      <c r="N115" s="14">
        <v>45743</v>
      </c>
      <c r="O115" s="13">
        <v>1</v>
      </c>
      <c r="P115" s="12" t="s">
        <v>117</v>
      </c>
      <c r="Q115" s="12" t="s">
        <v>31</v>
      </c>
      <c r="R115" s="12" t="s">
        <v>86</v>
      </c>
      <c r="S115" s="12" t="b">
        <v>0</v>
      </c>
      <c r="T115" s="12" t="s">
        <v>56</v>
      </c>
      <c r="U115" s="15">
        <f t="shared" si="4"/>
        <v>2366.4087039999999</v>
      </c>
      <c r="V115" s="15">
        <f t="shared" si="5"/>
        <v>1998.6559999999999</v>
      </c>
      <c r="W115" s="15">
        <f t="shared" si="6"/>
        <v>394.5675</v>
      </c>
      <c r="X115" s="15">
        <f t="shared" si="7"/>
        <v>237.22649999999999</v>
      </c>
    </row>
    <row r="116" spans="1:24">
      <c r="A116" s="12" t="s">
        <v>414</v>
      </c>
      <c r="B116" s="12" t="s">
        <v>415</v>
      </c>
      <c r="C116" s="12" t="s">
        <v>75</v>
      </c>
      <c r="D116" s="12" t="s">
        <v>76</v>
      </c>
      <c r="E116" s="12" t="s">
        <v>112</v>
      </c>
      <c r="F116" s="13">
        <v>2286.15</v>
      </c>
      <c r="G116" s="13">
        <v>58.04</v>
      </c>
      <c r="H116" s="13">
        <v>959.38</v>
      </c>
      <c r="I116" s="13">
        <v>3.6</v>
      </c>
      <c r="J116" s="13">
        <v>12</v>
      </c>
      <c r="K116" s="13">
        <v>317</v>
      </c>
      <c r="L116" s="12" t="s">
        <v>416</v>
      </c>
      <c r="M116" s="12">
        <v>2.8</v>
      </c>
      <c r="N116" s="14">
        <v>45848</v>
      </c>
      <c r="O116" s="13">
        <v>1</v>
      </c>
      <c r="P116" s="12" t="s">
        <v>54</v>
      </c>
      <c r="Q116" s="12" t="s">
        <v>31</v>
      </c>
      <c r="R116" s="12" t="s">
        <v>47</v>
      </c>
      <c r="S116" s="12" t="b">
        <v>0</v>
      </c>
      <c r="T116" s="12" t="s">
        <v>62</v>
      </c>
      <c r="U116" s="15">
        <f t="shared" si="4"/>
        <v>1326.8814600000001</v>
      </c>
      <c r="V116" s="15">
        <f t="shared" si="5"/>
        <v>914.46</v>
      </c>
      <c r="W116" s="15">
        <f t="shared" si="6"/>
        <v>143.90700000000001</v>
      </c>
      <c r="X116" s="15">
        <f t="shared" si="7"/>
        <v>-98.986999999999995</v>
      </c>
    </row>
    <row r="117" spans="1:24">
      <c r="A117" s="12" t="s">
        <v>417</v>
      </c>
      <c r="B117" s="12" t="s">
        <v>418</v>
      </c>
      <c r="C117" s="12" t="s">
        <v>26</v>
      </c>
      <c r="D117" s="12" t="s">
        <v>27</v>
      </c>
      <c r="E117" s="12" t="s">
        <v>52</v>
      </c>
      <c r="F117" s="13">
        <v>72216.600000000006</v>
      </c>
      <c r="G117" s="13">
        <v>37.729999999999997</v>
      </c>
      <c r="H117" s="13">
        <v>44967.79</v>
      </c>
      <c r="I117" s="13">
        <v>4.5999999999999996</v>
      </c>
      <c r="J117" s="13">
        <v>33</v>
      </c>
      <c r="K117" s="13">
        <v>186</v>
      </c>
      <c r="L117" s="12" t="s">
        <v>419</v>
      </c>
      <c r="M117" s="12">
        <v>4.5</v>
      </c>
      <c r="N117" s="14">
        <v>45439</v>
      </c>
      <c r="O117" s="13">
        <v>4</v>
      </c>
      <c r="P117" s="12" t="s">
        <v>117</v>
      </c>
      <c r="Q117" s="12" t="s">
        <v>46</v>
      </c>
      <c r="R117" s="12" t="s">
        <v>72</v>
      </c>
      <c r="S117" s="12" t="b">
        <v>0</v>
      </c>
      <c r="T117" s="12" t="s">
        <v>56</v>
      </c>
      <c r="U117" s="15">
        <f t="shared" si="4"/>
        <v>27247.323179999999</v>
      </c>
      <c r="V117" s="15">
        <f t="shared" si="5"/>
        <v>28886.639999999999</v>
      </c>
      <c r="W117" s="15">
        <f t="shared" si="6"/>
        <v>6745.1684999999998</v>
      </c>
      <c r="X117" s="15">
        <f t="shared" si="7"/>
        <v>9335.9814999999999</v>
      </c>
    </row>
    <row r="118" spans="1:24">
      <c r="A118" s="12" t="s">
        <v>420</v>
      </c>
      <c r="B118" s="12" t="s">
        <v>421</v>
      </c>
      <c r="C118" s="12" t="s">
        <v>50</v>
      </c>
      <c r="D118" s="12" t="s">
        <v>130</v>
      </c>
      <c r="E118" s="12" t="s">
        <v>70</v>
      </c>
      <c r="F118" s="13">
        <v>4123.03</v>
      </c>
      <c r="G118" s="13">
        <v>33.96</v>
      </c>
      <c r="H118" s="13">
        <v>2722.81</v>
      </c>
      <c r="I118" s="13">
        <v>4.7</v>
      </c>
      <c r="J118" s="13">
        <v>24</v>
      </c>
      <c r="K118" s="13">
        <v>448</v>
      </c>
      <c r="L118" s="12" t="s">
        <v>422</v>
      </c>
      <c r="M118" s="12">
        <v>4</v>
      </c>
      <c r="N118" s="14">
        <v>45956</v>
      </c>
      <c r="O118" s="13">
        <v>2</v>
      </c>
      <c r="P118" s="12" t="s">
        <v>54</v>
      </c>
      <c r="Q118" s="12" t="s">
        <v>31</v>
      </c>
      <c r="R118" s="12" t="s">
        <v>72</v>
      </c>
      <c r="S118" s="12" t="b">
        <v>0</v>
      </c>
      <c r="T118" s="12" t="s">
        <v>78</v>
      </c>
      <c r="U118" s="15">
        <f t="shared" si="4"/>
        <v>1400.1809880000001</v>
      </c>
      <c r="V118" s="15">
        <f t="shared" si="5"/>
        <v>1649.212</v>
      </c>
      <c r="W118" s="15">
        <f t="shared" si="6"/>
        <v>408.42149999999998</v>
      </c>
      <c r="X118" s="15">
        <f t="shared" si="7"/>
        <v>665.17650000000003</v>
      </c>
    </row>
    <row r="119" spans="1:24">
      <c r="A119" s="12" t="s">
        <v>423</v>
      </c>
      <c r="B119" s="12" t="s">
        <v>424</v>
      </c>
      <c r="C119" s="12" t="s">
        <v>59</v>
      </c>
      <c r="D119" s="12" t="s">
        <v>170</v>
      </c>
      <c r="E119" s="12" t="s">
        <v>52</v>
      </c>
      <c r="F119" s="13">
        <v>12699.1</v>
      </c>
      <c r="G119" s="13">
        <v>38.49</v>
      </c>
      <c r="H119" s="13">
        <v>7810.89</v>
      </c>
      <c r="I119" s="13">
        <v>3.8</v>
      </c>
      <c r="J119" s="13">
        <v>56</v>
      </c>
      <c r="K119" s="13">
        <v>239</v>
      </c>
      <c r="L119" s="12" t="s">
        <v>425</v>
      </c>
      <c r="M119" s="12">
        <v>2.6</v>
      </c>
      <c r="N119" s="14">
        <v>45895</v>
      </c>
      <c r="O119" s="13">
        <v>3</v>
      </c>
      <c r="P119" s="12" t="s">
        <v>30</v>
      </c>
      <c r="Q119" s="12" t="s">
        <v>46</v>
      </c>
      <c r="R119" s="12" t="s">
        <v>47</v>
      </c>
      <c r="S119" s="12" t="b">
        <v>0</v>
      </c>
      <c r="T119" s="12" t="s">
        <v>62</v>
      </c>
      <c r="U119" s="15">
        <f t="shared" si="4"/>
        <v>4887.8835900000004</v>
      </c>
      <c r="V119" s="15">
        <f t="shared" si="5"/>
        <v>5079.6400000000003</v>
      </c>
      <c r="W119" s="15">
        <f t="shared" si="6"/>
        <v>1171.6334999999999</v>
      </c>
      <c r="X119" s="15">
        <f t="shared" si="7"/>
        <v>1559.6165000000001</v>
      </c>
    </row>
    <row r="120" spans="1:24">
      <c r="A120" s="12" t="s">
        <v>426</v>
      </c>
      <c r="B120" s="12" t="s">
        <v>427</v>
      </c>
      <c r="C120" s="12" t="s">
        <v>50</v>
      </c>
      <c r="D120" s="12" t="s">
        <v>213</v>
      </c>
      <c r="E120" s="12" t="s">
        <v>112</v>
      </c>
      <c r="F120" s="13">
        <v>2567.73</v>
      </c>
      <c r="G120" s="13">
        <v>23.15</v>
      </c>
      <c r="H120" s="13">
        <v>1973.38</v>
      </c>
      <c r="I120" s="13">
        <v>3.6</v>
      </c>
      <c r="J120" s="13">
        <v>4</v>
      </c>
      <c r="K120" s="13">
        <v>7</v>
      </c>
      <c r="L120" s="12" t="s">
        <v>428</v>
      </c>
      <c r="M120" s="12">
        <v>2.9</v>
      </c>
      <c r="N120" s="14">
        <v>45464</v>
      </c>
      <c r="O120" s="13">
        <v>1</v>
      </c>
      <c r="P120" s="12" t="s">
        <v>40</v>
      </c>
      <c r="Q120" s="12" t="s">
        <v>31</v>
      </c>
      <c r="R120" s="12" t="s">
        <v>32</v>
      </c>
      <c r="S120" s="12" t="b">
        <v>0</v>
      </c>
      <c r="T120" s="12" t="s">
        <v>56</v>
      </c>
      <c r="U120" s="15">
        <f t="shared" si="4"/>
        <v>594.42949499999997</v>
      </c>
      <c r="V120" s="15">
        <f t="shared" si="5"/>
        <v>1027.0920000000001</v>
      </c>
      <c r="W120" s="15">
        <f t="shared" si="6"/>
        <v>296.00700000000001</v>
      </c>
      <c r="X120" s="15">
        <f t="shared" si="7"/>
        <v>650.28099999999995</v>
      </c>
    </row>
    <row r="121" spans="1:24">
      <c r="A121" s="12" t="s">
        <v>429</v>
      </c>
      <c r="B121" s="12" t="s">
        <v>430</v>
      </c>
      <c r="C121" s="12" t="s">
        <v>59</v>
      </c>
      <c r="D121" s="12" t="s">
        <v>60</v>
      </c>
      <c r="E121" s="12" t="s">
        <v>28</v>
      </c>
      <c r="F121" s="13">
        <v>17078.66</v>
      </c>
      <c r="G121" s="13">
        <v>39.549999999999997</v>
      </c>
      <c r="H121" s="13">
        <v>10324.459999999999</v>
      </c>
      <c r="I121" s="13">
        <v>5</v>
      </c>
      <c r="J121" s="13">
        <v>28</v>
      </c>
      <c r="K121" s="13">
        <v>421</v>
      </c>
      <c r="L121" s="12" t="s">
        <v>431</v>
      </c>
      <c r="M121" s="12">
        <v>3.6</v>
      </c>
      <c r="N121" s="14">
        <v>45468</v>
      </c>
      <c r="O121" s="13">
        <v>3</v>
      </c>
      <c r="P121" s="12" t="s">
        <v>30</v>
      </c>
      <c r="Q121" s="12" t="s">
        <v>46</v>
      </c>
      <c r="R121" s="12" t="s">
        <v>47</v>
      </c>
      <c r="S121" s="12" t="b">
        <v>0</v>
      </c>
      <c r="T121" s="12" t="s">
        <v>56</v>
      </c>
      <c r="U121" s="15">
        <f t="shared" si="4"/>
        <v>6754.6100299999998</v>
      </c>
      <c r="V121" s="15">
        <f t="shared" si="5"/>
        <v>6831.4639999999999</v>
      </c>
      <c r="W121" s="15">
        <f t="shared" si="6"/>
        <v>1548.6690000000001</v>
      </c>
      <c r="X121" s="15">
        <f t="shared" si="7"/>
        <v>1944.327</v>
      </c>
    </row>
    <row r="122" spans="1:24">
      <c r="A122" s="12" t="s">
        <v>432</v>
      </c>
      <c r="B122" s="12" t="s">
        <v>433</v>
      </c>
      <c r="C122" s="12" t="s">
        <v>26</v>
      </c>
      <c r="D122" s="12" t="s">
        <v>313</v>
      </c>
      <c r="E122" s="12" t="s">
        <v>65</v>
      </c>
      <c r="F122" s="13">
        <v>59394.32</v>
      </c>
      <c r="G122" s="13">
        <v>14.69</v>
      </c>
      <c r="H122" s="13">
        <v>50669.9</v>
      </c>
      <c r="I122" s="13">
        <v>4.8</v>
      </c>
      <c r="J122" s="13">
        <v>24</v>
      </c>
      <c r="K122" s="13">
        <v>325</v>
      </c>
      <c r="L122" s="12" t="s">
        <v>434</v>
      </c>
      <c r="M122" s="12">
        <v>3.7</v>
      </c>
      <c r="N122" s="14">
        <v>46005</v>
      </c>
      <c r="O122" s="13">
        <v>3</v>
      </c>
      <c r="P122" s="12" t="s">
        <v>54</v>
      </c>
      <c r="Q122" s="12" t="s">
        <v>31</v>
      </c>
      <c r="R122" s="12" t="s">
        <v>72</v>
      </c>
      <c r="S122" s="12" t="b">
        <v>0</v>
      </c>
      <c r="T122" s="12" t="s">
        <v>62</v>
      </c>
      <c r="U122" s="15">
        <f t="shared" si="4"/>
        <v>8725.0256079999999</v>
      </c>
      <c r="V122" s="15">
        <f t="shared" si="5"/>
        <v>23757.727999999999</v>
      </c>
      <c r="W122" s="15">
        <f t="shared" si="6"/>
        <v>7600.4849999999997</v>
      </c>
      <c r="X122" s="15">
        <f t="shared" si="7"/>
        <v>19311.687000000002</v>
      </c>
    </row>
    <row r="123" spans="1:24">
      <c r="A123" s="12" t="s">
        <v>435</v>
      </c>
      <c r="B123" s="12" t="s">
        <v>436</v>
      </c>
      <c r="C123" s="12" t="s">
        <v>50</v>
      </c>
      <c r="D123" s="12" t="s">
        <v>130</v>
      </c>
      <c r="E123" s="12" t="s">
        <v>92</v>
      </c>
      <c r="F123" s="13">
        <v>2145.4899999999998</v>
      </c>
      <c r="G123" s="13">
        <v>33.46</v>
      </c>
      <c r="H123" s="13">
        <v>1427.52</v>
      </c>
      <c r="I123" s="13">
        <v>3.9</v>
      </c>
      <c r="J123" s="13">
        <v>1</v>
      </c>
      <c r="K123" s="13">
        <v>252</v>
      </c>
      <c r="L123" s="12" t="s">
        <v>437</v>
      </c>
      <c r="M123" s="12">
        <v>3.7</v>
      </c>
      <c r="N123" s="14">
        <v>45733</v>
      </c>
      <c r="O123" s="13">
        <v>4</v>
      </c>
      <c r="P123" s="12" t="s">
        <v>40</v>
      </c>
      <c r="Q123" s="12" t="s">
        <v>46</v>
      </c>
      <c r="R123" s="12" t="s">
        <v>47</v>
      </c>
      <c r="S123" s="12" t="b">
        <v>0</v>
      </c>
      <c r="T123" s="12" t="s">
        <v>62</v>
      </c>
      <c r="U123" s="15">
        <f t="shared" si="4"/>
        <v>717.88095399999997</v>
      </c>
      <c r="V123" s="15">
        <f t="shared" si="5"/>
        <v>858.19600000000003</v>
      </c>
      <c r="W123" s="15">
        <f t="shared" si="6"/>
        <v>214.12799999999999</v>
      </c>
      <c r="X123" s="15">
        <f t="shared" si="7"/>
        <v>355.19600000000003</v>
      </c>
    </row>
    <row r="124" spans="1:24">
      <c r="A124" s="12" t="s">
        <v>438</v>
      </c>
      <c r="B124" s="12" t="s">
        <v>439</v>
      </c>
      <c r="C124" s="12" t="s">
        <v>75</v>
      </c>
      <c r="D124" s="12" t="s">
        <v>104</v>
      </c>
      <c r="E124" s="12" t="s">
        <v>235</v>
      </c>
      <c r="F124" s="13">
        <v>4418.37</v>
      </c>
      <c r="G124" s="13">
        <v>45.58</v>
      </c>
      <c r="H124" s="13">
        <v>2404.61</v>
      </c>
      <c r="I124" s="13">
        <v>3.7</v>
      </c>
      <c r="J124" s="13">
        <v>6</v>
      </c>
      <c r="K124" s="13">
        <v>214</v>
      </c>
      <c r="L124" s="12" t="s">
        <v>440</v>
      </c>
      <c r="M124" s="12">
        <v>4.5999999999999996</v>
      </c>
      <c r="N124" s="14">
        <v>45508</v>
      </c>
      <c r="O124" s="13">
        <v>1</v>
      </c>
      <c r="P124" s="12" t="s">
        <v>30</v>
      </c>
      <c r="Q124" s="12" t="s">
        <v>55</v>
      </c>
      <c r="R124" s="12" t="s">
        <v>32</v>
      </c>
      <c r="S124" s="12" t="b">
        <v>0</v>
      </c>
      <c r="T124" s="12" t="s">
        <v>56</v>
      </c>
      <c r="U124" s="15">
        <f t="shared" si="4"/>
        <v>2013.8930459999999</v>
      </c>
      <c r="V124" s="15">
        <f t="shared" si="5"/>
        <v>1767.348</v>
      </c>
      <c r="W124" s="15">
        <f t="shared" si="6"/>
        <v>360.69150000000002</v>
      </c>
      <c r="X124" s="15">
        <f t="shared" si="7"/>
        <v>276.57049999999998</v>
      </c>
    </row>
    <row r="125" spans="1:24">
      <c r="A125" s="12" t="s">
        <v>441</v>
      </c>
      <c r="B125" s="12" t="s">
        <v>442</v>
      </c>
      <c r="C125" s="12" t="s">
        <v>36</v>
      </c>
      <c r="D125" s="12" t="s">
        <v>37</v>
      </c>
      <c r="E125" s="12" t="s">
        <v>52</v>
      </c>
      <c r="F125" s="13">
        <v>3936.9</v>
      </c>
      <c r="G125" s="13">
        <v>15.56</v>
      </c>
      <c r="H125" s="13">
        <v>3324.31</v>
      </c>
      <c r="I125" s="13">
        <v>3.8</v>
      </c>
      <c r="J125" s="13">
        <v>54</v>
      </c>
      <c r="K125" s="13">
        <v>111</v>
      </c>
      <c r="L125" s="12" t="s">
        <v>443</v>
      </c>
      <c r="M125" s="12">
        <v>4.2</v>
      </c>
      <c r="N125" s="14">
        <v>45953</v>
      </c>
      <c r="O125" s="13">
        <v>1</v>
      </c>
      <c r="P125" s="12" t="s">
        <v>40</v>
      </c>
      <c r="Q125" s="12" t="s">
        <v>55</v>
      </c>
      <c r="R125" s="12" t="s">
        <v>47</v>
      </c>
      <c r="S125" s="12" t="b">
        <v>0</v>
      </c>
      <c r="T125" s="12" t="s">
        <v>56</v>
      </c>
      <c r="U125" s="15">
        <f t="shared" si="4"/>
        <v>612.58163999999999</v>
      </c>
      <c r="V125" s="15">
        <f t="shared" si="5"/>
        <v>1574.76</v>
      </c>
      <c r="W125" s="15">
        <f t="shared" si="6"/>
        <v>498.6465</v>
      </c>
      <c r="X125" s="15">
        <f t="shared" si="7"/>
        <v>1250.9034999999999</v>
      </c>
    </row>
    <row r="126" spans="1:24">
      <c r="A126" s="12" t="s">
        <v>444</v>
      </c>
      <c r="B126" s="12" t="s">
        <v>445</v>
      </c>
      <c r="C126" s="12" t="s">
        <v>26</v>
      </c>
      <c r="D126" s="12" t="s">
        <v>313</v>
      </c>
      <c r="E126" s="12" t="s">
        <v>131</v>
      </c>
      <c r="F126" s="13">
        <v>15931.74</v>
      </c>
      <c r="G126" s="13">
        <v>17.57</v>
      </c>
      <c r="H126" s="13">
        <v>13131.93</v>
      </c>
      <c r="I126" s="13">
        <v>4.7</v>
      </c>
      <c r="J126" s="13">
        <v>4</v>
      </c>
      <c r="K126" s="13">
        <v>141</v>
      </c>
      <c r="L126" s="12" t="s">
        <v>446</v>
      </c>
      <c r="M126" s="12">
        <v>4.5</v>
      </c>
      <c r="N126" s="14">
        <v>45613</v>
      </c>
      <c r="O126" s="13">
        <v>5</v>
      </c>
      <c r="P126" s="12" t="s">
        <v>30</v>
      </c>
      <c r="Q126" s="12" t="s">
        <v>46</v>
      </c>
      <c r="R126" s="12" t="s">
        <v>86</v>
      </c>
      <c r="S126" s="12" t="b">
        <v>0</v>
      </c>
      <c r="T126" s="12" t="s">
        <v>78</v>
      </c>
      <c r="U126" s="15">
        <f t="shared" si="4"/>
        <v>2799.2067179999999</v>
      </c>
      <c r="V126" s="15">
        <f t="shared" si="5"/>
        <v>6372.6959999999999</v>
      </c>
      <c r="W126" s="15">
        <f t="shared" si="6"/>
        <v>1969.7895000000001</v>
      </c>
      <c r="X126" s="15">
        <f t="shared" si="7"/>
        <v>4789.4444999999996</v>
      </c>
    </row>
    <row r="127" spans="1:24">
      <c r="A127" s="12" t="s">
        <v>447</v>
      </c>
      <c r="B127" s="12" t="s">
        <v>448</v>
      </c>
      <c r="C127" s="12" t="s">
        <v>75</v>
      </c>
      <c r="D127" s="12" t="s">
        <v>76</v>
      </c>
      <c r="E127" s="12" t="s">
        <v>100</v>
      </c>
      <c r="F127" s="13">
        <v>2508.66</v>
      </c>
      <c r="G127" s="13">
        <v>12.05</v>
      </c>
      <c r="H127" s="13">
        <v>2206.33</v>
      </c>
      <c r="I127" s="13">
        <v>3.2</v>
      </c>
      <c r="J127" s="13">
        <v>37</v>
      </c>
      <c r="K127" s="13">
        <v>402</v>
      </c>
      <c r="L127" s="12" t="s">
        <v>449</v>
      </c>
      <c r="M127" s="12">
        <v>3.3</v>
      </c>
      <c r="N127" s="14">
        <v>45983</v>
      </c>
      <c r="O127" s="13">
        <v>5</v>
      </c>
      <c r="P127" s="12" t="s">
        <v>45</v>
      </c>
      <c r="Q127" s="12" t="s">
        <v>46</v>
      </c>
      <c r="R127" s="12" t="s">
        <v>47</v>
      </c>
      <c r="S127" s="12" t="b">
        <v>0</v>
      </c>
      <c r="T127" s="12" t="s">
        <v>62</v>
      </c>
      <c r="U127" s="15">
        <f t="shared" si="4"/>
        <v>302.29352999999998</v>
      </c>
      <c r="V127" s="15">
        <f t="shared" si="5"/>
        <v>1003.4640000000001</v>
      </c>
      <c r="W127" s="15">
        <f t="shared" si="6"/>
        <v>330.9495</v>
      </c>
      <c r="X127" s="15">
        <f t="shared" si="7"/>
        <v>871.91650000000004</v>
      </c>
    </row>
    <row r="128" spans="1:24">
      <c r="A128" s="12" t="s">
        <v>450</v>
      </c>
      <c r="B128" s="12" t="s">
        <v>451</v>
      </c>
      <c r="C128" s="12" t="s">
        <v>75</v>
      </c>
      <c r="D128" s="12" t="s">
        <v>135</v>
      </c>
      <c r="E128" s="12" t="s">
        <v>131</v>
      </c>
      <c r="F128" s="13">
        <v>687.08</v>
      </c>
      <c r="G128" s="13">
        <v>10.3</v>
      </c>
      <c r="H128" s="13">
        <v>616.34</v>
      </c>
      <c r="I128" s="13">
        <v>3.9</v>
      </c>
      <c r="J128" s="13">
        <v>31</v>
      </c>
      <c r="K128" s="13">
        <v>416</v>
      </c>
      <c r="L128" s="12" t="s">
        <v>452</v>
      </c>
      <c r="M128" s="12">
        <v>3.1</v>
      </c>
      <c r="N128" s="14">
        <v>45753</v>
      </c>
      <c r="O128" s="13">
        <v>1</v>
      </c>
      <c r="P128" s="12" t="s">
        <v>54</v>
      </c>
      <c r="Q128" s="12" t="s">
        <v>55</v>
      </c>
      <c r="R128" s="12" t="s">
        <v>47</v>
      </c>
      <c r="S128" s="12" t="b">
        <v>0</v>
      </c>
      <c r="T128" s="12" t="s">
        <v>62</v>
      </c>
      <c r="U128" s="15">
        <f t="shared" si="4"/>
        <v>70.769239999999996</v>
      </c>
      <c r="V128" s="15">
        <f t="shared" si="5"/>
        <v>274.83199999999999</v>
      </c>
      <c r="W128" s="15">
        <f t="shared" si="6"/>
        <v>92.450999999999993</v>
      </c>
      <c r="X128" s="15">
        <f t="shared" si="7"/>
        <v>249.05699999999999</v>
      </c>
    </row>
    <row r="129" spans="1:24">
      <c r="A129" s="12" t="s">
        <v>453</v>
      </c>
      <c r="B129" s="12" t="s">
        <v>454</v>
      </c>
      <c r="C129" s="12" t="s">
        <v>26</v>
      </c>
      <c r="D129" s="12" t="s">
        <v>313</v>
      </c>
      <c r="E129" s="12" t="s">
        <v>92</v>
      </c>
      <c r="F129" s="13">
        <v>44129.75</v>
      </c>
      <c r="G129" s="13">
        <v>10.02</v>
      </c>
      <c r="H129" s="13">
        <v>39706.19</v>
      </c>
      <c r="I129" s="13">
        <v>4.3</v>
      </c>
      <c r="J129" s="13">
        <v>22</v>
      </c>
      <c r="K129" s="13">
        <v>408</v>
      </c>
      <c r="L129" s="12" t="s">
        <v>455</v>
      </c>
      <c r="M129" s="12">
        <v>4.3</v>
      </c>
      <c r="N129" s="14">
        <v>45997</v>
      </c>
      <c r="O129" s="13">
        <v>1</v>
      </c>
      <c r="P129" s="12" t="s">
        <v>54</v>
      </c>
      <c r="Q129" s="12" t="s">
        <v>46</v>
      </c>
      <c r="R129" s="12" t="s">
        <v>32</v>
      </c>
      <c r="S129" s="12" t="b">
        <v>0</v>
      </c>
      <c r="T129" s="12" t="s">
        <v>78</v>
      </c>
      <c r="U129" s="15">
        <f t="shared" si="4"/>
        <v>4421.8009499999998</v>
      </c>
      <c r="V129" s="15">
        <f t="shared" si="5"/>
        <v>17651.900000000001</v>
      </c>
      <c r="W129" s="15">
        <f t="shared" si="6"/>
        <v>5955.9285</v>
      </c>
      <c r="X129" s="15">
        <f t="shared" si="7"/>
        <v>16098.361500000001</v>
      </c>
    </row>
    <row r="130" spans="1:24">
      <c r="A130" s="12" t="s">
        <v>456</v>
      </c>
      <c r="B130" s="12" t="s">
        <v>457</v>
      </c>
      <c r="C130" s="12" t="s">
        <v>26</v>
      </c>
      <c r="D130" s="12" t="s">
        <v>313</v>
      </c>
      <c r="E130" s="12" t="s">
        <v>70</v>
      </c>
      <c r="F130" s="13">
        <v>16712.29</v>
      </c>
      <c r="G130" s="13">
        <v>39.25</v>
      </c>
      <c r="H130" s="13">
        <v>10152.370000000001</v>
      </c>
      <c r="I130" s="13">
        <v>3.9</v>
      </c>
      <c r="J130" s="13">
        <v>19</v>
      </c>
      <c r="K130" s="13">
        <v>89</v>
      </c>
      <c r="L130" s="12" t="s">
        <v>458</v>
      </c>
      <c r="M130" s="12">
        <v>4.7</v>
      </c>
      <c r="N130" s="14">
        <v>45525</v>
      </c>
      <c r="O130" s="13">
        <v>2</v>
      </c>
      <c r="P130" s="12" t="s">
        <v>45</v>
      </c>
      <c r="Q130" s="12" t="s">
        <v>46</v>
      </c>
      <c r="R130" s="12" t="s">
        <v>47</v>
      </c>
      <c r="S130" s="12" t="b">
        <v>0</v>
      </c>
      <c r="T130" s="12" t="s">
        <v>62</v>
      </c>
      <c r="U130" s="15">
        <f t="shared" si="4"/>
        <v>6559.5738250000004</v>
      </c>
      <c r="V130" s="15">
        <f t="shared" si="5"/>
        <v>6684.9160000000002</v>
      </c>
      <c r="W130" s="15">
        <f t="shared" si="6"/>
        <v>1522.8554999999999</v>
      </c>
      <c r="X130" s="15">
        <f t="shared" si="7"/>
        <v>1944.5985000000001</v>
      </c>
    </row>
    <row r="131" spans="1:24">
      <c r="A131" s="12" t="s">
        <v>459</v>
      </c>
      <c r="B131" s="12" t="s">
        <v>460</v>
      </c>
      <c r="C131" s="12" t="s">
        <v>50</v>
      </c>
      <c r="D131" s="12" t="s">
        <v>213</v>
      </c>
      <c r="E131" s="12" t="s">
        <v>84</v>
      </c>
      <c r="F131" s="13">
        <v>3509.73</v>
      </c>
      <c r="G131" s="13">
        <v>14.71</v>
      </c>
      <c r="H131" s="13">
        <v>2993.61</v>
      </c>
      <c r="I131" s="13">
        <v>3.3</v>
      </c>
      <c r="J131" s="13">
        <v>102</v>
      </c>
      <c r="K131" s="13">
        <v>398</v>
      </c>
      <c r="L131" s="12" t="s">
        <v>461</v>
      </c>
      <c r="M131" s="12">
        <v>3.4</v>
      </c>
      <c r="N131" s="14">
        <v>45450</v>
      </c>
      <c r="O131" s="13">
        <v>4</v>
      </c>
      <c r="P131" s="12" t="s">
        <v>40</v>
      </c>
      <c r="Q131" s="12" t="s">
        <v>31</v>
      </c>
      <c r="R131" s="12" t="s">
        <v>32</v>
      </c>
      <c r="S131" s="12" t="b">
        <v>0</v>
      </c>
      <c r="T131" s="12" t="s">
        <v>56</v>
      </c>
      <c r="U131" s="15">
        <f t="shared" ref="U131:U194" si="8">F131*(G131/100)</f>
        <v>516.28128300000003</v>
      </c>
      <c r="V131" s="15">
        <f t="shared" ref="V131:V194" si="9">F131*0.4</f>
        <v>1403.8920000000001</v>
      </c>
      <c r="W131" s="15">
        <f t="shared" ref="W131:W194" si="10">H131*0.15</f>
        <v>449.04149999999998</v>
      </c>
      <c r="X131" s="15">
        <f t="shared" ref="X131:X194" si="11">H131-V131-W131</f>
        <v>1140.6765</v>
      </c>
    </row>
    <row r="132" spans="1:24">
      <c r="A132" s="12" t="s">
        <v>462</v>
      </c>
      <c r="B132" s="12" t="s">
        <v>463</v>
      </c>
      <c r="C132" s="12" t="s">
        <v>36</v>
      </c>
      <c r="D132" s="12" t="s">
        <v>43</v>
      </c>
      <c r="E132" s="12" t="s">
        <v>65</v>
      </c>
      <c r="F132" s="13">
        <v>14903.39</v>
      </c>
      <c r="G132" s="13">
        <v>38.86</v>
      </c>
      <c r="H132" s="13">
        <v>9112.0400000000009</v>
      </c>
      <c r="I132" s="13">
        <v>3.8</v>
      </c>
      <c r="J132" s="13">
        <v>12</v>
      </c>
      <c r="K132" s="13">
        <v>266</v>
      </c>
      <c r="L132" s="12" t="s">
        <v>464</v>
      </c>
      <c r="M132" s="12">
        <v>3.5</v>
      </c>
      <c r="N132" s="14">
        <v>45941</v>
      </c>
      <c r="O132" s="13">
        <v>2</v>
      </c>
      <c r="P132" s="12" t="s">
        <v>40</v>
      </c>
      <c r="Q132" s="12" t="s">
        <v>55</v>
      </c>
      <c r="R132" s="12" t="s">
        <v>32</v>
      </c>
      <c r="S132" s="12" t="b">
        <v>0</v>
      </c>
      <c r="T132" s="12" t="s">
        <v>78</v>
      </c>
      <c r="U132" s="15">
        <f t="shared" si="8"/>
        <v>5791.4573540000001</v>
      </c>
      <c r="V132" s="15">
        <f t="shared" si="9"/>
        <v>5961.3559999999998</v>
      </c>
      <c r="W132" s="15">
        <f t="shared" si="10"/>
        <v>1366.806</v>
      </c>
      <c r="X132" s="15">
        <f t="shared" si="11"/>
        <v>1783.8779999999999</v>
      </c>
    </row>
    <row r="133" spans="1:24">
      <c r="A133" s="12" t="s">
        <v>465</v>
      </c>
      <c r="B133" s="12" t="s">
        <v>466</v>
      </c>
      <c r="C133" s="12" t="s">
        <v>50</v>
      </c>
      <c r="D133" s="12" t="s">
        <v>51</v>
      </c>
      <c r="E133" s="12" t="s">
        <v>96</v>
      </c>
      <c r="F133" s="13">
        <v>3858.97</v>
      </c>
      <c r="G133" s="13">
        <v>24.6</v>
      </c>
      <c r="H133" s="13">
        <v>2909.62</v>
      </c>
      <c r="I133" s="13">
        <v>3.8</v>
      </c>
      <c r="J133" s="13">
        <v>22</v>
      </c>
      <c r="K133" s="13">
        <v>37</v>
      </c>
      <c r="L133" s="12" t="s">
        <v>467</v>
      </c>
      <c r="M133" s="12">
        <v>3.3</v>
      </c>
      <c r="N133" s="14">
        <v>45874</v>
      </c>
      <c r="O133" s="13">
        <v>5</v>
      </c>
      <c r="P133" s="12" t="s">
        <v>40</v>
      </c>
      <c r="Q133" s="12" t="s">
        <v>55</v>
      </c>
      <c r="R133" s="12" t="s">
        <v>47</v>
      </c>
      <c r="S133" s="12" t="b">
        <v>0</v>
      </c>
      <c r="T133" s="12" t="s">
        <v>78</v>
      </c>
      <c r="U133" s="15">
        <f t="shared" si="8"/>
        <v>949.30661999999995</v>
      </c>
      <c r="V133" s="15">
        <f t="shared" si="9"/>
        <v>1543.588</v>
      </c>
      <c r="W133" s="15">
        <f t="shared" si="10"/>
        <v>436.44299999999998</v>
      </c>
      <c r="X133" s="15">
        <f t="shared" si="11"/>
        <v>929.58900000000006</v>
      </c>
    </row>
    <row r="134" spans="1:24">
      <c r="A134" s="12" t="s">
        <v>468</v>
      </c>
      <c r="B134" s="12" t="s">
        <v>469</v>
      </c>
      <c r="C134" s="12" t="s">
        <v>75</v>
      </c>
      <c r="D134" s="12" t="s">
        <v>104</v>
      </c>
      <c r="E134" s="12" t="s">
        <v>65</v>
      </c>
      <c r="F134" s="13">
        <v>3244.24</v>
      </c>
      <c r="G134" s="13">
        <v>45.79</v>
      </c>
      <c r="H134" s="13">
        <v>1758.73</v>
      </c>
      <c r="I134" s="13">
        <v>2.8</v>
      </c>
      <c r="J134" s="13">
        <v>117</v>
      </c>
      <c r="K134" s="13">
        <v>195</v>
      </c>
      <c r="L134" s="12" t="s">
        <v>470</v>
      </c>
      <c r="M134" s="12">
        <v>4</v>
      </c>
      <c r="N134" s="14">
        <v>45702</v>
      </c>
      <c r="O134" s="13">
        <v>6</v>
      </c>
      <c r="P134" s="12" t="s">
        <v>45</v>
      </c>
      <c r="Q134" s="12" t="s">
        <v>55</v>
      </c>
      <c r="R134" s="12" t="s">
        <v>86</v>
      </c>
      <c r="S134" s="12" t="b">
        <v>1</v>
      </c>
      <c r="T134" s="12" t="s">
        <v>33</v>
      </c>
      <c r="U134" s="15">
        <f t="shared" si="8"/>
        <v>1485.5374959999999</v>
      </c>
      <c r="V134" s="15">
        <f t="shared" si="9"/>
        <v>1297.6959999999999</v>
      </c>
      <c r="W134" s="15">
        <f t="shared" si="10"/>
        <v>263.80950000000001</v>
      </c>
      <c r="X134" s="15">
        <f t="shared" si="11"/>
        <v>197.22450000000001</v>
      </c>
    </row>
    <row r="135" spans="1:24">
      <c r="A135" s="12" t="s">
        <v>471</v>
      </c>
      <c r="B135" s="12" t="s">
        <v>472</v>
      </c>
      <c r="C135" s="12" t="s">
        <v>36</v>
      </c>
      <c r="D135" s="12" t="s">
        <v>108</v>
      </c>
      <c r="E135" s="12" t="s">
        <v>96</v>
      </c>
      <c r="F135" s="13">
        <v>13018.34</v>
      </c>
      <c r="G135" s="13">
        <v>28.36</v>
      </c>
      <c r="H135" s="13">
        <v>9326.51</v>
      </c>
      <c r="I135" s="13">
        <v>3.7</v>
      </c>
      <c r="J135" s="13">
        <v>19</v>
      </c>
      <c r="K135" s="13">
        <v>436</v>
      </c>
      <c r="L135" s="12" t="s">
        <v>473</v>
      </c>
      <c r="M135" s="12">
        <v>2.9</v>
      </c>
      <c r="N135" s="14">
        <v>45476</v>
      </c>
      <c r="O135" s="13">
        <v>1</v>
      </c>
      <c r="P135" s="12" t="s">
        <v>40</v>
      </c>
      <c r="Q135" s="12" t="s">
        <v>55</v>
      </c>
      <c r="R135" s="12" t="s">
        <v>86</v>
      </c>
      <c r="S135" s="12" t="b">
        <v>0</v>
      </c>
      <c r="T135" s="12" t="s">
        <v>78</v>
      </c>
      <c r="U135" s="15">
        <f t="shared" si="8"/>
        <v>3692.0012240000001</v>
      </c>
      <c r="V135" s="15">
        <f t="shared" si="9"/>
        <v>5207.3360000000002</v>
      </c>
      <c r="W135" s="15">
        <f t="shared" si="10"/>
        <v>1398.9765</v>
      </c>
      <c r="X135" s="15">
        <f t="shared" si="11"/>
        <v>2720.1975000000002</v>
      </c>
    </row>
    <row r="136" spans="1:24">
      <c r="A136" s="12" t="s">
        <v>474</v>
      </c>
      <c r="B136" s="12" t="s">
        <v>475</v>
      </c>
      <c r="C136" s="12" t="s">
        <v>50</v>
      </c>
      <c r="D136" s="12" t="s">
        <v>51</v>
      </c>
      <c r="E136" s="12" t="s">
        <v>235</v>
      </c>
      <c r="F136" s="13">
        <v>2092.9499999999998</v>
      </c>
      <c r="G136" s="13">
        <v>38.61</v>
      </c>
      <c r="H136" s="13">
        <v>1284.8699999999999</v>
      </c>
      <c r="I136" s="13">
        <v>3.9</v>
      </c>
      <c r="J136" s="13">
        <v>124</v>
      </c>
      <c r="K136" s="13">
        <v>160</v>
      </c>
      <c r="L136" s="12" t="s">
        <v>476</v>
      </c>
      <c r="M136" s="12">
        <v>2.5</v>
      </c>
      <c r="N136" s="14">
        <v>46020</v>
      </c>
      <c r="O136" s="13">
        <v>5</v>
      </c>
      <c r="P136" s="12" t="s">
        <v>117</v>
      </c>
      <c r="Q136" s="12" t="s">
        <v>55</v>
      </c>
      <c r="R136" s="12" t="s">
        <v>72</v>
      </c>
      <c r="S136" s="12" t="b">
        <v>0</v>
      </c>
      <c r="T136" s="12" t="s">
        <v>56</v>
      </c>
      <c r="U136" s="15">
        <f t="shared" si="8"/>
        <v>808.08799499999998</v>
      </c>
      <c r="V136" s="15">
        <f t="shared" si="9"/>
        <v>837.18</v>
      </c>
      <c r="W136" s="15">
        <f t="shared" si="10"/>
        <v>192.73050000000001</v>
      </c>
      <c r="X136" s="15">
        <f t="shared" si="11"/>
        <v>254.95949999999999</v>
      </c>
    </row>
    <row r="137" spans="1:24">
      <c r="A137" s="12" t="s">
        <v>477</v>
      </c>
      <c r="B137" s="12" t="s">
        <v>478</v>
      </c>
      <c r="C137" s="12" t="s">
        <v>75</v>
      </c>
      <c r="D137" s="12" t="s">
        <v>76</v>
      </c>
      <c r="E137" s="12" t="s">
        <v>235</v>
      </c>
      <c r="F137" s="13">
        <v>4541.1400000000003</v>
      </c>
      <c r="G137" s="13">
        <v>66.069999999999993</v>
      </c>
      <c r="H137" s="13">
        <v>1540.98</v>
      </c>
      <c r="I137" s="13">
        <v>3.5</v>
      </c>
      <c r="J137" s="13">
        <v>15</v>
      </c>
      <c r="K137" s="13">
        <v>47</v>
      </c>
      <c r="L137" s="12" t="s">
        <v>479</v>
      </c>
      <c r="M137" s="12">
        <v>3.8</v>
      </c>
      <c r="N137" s="14">
        <v>45888</v>
      </c>
      <c r="O137" s="13">
        <v>4</v>
      </c>
      <c r="P137" s="12" t="s">
        <v>40</v>
      </c>
      <c r="Q137" s="12" t="s">
        <v>46</v>
      </c>
      <c r="R137" s="12" t="s">
        <v>72</v>
      </c>
      <c r="S137" s="12" t="b">
        <v>0</v>
      </c>
      <c r="T137" s="12" t="s">
        <v>78</v>
      </c>
      <c r="U137" s="15">
        <f t="shared" si="8"/>
        <v>3000.3311979999999</v>
      </c>
      <c r="V137" s="15">
        <f t="shared" si="9"/>
        <v>1816.4559999999999</v>
      </c>
      <c r="W137" s="15">
        <f t="shared" si="10"/>
        <v>231.14699999999999</v>
      </c>
      <c r="X137" s="15">
        <f t="shared" si="11"/>
        <v>-506.62299999999999</v>
      </c>
    </row>
    <row r="138" spans="1:24">
      <c r="A138" s="12" t="s">
        <v>480</v>
      </c>
      <c r="B138" s="12" t="s">
        <v>481</v>
      </c>
      <c r="C138" s="12" t="s">
        <v>36</v>
      </c>
      <c r="D138" s="12" t="s">
        <v>43</v>
      </c>
      <c r="E138" s="12" t="s">
        <v>65</v>
      </c>
      <c r="F138" s="13">
        <v>1799.58</v>
      </c>
      <c r="G138" s="13">
        <v>37.29</v>
      </c>
      <c r="H138" s="13">
        <v>1128.45</v>
      </c>
      <c r="I138" s="13">
        <v>4</v>
      </c>
      <c r="J138" s="13">
        <v>18</v>
      </c>
      <c r="K138" s="13">
        <v>343</v>
      </c>
      <c r="L138" s="12" t="s">
        <v>482</v>
      </c>
      <c r="M138" s="12">
        <v>3</v>
      </c>
      <c r="N138" s="14">
        <v>45785</v>
      </c>
      <c r="O138" s="13">
        <v>2</v>
      </c>
      <c r="P138" s="12" t="s">
        <v>45</v>
      </c>
      <c r="Q138" s="12" t="s">
        <v>55</v>
      </c>
      <c r="R138" s="12" t="s">
        <v>72</v>
      </c>
      <c r="S138" s="12" t="b">
        <v>0</v>
      </c>
      <c r="T138" s="12" t="s">
        <v>62</v>
      </c>
      <c r="U138" s="15">
        <f t="shared" si="8"/>
        <v>671.06338200000005</v>
      </c>
      <c r="V138" s="15">
        <f t="shared" si="9"/>
        <v>719.83199999999999</v>
      </c>
      <c r="W138" s="15">
        <f t="shared" si="10"/>
        <v>169.26750000000001</v>
      </c>
      <c r="X138" s="15">
        <f t="shared" si="11"/>
        <v>239.35050000000001</v>
      </c>
    </row>
    <row r="139" spans="1:24">
      <c r="A139" s="12" t="s">
        <v>483</v>
      </c>
      <c r="B139" s="12" t="s">
        <v>484</v>
      </c>
      <c r="C139" s="12" t="s">
        <v>50</v>
      </c>
      <c r="D139" s="12" t="s">
        <v>213</v>
      </c>
      <c r="E139" s="12" t="s">
        <v>38</v>
      </c>
      <c r="F139" s="13">
        <v>3603.42</v>
      </c>
      <c r="G139" s="13">
        <v>30.53</v>
      </c>
      <c r="H139" s="13">
        <v>2503.33</v>
      </c>
      <c r="I139" s="13">
        <v>4.5</v>
      </c>
      <c r="J139" s="13">
        <v>18</v>
      </c>
      <c r="K139" s="13">
        <v>180</v>
      </c>
      <c r="L139" s="12" t="s">
        <v>485</v>
      </c>
      <c r="M139" s="12">
        <v>3.8</v>
      </c>
      <c r="N139" s="14">
        <v>46062</v>
      </c>
      <c r="O139" s="13">
        <v>1</v>
      </c>
      <c r="P139" s="12" t="s">
        <v>30</v>
      </c>
      <c r="Q139" s="12" t="s">
        <v>31</v>
      </c>
      <c r="R139" s="12" t="s">
        <v>47</v>
      </c>
      <c r="S139" s="12" t="b">
        <v>0</v>
      </c>
      <c r="T139" s="12" t="s">
        <v>78</v>
      </c>
      <c r="U139" s="15">
        <f t="shared" si="8"/>
        <v>1100.1241259999999</v>
      </c>
      <c r="V139" s="15">
        <f t="shared" si="9"/>
        <v>1441.3679999999999</v>
      </c>
      <c r="W139" s="15">
        <f t="shared" si="10"/>
        <v>375.49950000000001</v>
      </c>
      <c r="X139" s="15">
        <f t="shared" si="11"/>
        <v>686.46249999999998</v>
      </c>
    </row>
    <row r="140" spans="1:24">
      <c r="A140" s="12" t="s">
        <v>486</v>
      </c>
      <c r="B140" s="12" t="s">
        <v>487</v>
      </c>
      <c r="C140" s="12" t="s">
        <v>50</v>
      </c>
      <c r="D140" s="12" t="s">
        <v>130</v>
      </c>
      <c r="E140" s="12" t="s">
        <v>84</v>
      </c>
      <c r="F140" s="13">
        <v>2672.84</v>
      </c>
      <c r="G140" s="13">
        <v>40.72</v>
      </c>
      <c r="H140" s="13">
        <v>1584.5</v>
      </c>
      <c r="I140" s="13">
        <v>3.3</v>
      </c>
      <c r="J140" s="13">
        <v>32</v>
      </c>
      <c r="K140" s="13">
        <v>188</v>
      </c>
      <c r="L140" s="12" t="s">
        <v>488</v>
      </c>
      <c r="M140" s="12">
        <v>4.8</v>
      </c>
      <c r="N140" s="14">
        <v>45709</v>
      </c>
      <c r="O140" s="13">
        <v>1</v>
      </c>
      <c r="P140" s="12" t="s">
        <v>30</v>
      </c>
      <c r="Q140" s="12" t="s">
        <v>55</v>
      </c>
      <c r="R140" s="12" t="s">
        <v>47</v>
      </c>
      <c r="S140" s="12" t="b">
        <v>0</v>
      </c>
      <c r="T140" s="12" t="s">
        <v>56</v>
      </c>
      <c r="U140" s="15">
        <f t="shared" si="8"/>
        <v>1088.3804479999999</v>
      </c>
      <c r="V140" s="15">
        <f t="shared" si="9"/>
        <v>1069.136</v>
      </c>
      <c r="W140" s="15">
        <f t="shared" si="10"/>
        <v>237.67500000000001</v>
      </c>
      <c r="X140" s="15">
        <f t="shared" si="11"/>
        <v>277.68900000000002</v>
      </c>
    </row>
    <row r="141" spans="1:24">
      <c r="A141" s="12" t="s">
        <v>489</v>
      </c>
      <c r="B141" s="12" t="s">
        <v>490</v>
      </c>
      <c r="C141" s="12" t="s">
        <v>36</v>
      </c>
      <c r="D141" s="12" t="s">
        <v>108</v>
      </c>
      <c r="E141" s="12" t="s">
        <v>65</v>
      </c>
      <c r="F141" s="13">
        <v>12427.91</v>
      </c>
      <c r="G141" s="13">
        <v>24.07</v>
      </c>
      <c r="H141" s="13">
        <v>9436.73</v>
      </c>
      <c r="I141" s="13">
        <v>3.6</v>
      </c>
      <c r="J141" s="13">
        <v>26</v>
      </c>
      <c r="K141" s="13">
        <v>475</v>
      </c>
      <c r="L141" s="12" t="s">
        <v>491</v>
      </c>
      <c r="M141" s="12">
        <v>3.6</v>
      </c>
      <c r="N141" s="14">
        <v>46007</v>
      </c>
      <c r="O141" s="13">
        <v>4</v>
      </c>
      <c r="P141" s="12" t="s">
        <v>45</v>
      </c>
      <c r="Q141" s="12" t="s">
        <v>46</v>
      </c>
      <c r="R141" s="12" t="s">
        <v>47</v>
      </c>
      <c r="S141" s="12" t="b">
        <v>0</v>
      </c>
      <c r="T141" s="12" t="s">
        <v>56</v>
      </c>
      <c r="U141" s="15">
        <f t="shared" si="8"/>
        <v>2991.3979370000002</v>
      </c>
      <c r="V141" s="15">
        <f t="shared" si="9"/>
        <v>4971.1639999999998</v>
      </c>
      <c r="W141" s="15">
        <f t="shared" si="10"/>
        <v>1415.5094999999999</v>
      </c>
      <c r="X141" s="15">
        <f t="shared" si="11"/>
        <v>3050.0565000000001</v>
      </c>
    </row>
    <row r="142" spans="1:24">
      <c r="A142" s="12" t="s">
        <v>492</v>
      </c>
      <c r="B142" s="12" t="s">
        <v>493</v>
      </c>
      <c r="C142" s="12" t="s">
        <v>59</v>
      </c>
      <c r="D142" s="12" t="s">
        <v>170</v>
      </c>
      <c r="E142" s="12" t="s">
        <v>112</v>
      </c>
      <c r="F142" s="13">
        <v>17515.93</v>
      </c>
      <c r="G142" s="13">
        <v>13.03</v>
      </c>
      <c r="H142" s="13">
        <v>15233.59</v>
      </c>
      <c r="I142" s="13">
        <v>3.4</v>
      </c>
      <c r="J142" s="13">
        <v>9</v>
      </c>
      <c r="K142" s="13">
        <v>289</v>
      </c>
      <c r="L142" s="12" t="s">
        <v>494</v>
      </c>
      <c r="M142" s="12">
        <v>3.5</v>
      </c>
      <c r="N142" s="14">
        <v>45505</v>
      </c>
      <c r="O142" s="13">
        <v>2</v>
      </c>
      <c r="P142" s="12" t="s">
        <v>40</v>
      </c>
      <c r="Q142" s="12" t="s">
        <v>46</v>
      </c>
      <c r="R142" s="12" t="s">
        <v>47</v>
      </c>
      <c r="S142" s="12" t="b">
        <v>0</v>
      </c>
      <c r="T142" s="12" t="s">
        <v>62</v>
      </c>
      <c r="U142" s="15">
        <f t="shared" si="8"/>
        <v>2282.325679</v>
      </c>
      <c r="V142" s="15">
        <f t="shared" si="9"/>
        <v>7006.3720000000003</v>
      </c>
      <c r="W142" s="15">
        <f t="shared" si="10"/>
        <v>2285.0385000000001</v>
      </c>
      <c r="X142" s="15">
        <f t="shared" si="11"/>
        <v>5942.1795000000002</v>
      </c>
    </row>
    <row r="143" spans="1:24">
      <c r="A143" s="12" t="s">
        <v>495</v>
      </c>
      <c r="B143" s="12" t="s">
        <v>496</v>
      </c>
      <c r="C143" s="12" t="s">
        <v>26</v>
      </c>
      <c r="D143" s="12" t="s">
        <v>27</v>
      </c>
      <c r="E143" s="12" t="s">
        <v>28</v>
      </c>
      <c r="F143" s="13">
        <v>49585.73</v>
      </c>
      <c r="G143" s="13">
        <v>19.149999999999999</v>
      </c>
      <c r="H143" s="13">
        <v>40089.49</v>
      </c>
      <c r="I143" s="13">
        <v>5</v>
      </c>
      <c r="J143" s="13">
        <v>11</v>
      </c>
      <c r="K143" s="13">
        <v>214</v>
      </c>
      <c r="L143" s="12" t="s">
        <v>497</v>
      </c>
      <c r="M143" s="12">
        <v>3.4</v>
      </c>
      <c r="N143" s="14">
        <v>45979</v>
      </c>
      <c r="O143" s="13">
        <v>1</v>
      </c>
      <c r="P143" s="12" t="s">
        <v>45</v>
      </c>
      <c r="Q143" s="12" t="s">
        <v>55</v>
      </c>
      <c r="R143" s="12" t="s">
        <v>47</v>
      </c>
      <c r="S143" s="12" t="b">
        <v>1</v>
      </c>
      <c r="T143" s="12" t="s">
        <v>33</v>
      </c>
      <c r="U143" s="15">
        <f t="shared" si="8"/>
        <v>9495.6672949999993</v>
      </c>
      <c r="V143" s="15">
        <f t="shared" si="9"/>
        <v>19834.292000000001</v>
      </c>
      <c r="W143" s="15">
        <f t="shared" si="10"/>
        <v>6013.4234999999999</v>
      </c>
      <c r="X143" s="15">
        <f t="shared" si="11"/>
        <v>14241.7745</v>
      </c>
    </row>
    <row r="144" spans="1:24">
      <c r="A144" s="12" t="s">
        <v>498</v>
      </c>
      <c r="B144" s="12" t="s">
        <v>499</v>
      </c>
      <c r="C144" s="12" t="s">
        <v>59</v>
      </c>
      <c r="D144" s="12" t="s">
        <v>170</v>
      </c>
      <c r="E144" s="12" t="s">
        <v>28</v>
      </c>
      <c r="F144" s="13">
        <v>7407.32</v>
      </c>
      <c r="G144" s="13">
        <v>16.920000000000002</v>
      </c>
      <c r="H144" s="13">
        <v>6153.98</v>
      </c>
      <c r="I144" s="13">
        <v>4.4000000000000004</v>
      </c>
      <c r="J144" s="13">
        <v>111</v>
      </c>
      <c r="K144" s="13">
        <v>305</v>
      </c>
      <c r="L144" s="12" t="s">
        <v>500</v>
      </c>
      <c r="M144" s="12">
        <v>3.1</v>
      </c>
      <c r="N144" s="14">
        <v>45543</v>
      </c>
      <c r="O144" s="13">
        <v>1</v>
      </c>
      <c r="P144" s="12" t="s">
        <v>30</v>
      </c>
      <c r="Q144" s="12" t="s">
        <v>46</v>
      </c>
      <c r="R144" s="12" t="s">
        <v>47</v>
      </c>
      <c r="S144" s="12" t="b">
        <v>0</v>
      </c>
      <c r="T144" s="12" t="s">
        <v>78</v>
      </c>
      <c r="U144" s="15">
        <f t="shared" si="8"/>
        <v>1253.318544</v>
      </c>
      <c r="V144" s="15">
        <f t="shared" si="9"/>
        <v>2962.9279999999999</v>
      </c>
      <c r="W144" s="15">
        <f t="shared" si="10"/>
        <v>923.09699999999998</v>
      </c>
      <c r="X144" s="15">
        <f t="shared" si="11"/>
        <v>2267.9549999999999</v>
      </c>
    </row>
    <row r="145" spans="1:24">
      <c r="A145" s="12" t="s">
        <v>501</v>
      </c>
      <c r="B145" s="12" t="s">
        <v>502</v>
      </c>
      <c r="C145" s="12" t="s">
        <v>36</v>
      </c>
      <c r="D145" s="12" t="s">
        <v>43</v>
      </c>
      <c r="E145" s="12" t="s">
        <v>100</v>
      </c>
      <c r="F145" s="13">
        <v>12105.17</v>
      </c>
      <c r="G145" s="13">
        <v>15.52</v>
      </c>
      <c r="H145" s="13">
        <v>10226.81</v>
      </c>
      <c r="I145" s="13">
        <v>4.4000000000000004</v>
      </c>
      <c r="J145" s="13">
        <v>22</v>
      </c>
      <c r="K145" s="13">
        <v>338</v>
      </c>
      <c r="L145" s="12" t="s">
        <v>503</v>
      </c>
      <c r="M145" s="12">
        <v>3.1</v>
      </c>
      <c r="N145" s="14">
        <v>46062</v>
      </c>
      <c r="O145" s="13">
        <v>1</v>
      </c>
      <c r="P145" s="12" t="s">
        <v>40</v>
      </c>
      <c r="Q145" s="12" t="s">
        <v>55</v>
      </c>
      <c r="R145" s="12" t="s">
        <v>86</v>
      </c>
      <c r="S145" s="12" t="b">
        <v>0</v>
      </c>
      <c r="T145" s="12" t="s">
        <v>56</v>
      </c>
      <c r="U145" s="15">
        <f t="shared" si="8"/>
        <v>1878.7223839999999</v>
      </c>
      <c r="V145" s="15">
        <f t="shared" si="9"/>
        <v>4842.0680000000002</v>
      </c>
      <c r="W145" s="15">
        <f t="shared" si="10"/>
        <v>1534.0215000000001</v>
      </c>
      <c r="X145" s="15">
        <f t="shared" si="11"/>
        <v>3850.7204999999999</v>
      </c>
    </row>
    <row r="146" spans="1:24">
      <c r="A146" s="12" t="s">
        <v>504</v>
      </c>
      <c r="B146" s="12" t="s">
        <v>505</v>
      </c>
      <c r="C146" s="12" t="s">
        <v>59</v>
      </c>
      <c r="D146" s="12" t="s">
        <v>69</v>
      </c>
      <c r="E146" s="12" t="s">
        <v>131</v>
      </c>
      <c r="F146" s="13">
        <v>1994.44</v>
      </c>
      <c r="G146" s="13">
        <v>49.8</v>
      </c>
      <c r="H146" s="13">
        <v>1001.28</v>
      </c>
      <c r="I146" s="13">
        <v>2.8</v>
      </c>
      <c r="J146" s="13">
        <v>10</v>
      </c>
      <c r="K146" s="13">
        <v>56</v>
      </c>
      <c r="L146" s="12" t="s">
        <v>506</v>
      </c>
      <c r="M146" s="12">
        <v>4.9000000000000004</v>
      </c>
      <c r="N146" s="14">
        <v>45579</v>
      </c>
      <c r="O146" s="13">
        <v>5</v>
      </c>
      <c r="P146" s="12" t="s">
        <v>40</v>
      </c>
      <c r="Q146" s="12" t="s">
        <v>31</v>
      </c>
      <c r="R146" s="12" t="s">
        <v>86</v>
      </c>
      <c r="S146" s="12" t="b">
        <v>0</v>
      </c>
      <c r="T146" s="12" t="s">
        <v>62</v>
      </c>
      <c r="U146" s="15">
        <f t="shared" si="8"/>
        <v>993.23112000000003</v>
      </c>
      <c r="V146" s="15">
        <f t="shared" si="9"/>
        <v>797.77599999999995</v>
      </c>
      <c r="W146" s="15">
        <f t="shared" si="10"/>
        <v>150.19200000000001</v>
      </c>
      <c r="X146" s="15">
        <f t="shared" si="11"/>
        <v>53.311999999999898</v>
      </c>
    </row>
    <row r="147" spans="1:24">
      <c r="A147" s="12" t="s">
        <v>507</v>
      </c>
      <c r="B147" s="12" t="s">
        <v>508</v>
      </c>
      <c r="C147" s="12" t="s">
        <v>59</v>
      </c>
      <c r="D147" s="12" t="s">
        <v>69</v>
      </c>
      <c r="E147" s="12" t="s">
        <v>70</v>
      </c>
      <c r="F147" s="13">
        <v>4817.74</v>
      </c>
      <c r="G147" s="13">
        <v>25.27</v>
      </c>
      <c r="H147" s="13">
        <v>3600.46</v>
      </c>
      <c r="I147" s="13">
        <v>3.5</v>
      </c>
      <c r="J147" s="13">
        <v>69</v>
      </c>
      <c r="K147" s="13">
        <v>3</v>
      </c>
      <c r="L147" s="12" t="s">
        <v>509</v>
      </c>
      <c r="M147" s="12">
        <v>3.7</v>
      </c>
      <c r="N147" s="14">
        <v>45888</v>
      </c>
      <c r="O147" s="13">
        <v>4</v>
      </c>
      <c r="P147" s="12" t="s">
        <v>117</v>
      </c>
      <c r="Q147" s="12" t="s">
        <v>55</v>
      </c>
      <c r="R147" s="12" t="s">
        <v>47</v>
      </c>
      <c r="S147" s="12" t="b">
        <v>0</v>
      </c>
      <c r="T147" s="12" t="s">
        <v>78</v>
      </c>
      <c r="U147" s="15">
        <f t="shared" si="8"/>
        <v>1217.442898</v>
      </c>
      <c r="V147" s="15">
        <f t="shared" si="9"/>
        <v>1927.096</v>
      </c>
      <c r="W147" s="15">
        <f t="shared" si="10"/>
        <v>540.06899999999996</v>
      </c>
      <c r="X147" s="15">
        <f t="shared" si="11"/>
        <v>1133.2950000000001</v>
      </c>
    </row>
    <row r="148" spans="1:24">
      <c r="A148" s="12" t="s">
        <v>510</v>
      </c>
      <c r="B148" s="12" t="s">
        <v>511</v>
      </c>
      <c r="C148" s="12" t="s">
        <v>59</v>
      </c>
      <c r="D148" s="12" t="s">
        <v>170</v>
      </c>
      <c r="E148" s="12" t="s">
        <v>112</v>
      </c>
      <c r="F148" s="13">
        <v>19509.13</v>
      </c>
      <c r="G148" s="13">
        <v>39.590000000000003</v>
      </c>
      <c r="H148" s="13">
        <v>11786.05</v>
      </c>
      <c r="I148" s="13">
        <v>4.4000000000000004</v>
      </c>
      <c r="J148" s="13">
        <v>6</v>
      </c>
      <c r="K148" s="13">
        <v>382</v>
      </c>
      <c r="L148" s="12" t="s">
        <v>512</v>
      </c>
      <c r="M148" s="12">
        <v>2.7</v>
      </c>
      <c r="N148" s="14">
        <v>45448</v>
      </c>
      <c r="O148" s="13">
        <v>3</v>
      </c>
      <c r="P148" s="12" t="s">
        <v>40</v>
      </c>
      <c r="Q148" s="12" t="s">
        <v>46</v>
      </c>
      <c r="R148" s="12" t="s">
        <v>47</v>
      </c>
      <c r="S148" s="12" t="b">
        <v>0</v>
      </c>
      <c r="T148" s="12" t="s">
        <v>56</v>
      </c>
      <c r="U148" s="15">
        <f t="shared" si="8"/>
        <v>7723.6645669999998</v>
      </c>
      <c r="V148" s="15">
        <f t="shared" si="9"/>
        <v>7803.652</v>
      </c>
      <c r="W148" s="15">
        <f t="shared" si="10"/>
        <v>1767.9075</v>
      </c>
      <c r="X148" s="15">
        <f t="shared" si="11"/>
        <v>2214.4904999999999</v>
      </c>
    </row>
    <row r="149" spans="1:24">
      <c r="A149" s="12" t="s">
        <v>513</v>
      </c>
      <c r="B149" s="12" t="s">
        <v>514</v>
      </c>
      <c r="C149" s="12" t="s">
        <v>36</v>
      </c>
      <c r="D149" s="12" t="s">
        <v>108</v>
      </c>
      <c r="E149" s="12" t="s">
        <v>70</v>
      </c>
      <c r="F149" s="13">
        <v>10776.8</v>
      </c>
      <c r="G149" s="13">
        <v>6.63</v>
      </c>
      <c r="H149" s="13">
        <v>10062.6</v>
      </c>
      <c r="I149" s="13">
        <v>3.4</v>
      </c>
      <c r="J149" s="13">
        <v>8</v>
      </c>
      <c r="K149" s="13">
        <v>412</v>
      </c>
      <c r="L149" s="12" t="s">
        <v>515</v>
      </c>
      <c r="M149" s="12">
        <v>3.4</v>
      </c>
      <c r="N149" s="14">
        <v>45737</v>
      </c>
      <c r="O149" s="13">
        <v>2</v>
      </c>
      <c r="P149" s="12" t="s">
        <v>45</v>
      </c>
      <c r="Q149" s="12" t="s">
        <v>46</v>
      </c>
      <c r="R149" s="12" t="s">
        <v>86</v>
      </c>
      <c r="S149" s="12" t="b">
        <v>0</v>
      </c>
      <c r="T149" s="12" t="s">
        <v>62</v>
      </c>
      <c r="U149" s="15">
        <f t="shared" si="8"/>
        <v>714.50184000000002</v>
      </c>
      <c r="V149" s="15">
        <f t="shared" si="9"/>
        <v>4310.72</v>
      </c>
      <c r="W149" s="15">
        <f t="shared" si="10"/>
        <v>1509.39</v>
      </c>
      <c r="X149" s="15">
        <f t="shared" si="11"/>
        <v>4242.49</v>
      </c>
    </row>
    <row r="150" spans="1:24">
      <c r="A150" s="12" t="s">
        <v>516</v>
      </c>
      <c r="B150" s="12" t="s">
        <v>517</v>
      </c>
      <c r="C150" s="12" t="s">
        <v>26</v>
      </c>
      <c r="D150" s="12" t="s">
        <v>148</v>
      </c>
      <c r="E150" s="12" t="s">
        <v>38</v>
      </c>
      <c r="F150" s="13">
        <v>22929.15</v>
      </c>
      <c r="G150" s="13">
        <v>35.57</v>
      </c>
      <c r="H150" s="13">
        <v>14773.99</v>
      </c>
      <c r="I150" s="13">
        <v>4.3</v>
      </c>
      <c r="J150" s="13">
        <v>11</v>
      </c>
      <c r="K150" s="13">
        <v>294</v>
      </c>
      <c r="L150" s="12" t="s">
        <v>518</v>
      </c>
      <c r="M150" s="12">
        <v>3.5</v>
      </c>
      <c r="N150" s="14">
        <v>45460</v>
      </c>
      <c r="O150" s="13">
        <v>6</v>
      </c>
      <c r="P150" s="12" t="s">
        <v>117</v>
      </c>
      <c r="Q150" s="12" t="s">
        <v>31</v>
      </c>
      <c r="R150" s="12" t="s">
        <v>86</v>
      </c>
      <c r="S150" s="12" t="b">
        <v>0</v>
      </c>
      <c r="T150" s="12" t="s">
        <v>62</v>
      </c>
      <c r="U150" s="15">
        <f t="shared" si="8"/>
        <v>8155.898655</v>
      </c>
      <c r="V150" s="15">
        <f t="shared" si="9"/>
        <v>9171.66</v>
      </c>
      <c r="W150" s="15">
        <f t="shared" si="10"/>
        <v>2216.0985000000001</v>
      </c>
      <c r="X150" s="15">
        <f t="shared" si="11"/>
        <v>3386.2314999999999</v>
      </c>
    </row>
    <row r="151" spans="1:24">
      <c r="A151" s="12" t="s">
        <v>519</v>
      </c>
      <c r="B151" s="12" t="s">
        <v>520</v>
      </c>
      <c r="C151" s="12" t="s">
        <v>50</v>
      </c>
      <c r="D151" s="12" t="s">
        <v>51</v>
      </c>
      <c r="E151" s="12" t="s">
        <v>84</v>
      </c>
      <c r="F151" s="13">
        <v>3214.16</v>
      </c>
      <c r="G151" s="13">
        <v>28.96</v>
      </c>
      <c r="H151" s="13">
        <v>2283.29</v>
      </c>
      <c r="I151" s="13">
        <v>3.5</v>
      </c>
      <c r="J151" s="13">
        <v>30</v>
      </c>
      <c r="K151" s="13">
        <v>87</v>
      </c>
      <c r="L151" s="12" t="s">
        <v>521</v>
      </c>
      <c r="M151" s="12">
        <v>3.3</v>
      </c>
      <c r="N151" s="14">
        <v>45855</v>
      </c>
      <c r="O151" s="13">
        <v>4</v>
      </c>
      <c r="P151" s="12" t="s">
        <v>117</v>
      </c>
      <c r="Q151" s="12" t="s">
        <v>31</v>
      </c>
      <c r="R151" s="12" t="s">
        <v>72</v>
      </c>
      <c r="S151" s="12" t="b">
        <v>0</v>
      </c>
      <c r="T151" s="12" t="s">
        <v>78</v>
      </c>
      <c r="U151" s="15">
        <f t="shared" si="8"/>
        <v>930.82073600000001</v>
      </c>
      <c r="V151" s="15">
        <f t="shared" si="9"/>
        <v>1285.664</v>
      </c>
      <c r="W151" s="15">
        <f t="shared" si="10"/>
        <v>342.49349999999998</v>
      </c>
      <c r="X151" s="15">
        <f t="shared" si="11"/>
        <v>655.13250000000005</v>
      </c>
    </row>
    <row r="152" spans="1:24">
      <c r="A152" s="12" t="s">
        <v>522</v>
      </c>
      <c r="B152" s="12" t="s">
        <v>523</v>
      </c>
      <c r="C152" s="12" t="s">
        <v>50</v>
      </c>
      <c r="D152" s="12" t="s">
        <v>130</v>
      </c>
      <c r="E152" s="12" t="s">
        <v>70</v>
      </c>
      <c r="F152" s="13">
        <v>4795.1499999999996</v>
      </c>
      <c r="G152" s="13">
        <v>46.97</v>
      </c>
      <c r="H152" s="13">
        <v>2542.73</v>
      </c>
      <c r="I152" s="13">
        <v>3.5</v>
      </c>
      <c r="J152" s="13">
        <v>278</v>
      </c>
      <c r="K152" s="13">
        <v>268</v>
      </c>
      <c r="L152" s="12" t="s">
        <v>524</v>
      </c>
      <c r="M152" s="12">
        <v>3.7</v>
      </c>
      <c r="N152" s="14">
        <v>45640</v>
      </c>
      <c r="O152" s="13">
        <v>1</v>
      </c>
      <c r="P152" s="12" t="s">
        <v>117</v>
      </c>
      <c r="Q152" s="12" t="s">
        <v>55</v>
      </c>
      <c r="R152" s="12" t="s">
        <v>72</v>
      </c>
      <c r="S152" s="12" t="b">
        <v>0</v>
      </c>
      <c r="T152" s="12" t="s">
        <v>62</v>
      </c>
      <c r="U152" s="15">
        <f t="shared" si="8"/>
        <v>2252.2819549999999</v>
      </c>
      <c r="V152" s="15">
        <f t="shared" si="9"/>
        <v>1918.06</v>
      </c>
      <c r="W152" s="15">
        <f t="shared" si="10"/>
        <v>381.40949999999998</v>
      </c>
      <c r="X152" s="15">
        <f t="shared" si="11"/>
        <v>243.26050000000001</v>
      </c>
    </row>
    <row r="153" spans="1:24">
      <c r="A153" s="12" t="s">
        <v>525</v>
      </c>
      <c r="B153" s="12" t="s">
        <v>526</v>
      </c>
      <c r="C153" s="12" t="s">
        <v>59</v>
      </c>
      <c r="D153" s="12" t="s">
        <v>69</v>
      </c>
      <c r="E153" s="12" t="s">
        <v>112</v>
      </c>
      <c r="F153" s="13">
        <v>4321.93</v>
      </c>
      <c r="G153" s="13">
        <v>11.59</v>
      </c>
      <c r="H153" s="13">
        <v>3821.16</v>
      </c>
      <c r="I153" s="13">
        <v>3.5</v>
      </c>
      <c r="J153" s="13">
        <v>16</v>
      </c>
      <c r="K153" s="13">
        <v>324</v>
      </c>
      <c r="L153" s="12" t="s">
        <v>527</v>
      </c>
      <c r="M153" s="12">
        <v>3.1</v>
      </c>
      <c r="N153" s="14">
        <v>45413</v>
      </c>
      <c r="O153" s="13">
        <v>1</v>
      </c>
      <c r="P153" s="12" t="s">
        <v>54</v>
      </c>
      <c r="Q153" s="12" t="s">
        <v>31</v>
      </c>
      <c r="R153" s="12" t="s">
        <v>47</v>
      </c>
      <c r="S153" s="12" t="b">
        <v>0</v>
      </c>
      <c r="T153" s="12" t="s">
        <v>56</v>
      </c>
      <c r="U153" s="15">
        <f t="shared" si="8"/>
        <v>500.91168699999997</v>
      </c>
      <c r="V153" s="15">
        <f t="shared" si="9"/>
        <v>1728.7719999999999</v>
      </c>
      <c r="W153" s="15">
        <f t="shared" si="10"/>
        <v>573.17399999999998</v>
      </c>
      <c r="X153" s="15">
        <f t="shared" si="11"/>
        <v>1519.2139999999999</v>
      </c>
    </row>
    <row r="154" spans="1:24">
      <c r="A154" s="12" t="s">
        <v>528</v>
      </c>
      <c r="B154" s="12" t="s">
        <v>529</v>
      </c>
      <c r="C154" s="12" t="s">
        <v>59</v>
      </c>
      <c r="D154" s="12" t="s">
        <v>60</v>
      </c>
      <c r="E154" s="12" t="s">
        <v>100</v>
      </c>
      <c r="F154" s="13">
        <v>3318.67</v>
      </c>
      <c r="G154" s="13">
        <v>44.42</v>
      </c>
      <c r="H154" s="13">
        <v>1844.36</v>
      </c>
      <c r="I154" s="13">
        <v>4.2</v>
      </c>
      <c r="J154" s="13">
        <v>12</v>
      </c>
      <c r="K154" s="13">
        <v>74</v>
      </c>
      <c r="L154" s="12" t="s">
        <v>530</v>
      </c>
      <c r="M154" s="12">
        <v>4</v>
      </c>
      <c r="N154" s="14">
        <v>45889</v>
      </c>
      <c r="O154" s="13">
        <v>4</v>
      </c>
      <c r="P154" s="12" t="s">
        <v>54</v>
      </c>
      <c r="Q154" s="12" t="s">
        <v>46</v>
      </c>
      <c r="R154" s="12" t="s">
        <v>47</v>
      </c>
      <c r="S154" s="12" t="b">
        <v>1</v>
      </c>
      <c r="T154" s="12" t="s">
        <v>33</v>
      </c>
      <c r="U154" s="15">
        <f t="shared" si="8"/>
        <v>1474.1532139999999</v>
      </c>
      <c r="V154" s="15">
        <f t="shared" si="9"/>
        <v>1327.4680000000001</v>
      </c>
      <c r="W154" s="15">
        <f t="shared" si="10"/>
        <v>276.654</v>
      </c>
      <c r="X154" s="15">
        <f t="shared" si="11"/>
        <v>240.238</v>
      </c>
    </row>
    <row r="155" spans="1:24">
      <c r="A155" s="12" t="s">
        <v>531</v>
      </c>
      <c r="B155" s="12" t="s">
        <v>532</v>
      </c>
      <c r="C155" s="12" t="s">
        <v>36</v>
      </c>
      <c r="D155" s="12" t="s">
        <v>43</v>
      </c>
      <c r="E155" s="12" t="s">
        <v>100</v>
      </c>
      <c r="F155" s="13">
        <v>3570.45</v>
      </c>
      <c r="G155" s="13">
        <v>26.81</v>
      </c>
      <c r="H155" s="13">
        <v>2613.3200000000002</v>
      </c>
      <c r="I155" s="13">
        <v>4.2</v>
      </c>
      <c r="J155" s="13">
        <v>79</v>
      </c>
      <c r="K155" s="13">
        <v>252</v>
      </c>
      <c r="L155" s="12" t="s">
        <v>533</v>
      </c>
      <c r="M155" s="12">
        <v>2.9</v>
      </c>
      <c r="N155" s="14">
        <v>46040</v>
      </c>
      <c r="O155" s="13">
        <v>1</v>
      </c>
      <c r="P155" s="12" t="s">
        <v>40</v>
      </c>
      <c r="Q155" s="12" t="s">
        <v>31</v>
      </c>
      <c r="R155" s="12" t="s">
        <v>86</v>
      </c>
      <c r="S155" s="12" t="b">
        <v>0</v>
      </c>
      <c r="T155" s="12" t="s">
        <v>62</v>
      </c>
      <c r="U155" s="15">
        <f t="shared" si="8"/>
        <v>957.23764500000004</v>
      </c>
      <c r="V155" s="15">
        <f t="shared" si="9"/>
        <v>1428.18</v>
      </c>
      <c r="W155" s="15">
        <f t="shared" si="10"/>
        <v>391.99799999999999</v>
      </c>
      <c r="X155" s="15">
        <f t="shared" si="11"/>
        <v>793.14200000000005</v>
      </c>
    </row>
    <row r="156" spans="1:24">
      <c r="A156" s="12" t="s">
        <v>534</v>
      </c>
      <c r="B156" s="12" t="s">
        <v>535</v>
      </c>
      <c r="C156" s="12" t="s">
        <v>36</v>
      </c>
      <c r="D156" s="12" t="s">
        <v>108</v>
      </c>
      <c r="E156" s="12" t="s">
        <v>100</v>
      </c>
      <c r="F156" s="13">
        <v>10528.46</v>
      </c>
      <c r="G156" s="13">
        <v>32.81</v>
      </c>
      <c r="H156" s="13">
        <v>7073.83</v>
      </c>
      <c r="I156" s="13">
        <v>3.3</v>
      </c>
      <c r="J156" s="13">
        <v>37</v>
      </c>
      <c r="K156" s="13">
        <v>161</v>
      </c>
      <c r="L156" s="12" t="s">
        <v>536</v>
      </c>
      <c r="M156" s="12">
        <v>3.3</v>
      </c>
      <c r="N156" s="14">
        <v>45562</v>
      </c>
      <c r="O156" s="13">
        <v>5</v>
      </c>
      <c r="P156" s="12" t="s">
        <v>45</v>
      </c>
      <c r="Q156" s="12" t="s">
        <v>55</v>
      </c>
      <c r="R156" s="12" t="s">
        <v>32</v>
      </c>
      <c r="S156" s="12" t="b">
        <v>0</v>
      </c>
      <c r="T156" s="12" t="s">
        <v>56</v>
      </c>
      <c r="U156" s="15">
        <f t="shared" si="8"/>
        <v>3454.3877259999999</v>
      </c>
      <c r="V156" s="15">
        <f t="shared" si="9"/>
        <v>4211.384</v>
      </c>
      <c r="W156" s="15">
        <f t="shared" si="10"/>
        <v>1061.0744999999999</v>
      </c>
      <c r="X156" s="15">
        <f t="shared" si="11"/>
        <v>1801.3715</v>
      </c>
    </row>
    <row r="157" spans="1:24">
      <c r="A157" s="12" t="s">
        <v>537</v>
      </c>
      <c r="B157" s="12" t="s">
        <v>538</v>
      </c>
      <c r="C157" s="12" t="s">
        <v>50</v>
      </c>
      <c r="D157" s="12" t="s">
        <v>213</v>
      </c>
      <c r="E157" s="12" t="s">
        <v>52</v>
      </c>
      <c r="F157" s="13">
        <v>827.41</v>
      </c>
      <c r="G157" s="13">
        <v>25.24</v>
      </c>
      <c r="H157" s="13">
        <v>618.57000000000005</v>
      </c>
      <c r="I157" s="13">
        <v>3.6</v>
      </c>
      <c r="J157" s="13">
        <v>6</v>
      </c>
      <c r="K157" s="13">
        <v>180</v>
      </c>
      <c r="L157" s="12" t="s">
        <v>539</v>
      </c>
      <c r="M157" s="12">
        <v>2.9</v>
      </c>
      <c r="N157" s="14">
        <v>45849</v>
      </c>
      <c r="O157" s="13">
        <v>4</v>
      </c>
      <c r="P157" s="12" t="s">
        <v>30</v>
      </c>
      <c r="Q157" s="12" t="s">
        <v>46</v>
      </c>
      <c r="R157" s="12" t="s">
        <v>72</v>
      </c>
      <c r="S157" s="12" t="b">
        <v>0</v>
      </c>
      <c r="T157" s="12" t="s">
        <v>56</v>
      </c>
      <c r="U157" s="15">
        <f t="shared" si="8"/>
        <v>208.83828399999999</v>
      </c>
      <c r="V157" s="15">
        <f t="shared" si="9"/>
        <v>330.964</v>
      </c>
      <c r="W157" s="15">
        <f t="shared" si="10"/>
        <v>92.785499999999999</v>
      </c>
      <c r="X157" s="15">
        <f t="shared" si="11"/>
        <v>194.82050000000001</v>
      </c>
    </row>
    <row r="158" spans="1:24">
      <c r="A158" s="12" t="s">
        <v>540</v>
      </c>
      <c r="B158" s="12" t="s">
        <v>541</v>
      </c>
      <c r="C158" s="12" t="s">
        <v>50</v>
      </c>
      <c r="D158" s="12" t="s">
        <v>130</v>
      </c>
      <c r="E158" s="12" t="s">
        <v>38</v>
      </c>
      <c r="F158" s="13">
        <v>842.26</v>
      </c>
      <c r="G158" s="13">
        <v>40.57</v>
      </c>
      <c r="H158" s="13">
        <v>500.6</v>
      </c>
      <c r="I158" s="13">
        <v>4.7</v>
      </c>
      <c r="J158" s="13">
        <v>44</v>
      </c>
      <c r="K158" s="13">
        <v>39</v>
      </c>
      <c r="L158" s="12" t="s">
        <v>542</v>
      </c>
      <c r="M158" s="12">
        <v>2.5</v>
      </c>
      <c r="N158" s="14">
        <v>45622</v>
      </c>
      <c r="O158" s="13">
        <v>5</v>
      </c>
      <c r="P158" s="12" t="s">
        <v>30</v>
      </c>
      <c r="Q158" s="12" t="s">
        <v>31</v>
      </c>
      <c r="R158" s="12" t="s">
        <v>86</v>
      </c>
      <c r="S158" s="12" t="b">
        <v>0</v>
      </c>
      <c r="T158" s="12" t="s">
        <v>56</v>
      </c>
      <c r="U158" s="15">
        <f t="shared" si="8"/>
        <v>341.704882</v>
      </c>
      <c r="V158" s="15">
        <f t="shared" si="9"/>
        <v>336.904</v>
      </c>
      <c r="W158" s="15">
        <f t="shared" si="10"/>
        <v>75.09</v>
      </c>
      <c r="X158" s="15">
        <f t="shared" si="11"/>
        <v>88.605999999999995</v>
      </c>
    </row>
    <row r="159" spans="1:24">
      <c r="A159" s="12" t="s">
        <v>543</v>
      </c>
      <c r="B159" s="12" t="s">
        <v>544</v>
      </c>
      <c r="C159" s="12" t="s">
        <v>36</v>
      </c>
      <c r="D159" s="12" t="s">
        <v>108</v>
      </c>
      <c r="E159" s="12" t="s">
        <v>28</v>
      </c>
      <c r="F159" s="13">
        <v>7573.88</v>
      </c>
      <c r="G159" s="13">
        <v>9.94</v>
      </c>
      <c r="H159" s="13">
        <v>6821.18</v>
      </c>
      <c r="I159" s="13">
        <v>2.9</v>
      </c>
      <c r="J159" s="13">
        <v>157</v>
      </c>
      <c r="K159" s="13">
        <v>333</v>
      </c>
      <c r="L159" s="12" t="s">
        <v>545</v>
      </c>
      <c r="M159" s="12">
        <v>2.9</v>
      </c>
      <c r="N159" s="14">
        <v>45942</v>
      </c>
      <c r="O159" s="13">
        <v>3</v>
      </c>
      <c r="P159" s="12" t="s">
        <v>40</v>
      </c>
      <c r="Q159" s="12" t="s">
        <v>55</v>
      </c>
      <c r="R159" s="12" t="s">
        <v>86</v>
      </c>
      <c r="S159" s="12" t="b">
        <v>1</v>
      </c>
      <c r="T159" s="12" t="s">
        <v>33</v>
      </c>
      <c r="U159" s="15">
        <f t="shared" si="8"/>
        <v>752.84367199999997</v>
      </c>
      <c r="V159" s="15">
        <f t="shared" si="9"/>
        <v>3029.5520000000001</v>
      </c>
      <c r="W159" s="15">
        <f t="shared" si="10"/>
        <v>1023.177</v>
      </c>
      <c r="X159" s="15">
        <f t="shared" si="11"/>
        <v>2768.451</v>
      </c>
    </row>
    <row r="160" spans="1:24">
      <c r="A160" s="12" t="s">
        <v>546</v>
      </c>
      <c r="B160" s="12" t="s">
        <v>547</v>
      </c>
      <c r="C160" s="12" t="s">
        <v>36</v>
      </c>
      <c r="D160" s="12" t="s">
        <v>43</v>
      </c>
      <c r="E160" s="12" t="s">
        <v>38</v>
      </c>
      <c r="F160" s="13">
        <v>12254.95</v>
      </c>
      <c r="G160" s="13">
        <v>32.630000000000003</v>
      </c>
      <c r="H160" s="13">
        <v>8255.7099999999991</v>
      </c>
      <c r="I160" s="13">
        <v>3.8</v>
      </c>
      <c r="J160" s="13">
        <v>56</v>
      </c>
      <c r="K160" s="13">
        <v>365</v>
      </c>
      <c r="L160" s="12" t="s">
        <v>548</v>
      </c>
      <c r="M160" s="12">
        <v>4.9000000000000004</v>
      </c>
      <c r="N160" s="14">
        <v>45641</v>
      </c>
      <c r="O160" s="13">
        <v>2</v>
      </c>
      <c r="P160" s="12" t="s">
        <v>117</v>
      </c>
      <c r="Q160" s="12" t="s">
        <v>31</v>
      </c>
      <c r="R160" s="12" t="s">
        <v>47</v>
      </c>
      <c r="S160" s="12" t="b">
        <v>0</v>
      </c>
      <c r="T160" s="12" t="s">
        <v>78</v>
      </c>
      <c r="U160" s="15">
        <f t="shared" si="8"/>
        <v>3998.7901849999998</v>
      </c>
      <c r="V160" s="15">
        <f t="shared" si="9"/>
        <v>4901.9799999999996</v>
      </c>
      <c r="W160" s="15">
        <f t="shared" si="10"/>
        <v>1238.3565000000001</v>
      </c>
      <c r="X160" s="15">
        <f t="shared" si="11"/>
        <v>2115.3735000000001</v>
      </c>
    </row>
    <row r="161" spans="1:24">
      <c r="A161" s="12" t="s">
        <v>549</v>
      </c>
      <c r="B161" s="12" t="s">
        <v>550</v>
      </c>
      <c r="C161" s="12" t="s">
        <v>75</v>
      </c>
      <c r="D161" s="12" t="s">
        <v>76</v>
      </c>
      <c r="E161" s="12" t="s">
        <v>235</v>
      </c>
      <c r="F161" s="13">
        <v>1919.33</v>
      </c>
      <c r="G161" s="13">
        <v>60.45</v>
      </c>
      <c r="H161" s="13">
        <v>759.05</v>
      </c>
      <c r="I161" s="13">
        <v>4.9000000000000004</v>
      </c>
      <c r="J161" s="13">
        <v>10</v>
      </c>
      <c r="K161" s="13">
        <v>312</v>
      </c>
      <c r="L161" s="12" t="s">
        <v>551</v>
      </c>
      <c r="M161" s="12">
        <v>3.6</v>
      </c>
      <c r="N161" s="14">
        <v>45876</v>
      </c>
      <c r="O161" s="13">
        <v>2</v>
      </c>
      <c r="P161" s="12" t="s">
        <v>117</v>
      </c>
      <c r="Q161" s="12" t="s">
        <v>55</v>
      </c>
      <c r="R161" s="12" t="s">
        <v>72</v>
      </c>
      <c r="S161" s="12" t="b">
        <v>0</v>
      </c>
      <c r="T161" s="12" t="s">
        <v>56</v>
      </c>
      <c r="U161" s="15">
        <f t="shared" si="8"/>
        <v>1160.2349850000001</v>
      </c>
      <c r="V161" s="15">
        <f t="shared" si="9"/>
        <v>767.73199999999997</v>
      </c>
      <c r="W161" s="15">
        <f t="shared" si="10"/>
        <v>113.8575</v>
      </c>
      <c r="X161" s="15">
        <f t="shared" si="11"/>
        <v>-122.5395</v>
      </c>
    </row>
    <row r="162" spans="1:24">
      <c r="A162" s="12" t="s">
        <v>552</v>
      </c>
      <c r="B162" s="12" t="s">
        <v>553</v>
      </c>
      <c r="C162" s="12" t="s">
        <v>50</v>
      </c>
      <c r="D162" s="12" t="s">
        <v>51</v>
      </c>
      <c r="E162" s="12" t="s">
        <v>112</v>
      </c>
      <c r="F162" s="13">
        <v>4435.8100000000004</v>
      </c>
      <c r="G162" s="13">
        <v>49.47</v>
      </c>
      <c r="H162" s="13">
        <v>2241.31</v>
      </c>
      <c r="I162" s="13">
        <v>3.5</v>
      </c>
      <c r="J162" s="13">
        <v>18</v>
      </c>
      <c r="K162" s="13">
        <v>331</v>
      </c>
      <c r="L162" s="12" t="s">
        <v>554</v>
      </c>
      <c r="M162" s="12">
        <v>4.0999999999999996</v>
      </c>
      <c r="N162" s="14">
        <v>45732</v>
      </c>
      <c r="O162" s="13">
        <v>1</v>
      </c>
      <c r="P162" s="12" t="s">
        <v>45</v>
      </c>
      <c r="Q162" s="12" t="s">
        <v>46</v>
      </c>
      <c r="R162" s="12" t="s">
        <v>72</v>
      </c>
      <c r="S162" s="12" t="b">
        <v>0</v>
      </c>
      <c r="T162" s="12" t="s">
        <v>78</v>
      </c>
      <c r="U162" s="15">
        <f t="shared" si="8"/>
        <v>2194.395207</v>
      </c>
      <c r="V162" s="15">
        <f t="shared" si="9"/>
        <v>1774.3240000000001</v>
      </c>
      <c r="W162" s="15">
        <f t="shared" si="10"/>
        <v>336.19650000000001</v>
      </c>
      <c r="X162" s="15">
        <f t="shared" si="11"/>
        <v>130.7895</v>
      </c>
    </row>
    <row r="163" spans="1:24">
      <c r="A163" s="12" t="s">
        <v>555</v>
      </c>
      <c r="B163" s="12" t="s">
        <v>556</v>
      </c>
      <c r="C163" s="12" t="s">
        <v>36</v>
      </c>
      <c r="D163" s="12" t="s">
        <v>108</v>
      </c>
      <c r="E163" s="12" t="s">
        <v>96</v>
      </c>
      <c r="F163" s="13">
        <v>6120.13</v>
      </c>
      <c r="G163" s="13">
        <v>25.79</v>
      </c>
      <c r="H163" s="13">
        <v>4541.8900000000003</v>
      </c>
      <c r="I163" s="13">
        <v>3.3</v>
      </c>
      <c r="J163" s="13">
        <v>3</v>
      </c>
      <c r="K163" s="13">
        <v>493</v>
      </c>
      <c r="L163" s="12" t="s">
        <v>557</v>
      </c>
      <c r="M163" s="12">
        <v>4.4000000000000004</v>
      </c>
      <c r="N163" s="14">
        <v>45653</v>
      </c>
      <c r="O163" s="13">
        <v>5</v>
      </c>
      <c r="P163" s="12" t="s">
        <v>30</v>
      </c>
      <c r="Q163" s="12" t="s">
        <v>55</v>
      </c>
      <c r="R163" s="12" t="s">
        <v>32</v>
      </c>
      <c r="S163" s="12" t="b">
        <v>0</v>
      </c>
      <c r="T163" s="12" t="s">
        <v>62</v>
      </c>
      <c r="U163" s="15">
        <f t="shared" si="8"/>
        <v>1578.381527</v>
      </c>
      <c r="V163" s="15">
        <f t="shared" si="9"/>
        <v>2448.0520000000001</v>
      </c>
      <c r="W163" s="15">
        <f t="shared" si="10"/>
        <v>681.2835</v>
      </c>
      <c r="X163" s="15">
        <f t="shared" si="11"/>
        <v>1412.5545</v>
      </c>
    </row>
    <row r="164" spans="1:24">
      <c r="A164" s="12" t="s">
        <v>558</v>
      </c>
      <c r="B164" s="12" t="s">
        <v>559</v>
      </c>
      <c r="C164" s="12" t="s">
        <v>75</v>
      </c>
      <c r="D164" s="12" t="s">
        <v>104</v>
      </c>
      <c r="E164" s="12" t="s">
        <v>52</v>
      </c>
      <c r="F164" s="13">
        <v>594.25</v>
      </c>
      <c r="G164" s="13">
        <v>56.15</v>
      </c>
      <c r="H164" s="13">
        <v>260.56</v>
      </c>
      <c r="I164" s="13">
        <v>3.1</v>
      </c>
      <c r="J164" s="13">
        <v>90</v>
      </c>
      <c r="K164" s="13">
        <v>362</v>
      </c>
      <c r="L164" s="12" t="s">
        <v>560</v>
      </c>
      <c r="M164" s="12">
        <v>3.1</v>
      </c>
      <c r="N164" s="14">
        <v>45577</v>
      </c>
      <c r="O164" s="13">
        <v>2</v>
      </c>
      <c r="P164" s="12" t="s">
        <v>117</v>
      </c>
      <c r="Q164" s="12" t="s">
        <v>55</v>
      </c>
      <c r="R164" s="12" t="s">
        <v>86</v>
      </c>
      <c r="S164" s="12" t="b">
        <v>1</v>
      </c>
      <c r="T164" s="12" t="s">
        <v>33</v>
      </c>
      <c r="U164" s="15">
        <f t="shared" si="8"/>
        <v>333.67137500000001</v>
      </c>
      <c r="V164" s="15">
        <f t="shared" si="9"/>
        <v>237.7</v>
      </c>
      <c r="W164" s="15">
        <f t="shared" si="10"/>
        <v>39.084000000000003</v>
      </c>
      <c r="X164" s="15">
        <f t="shared" si="11"/>
        <v>-16.224</v>
      </c>
    </row>
    <row r="165" spans="1:24">
      <c r="A165" s="12" t="s">
        <v>561</v>
      </c>
      <c r="B165" s="12" t="s">
        <v>562</v>
      </c>
      <c r="C165" s="12" t="s">
        <v>59</v>
      </c>
      <c r="D165" s="12" t="s">
        <v>69</v>
      </c>
      <c r="E165" s="12" t="s">
        <v>100</v>
      </c>
      <c r="F165" s="13">
        <v>19236.7</v>
      </c>
      <c r="G165" s="13">
        <v>19.5</v>
      </c>
      <c r="H165" s="13">
        <v>15485.6</v>
      </c>
      <c r="I165" s="13">
        <v>4</v>
      </c>
      <c r="J165" s="13">
        <v>6</v>
      </c>
      <c r="K165" s="13">
        <v>343</v>
      </c>
      <c r="L165" s="12" t="s">
        <v>563</v>
      </c>
      <c r="M165" s="12">
        <v>4</v>
      </c>
      <c r="N165" s="14">
        <v>45899</v>
      </c>
      <c r="O165" s="13">
        <v>2</v>
      </c>
      <c r="P165" s="12" t="s">
        <v>45</v>
      </c>
      <c r="Q165" s="12" t="s">
        <v>31</v>
      </c>
      <c r="R165" s="12" t="s">
        <v>72</v>
      </c>
      <c r="S165" s="12" t="b">
        <v>0</v>
      </c>
      <c r="T165" s="12" t="s">
        <v>78</v>
      </c>
      <c r="U165" s="15">
        <f t="shared" si="8"/>
        <v>3751.1565000000001</v>
      </c>
      <c r="V165" s="15">
        <f t="shared" si="9"/>
        <v>7694.68</v>
      </c>
      <c r="W165" s="15">
        <f t="shared" si="10"/>
        <v>2322.84</v>
      </c>
      <c r="X165" s="15">
        <f t="shared" si="11"/>
        <v>5468.08</v>
      </c>
    </row>
    <row r="166" spans="1:24">
      <c r="A166" s="12" t="s">
        <v>564</v>
      </c>
      <c r="B166" s="12" t="s">
        <v>565</v>
      </c>
      <c r="C166" s="12" t="s">
        <v>59</v>
      </c>
      <c r="D166" s="12" t="s">
        <v>170</v>
      </c>
      <c r="E166" s="12" t="s">
        <v>92</v>
      </c>
      <c r="F166" s="13">
        <v>13473.09</v>
      </c>
      <c r="G166" s="13">
        <v>46.76</v>
      </c>
      <c r="H166" s="13">
        <v>7172.57</v>
      </c>
      <c r="I166" s="13">
        <v>3.6</v>
      </c>
      <c r="J166" s="13">
        <v>5</v>
      </c>
      <c r="K166" s="13">
        <v>98</v>
      </c>
      <c r="L166" s="12" t="s">
        <v>566</v>
      </c>
      <c r="M166" s="12">
        <v>3.5</v>
      </c>
      <c r="N166" s="14">
        <v>45924</v>
      </c>
      <c r="O166" s="13">
        <v>2</v>
      </c>
      <c r="P166" s="12" t="s">
        <v>54</v>
      </c>
      <c r="Q166" s="12" t="s">
        <v>46</v>
      </c>
      <c r="R166" s="12" t="s">
        <v>47</v>
      </c>
      <c r="S166" s="12" t="b">
        <v>0</v>
      </c>
      <c r="T166" s="12" t="s">
        <v>78</v>
      </c>
      <c r="U166" s="15">
        <f t="shared" si="8"/>
        <v>6300.0168839999997</v>
      </c>
      <c r="V166" s="15">
        <f t="shared" si="9"/>
        <v>5389.2359999999999</v>
      </c>
      <c r="W166" s="15">
        <f t="shared" si="10"/>
        <v>1075.8855000000001</v>
      </c>
      <c r="X166" s="15">
        <f t="shared" si="11"/>
        <v>707.44849999999894</v>
      </c>
    </row>
    <row r="167" spans="1:24">
      <c r="A167" s="12" t="s">
        <v>567</v>
      </c>
      <c r="B167" s="12" t="s">
        <v>568</v>
      </c>
      <c r="C167" s="12" t="s">
        <v>59</v>
      </c>
      <c r="D167" s="12" t="s">
        <v>69</v>
      </c>
      <c r="E167" s="12" t="s">
        <v>131</v>
      </c>
      <c r="F167" s="13">
        <v>18638.03</v>
      </c>
      <c r="G167" s="13">
        <v>5.57</v>
      </c>
      <c r="H167" s="13">
        <v>17599.490000000002</v>
      </c>
      <c r="I167" s="13">
        <v>4.4000000000000004</v>
      </c>
      <c r="J167" s="13">
        <v>14</v>
      </c>
      <c r="K167" s="13">
        <v>19</v>
      </c>
      <c r="L167" s="12" t="s">
        <v>569</v>
      </c>
      <c r="M167" s="12">
        <v>3.1</v>
      </c>
      <c r="N167" s="14">
        <v>45911</v>
      </c>
      <c r="O167" s="13">
        <v>4</v>
      </c>
      <c r="P167" s="12" t="s">
        <v>45</v>
      </c>
      <c r="Q167" s="12" t="s">
        <v>31</v>
      </c>
      <c r="R167" s="12" t="s">
        <v>47</v>
      </c>
      <c r="S167" s="12" t="b">
        <v>0</v>
      </c>
      <c r="T167" s="12" t="s">
        <v>62</v>
      </c>
      <c r="U167" s="15">
        <f t="shared" si="8"/>
        <v>1038.138271</v>
      </c>
      <c r="V167" s="15">
        <f t="shared" si="9"/>
        <v>7455.2120000000004</v>
      </c>
      <c r="W167" s="15">
        <f t="shared" si="10"/>
        <v>2639.9234999999999</v>
      </c>
      <c r="X167" s="15">
        <f t="shared" si="11"/>
        <v>7504.3545000000004</v>
      </c>
    </row>
    <row r="168" spans="1:24">
      <c r="A168" s="12" t="s">
        <v>570</v>
      </c>
      <c r="B168" s="12" t="s">
        <v>571</v>
      </c>
      <c r="C168" s="12" t="s">
        <v>50</v>
      </c>
      <c r="D168" s="12" t="s">
        <v>130</v>
      </c>
      <c r="E168" s="12" t="s">
        <v>92</v>
      </c>
      <c r="F168" s="13">
        <v>3696.76</v>
      </c>
      <c r="G168" s="13">
        <v>34.53</v>
      </c>
      <c r="H168" s="13">
        <v>2420.37</v>
      </c>
      <c r="I168" s="13">
        <v>3.9</v>
      </c>
      <c r="J168" s="13">
        <v>5</v>
      </c>
      <c r="K168" s="13">
        <v>414</v>
      </c>
      <c r="L168" s="12" t="s">
        <v>572</v>
      </c>
      <c r="M168" s="12">
        <v>3.8</v>
      </c>
      <c r="N168" s="14">
        <v>45509</v>
      </c>
      <c r="O168" s="13">
        <v>2</v>
      </c>
      <c r="P168" s="12" t="s">
        <v>54</v>
      </c>
      <c r="Q168" s="12" t="s">
        <v>31</v>
      </c>
      <c r="R168" s="12" t="s">
        <v>86</v>
      </c>
      <c r="S168" s="12" t="b">
        <v>0</v>
      </c>
      <c r="T168" s="12" t="s">
        <v>78</v>
      </c>
      <c r="U168" s="15">
        <f t="shared" si="8"/>
        <v>1276.4912280000001</v>
      </c>
      <c r="V168" s="15">
        <f t="shared" si="9"/>
        <v>1478.704</v>
      </c>
      <c r="W168" s="15">
        <f t="shared" si="10"/>
        <v>363.05549999999999</v>
      </c>
      <c r="X168" s="15">
        <f t="shared" si="11"/>
        <v>578.6105</v>
      </c>
    </row>
    <row r="169" spans="1:24">
      <c r="A169" s="12" t="s">
        <v>573</v>
      </c>
      <c r="B169" s="12" t="s">
        <v>574</v>
      </c>
      <c r="C169" s="12" t="s">
        <v>50</v>
      </c>
      <c r="D169" s="12" t="s">
        <v>51</v>
      </c>
      <c r="E169" s="12" t="s">
        <v>100</v>
      </c>
      <c r="F169" s="13">
        <v>640.98</v>
      </c>
      <c r="G169" s="13">
        <v>26.98</v>
      </c>
      <c r="H169" s="13">
        <v>468.06</v>
      </c>
      <c r="I169" s="13">
        <v>3.6</v>
      </c>
      <c r="J169" s="13">
        <v>7</v>
      </c>
      <c r="K169" s="13">
        <v>145</v>
      </c>
      <c r="L169" s="12" t="s">
        <v>575</v>
      </c>
      <c r="M169" s="12">
        <v>4</v>
      </c>
      <c r="N169" s="14">
        <v>45683</v>
      </c>
      <c r="O169" s="13">
        <v>5</v>
      </c>
      <c r="P169" s="12" t="s">
        <v>54</v>
      </c>
      <c r="Q169" s="12" t="s">
        <v>46</v>
      </c>
      <c r="R169" s="12" t="s">
        <v>47</v>
      </c>
      <c r="S169" s="12" t="b">
        <v>0</v>
      </c>
      <c r="T169" s="12" t="s">
        <v>56</v>
      </c>
      <c r="U169" s="15">
        <f t="shared" si="8"/>
        <v>172.93640400000001</v>
      </c>
      <c r="V169" s="15">
        <f t="shared" si="9"/>
        <v>256.392</v>
      </c>
      <c r="W169" s="15">
        <f t="shared" si="10"/>
        <v>70.209000000000003</v>
      </c>
      <c r="X169" s="15">
        <f t="shared" si="11"/>
        <v>141.459</v>
      </c>
    </row>
    <row r="170" spans="1:24">
      <c r="A170" s="12" t="s">
        <v>576</v>
      </c>
      <c r="B170" s="12" t="s">
        <v>577</v>
      </c>
      <c r="C170" s="12" t="s">
        <v>50</v>
      </c>
      <c r="D170" s="12" t="s">
        <v>130</v>
      </c>
      <c r="E170" s="12" t="s">
        <v>112</v>
      </c>
      <c r="F170" s="13">
        <v>3506.65</v>
      </c>
      <c r="G170" s="13">
        <v>33.630000000000003</v>
      </c>
      <c r="H170" s="13">
        <v>2327.25</v>
      </c>
      <c r="I170" s="13">
        <v>3.5</v>
      </c>
      <c r="J170" s="13">
        <v>32</v>
      </c>
      <c r="K170" s="13">
        <v>393</v>
      </c>
      <c r="L170" s="12" t="s">
        <v>578</v>
      </c>
      <c r="M170" s="12">
        <v>4.5</v>
      </c>
      <c r="N170" s="14">
        <v>45934</v>
      </c>
      <c r="O170" s="13">
        <v>2</v>
      </c>
      <c r="P170" s="12" t="s">
        <v>45</v>
      </c>
      <c r="Q170" s="12" t="s">
        <v>55</v>
      </c>
      <c r="R170" s="12" t="s">
        <v>86</v>
      </c>
      <c r="S170" s="12" t="b">
        <v>0</v>
      </c>
      <c r="T170" s="12" t="s">
        <v>78</v>
      </c>
      <c r="U170" s="15">
        <f t="shared" si="8"/>
        <v>1179.2863950000001</v>
      </c>
      <c r="V170" s="15">
        <f t="shared" si="9"/>
        <v>1402.66</v>
      </c>
      <c r="W170" s="15">
        <f t="shared" si="10"/>
        <v>349.08749999999998</v>
      </c>
      <c r="X170" s="15">
        <f t="shared" si="11"/>
        <v>575.50250000000005</v>
      </c>
    </row>
    <row r="171" spans="1:24">
      <c r="A171" s="12" t="s">
        <v>579</v>
      </c>
      <c r="B171" s="12" t="s">
        <v>580</v>
      </c>
      <c r="C171" s="12" t="s">
        <v>75</v>
      </c>
      <c r="D171" s="12" t="s">
        <v>76</v>
      </c>
      <c r="E171" s="12" t="s">
        <v>92</v>
      </c>
      <c r="F171" s="13">
        <v>4466.53</v>
      </c>
      <c r="G171" s="13">
        <v>49.45</v>
      </c>
      <c r="H171" s="13">
        <v>2257.67</v>
      </c>
      <c r="I171" s="13">
        <v>4.4000000000000004</v>
      </c>
      <c r="J171" s="13">
        <v>8</v>
      </c>
      <c r="K171" s="13">
        <v>246</v>
      </c>
      <c r="L171" s="12" t="s">
        <v>581</v>
      </c>
      <c r="M171" s="12">
        <v>3</v>
      </c>
      <c r="N171" s="14">
        <v>45861</v>
      </c>
      <c r="O171" s="13">
        <v>6</v>
      </c>
      <c r="P171" s="12" t="s">
        <v>30</v>
      </c>
      <c r="Q171" s="12" t="s">
        <v>31</v>
      </c>
      <c r="R171" s="12" t="s">
        <v>32</v>
      </c>
      <c r="S171" s="12" t="b">
        <v>0</v>
      </c>
      <c r="T171" s="12" t="s">
        <v>62</v>
      </c>
      <c r="U171" s="15">
        <f t="shared" si="8"/>
        <v>2208.6990850000002</v>
      </c>
      <c r="V171" s="15">
        <f t="shared" si="9"/>
        <v>1786.6120000000001</v>
      </c>
      <c r="W171" s="15">
        <f t="shared" si="10"/>
        <v>338.65050000000002</v>
      </c>
      <c r="X171" s="15">
        <f t="shared" si="11"/>
        <v>132.4075</v>
      </c>
    </row>
    <row r="172" spans="1:24">
      <c r="A172" s="12" t="s">
        <v>582</v>
      </c>
      <c r="B172" s="12" t="s">
        <v>583</v>
      </c>
      <c r="C172" s="12" t="s">
        <v>36</v>
      </c>
      <c r="D172" s="12" t="s">
        <v>43</v>
      </c>
      <c r="E172" s="12" t="s">
        <v>52</v>
      </c>
      <c r="F172" s="13">
        <v>11534.37</v>
      </c>
      <c r="G172" s="13">
        <v>6.59</v>
      </c>
      <c r="H172" s="13">
        <v>10774.37</v>
      </c>
      <c r="I172" s="13">
        <v>3.5</v>
      </c>
      <c r="J172" s="13">
        <v>38</v>
      </c>
      <c r="K172" s="13">
        <v>139</v>
      </c>
      <c r="L172" s="12" t="s">
        <v>584</v>
      </c>
      <c r="M172" s="12">
        <v>4.2</v>
      </c>
      <c r="N172" s="14">
        <v>45858</v>
      </c>
      <c r="O172" s="13">
        <v>1</v>
      </c>
      <c r="P172" s="12" t="s">
        <v>40</v>
      </c>
      <c r="Q172" s="12" t="s">
        <v>31</v>
      </c>
      <c r="R172" s="12" t="s">
        <v>47</v>
      </c>
      <c r="S172" s="12" t="b">
        <v>0</v>
      </c>
      <c r="T172" s="12" t="s">
        <v>56</v>
      </c>
      <c r="U172" s="15">
        <f t="shared" si="8"/>
        <v>760.11498300000005</v>
      </c>
      <c r="V172" s="15">
        <f t="shared" si="9"/>
        <v>4613.7479999999996</v>
      </c>
      <c r="W172" s="15">
        <f t="shared" si="10"/>
        <v>1616.1555000000001</v>
      </c>
      <c r="X172" s="15">
        <f t="shared" si="11"/>
        <v>4544.4665000000005</v>
      </c>
    </row>
    <row r="173" spans="1:24">
      <c r="A173" s="12" t="s">
        <v>585</v>
      </c>
      <c r="B173" s="12" t="s">
        <v>586</v>
      </c>
      <c r="C173" s="12" t="s">
        <v>26</v>
      </c>
      <c r="D173" s="12" t="s">
        <v>123</v>
      </c>
      <c r="E173" s="12" t="s">
        <v>235</v>
      </c>
      <c r="F173" s="13">
        <v>61719.85</v>
      </c>
      <c r="G173" s="13">
        <v>18.489999999999998</v>
      </c>
      <c r="H173" s="13">
        <v>50308.99</v>
      </c>
      <c r="I173" s="13">
        <v>5</v>
      </c>
      <c r="J173" s="13">
        <v>37</v>
      </c>
      <c r="K173" s="13">
        <v>27</v>
      </c>
      <c r="L173" s="12" t="s">
        <v>587</v>
      </c>
      <c r="M173" s="12">
        <v>3.5</v>
      </c>
      <c r="N173" s="14">
        <v>45807</v>
      </c>
      <c r="O173" s="13">
        <v>6</v>
      </c>
      <c r="P173" s="12" t="s">
        <v>30</v>
      </c>
      <c r="Q173" s="12" t="s">
        <v>31</v>
      </c>
      <c r="R173" s="12" t="s">
        <v>72</v>
      </c>
      <c r="S173" s="12" t="b">
        <v>0</v>
      </c>
      <c r="T173" s="12" t="s">
        <v>78</v>
      </c>
      <c r="U173" s="15">
        <f t="shared" si="8"/>
        <v>11412.000265000001</v>
      </c>
      <c r="V173" s="15">
        <f t="shared" si="9"/>
        <v>24687.94</v>
      </c>
      <c r="W173" s="15">
        <f t="shared" si="10"/>
        <v>7546.3485000000001</v>
      </c>
      <c r="X173" s="15">
        <f t="shared" si="11"/>
        <v>18074.701499999999</v>
      </c>
    </row>
    <row r="174" spans="1:24">
      <c r="A174" s="12" t="s">
        <v>588</v>
      </c>
      <c r="B174" s="12" t="s">
        <v>589</v>
      </c>
      <c r="C174" s="12" t="s">
        <v>50</v>
      </c>
      <c r="D174" s="12" t="s">
        <v>130</v>
      </c>
      <c r="E174" s="12" t="s">
        <v>112</v>
      </c>
      <c r="F174" s="13">
        <v>3174.03</v>
      </c>
      <c r="G174" s="13">
        <v>40.74</v>
      </c>
      <c r="H174" s="13">
        <v>1880.97</v>
      </c>
      <c r="I174" s="13">
        <v>3.9</v>
      </c>
      <c r="J174" s="13">
        <v>8</v>
      </c>
      <c r="K174" s="13">
        <v>476</v>
      </c>
      <c r="L174" s="12" t="s">
        <v>590</v>
      </c>
      <c r="M174" s="12">
        <v>4.3</v>
      </c>
      <c r="N174" s="14">
        <v>45455</v>
      </c>
      <c r="O174" s="13">
        <v>3</v>
      </c>
      <c r="P174" s="12" t="s">
        <v>54</v>
      </c>
      <c r="Q174" s="12" t="s">
        <v>31</v>
      </c>
      <c r="R174" s="12" t="s">
        <v>72</v>
      </c>
      <c r="S174" s="12" t="b">
        <v>0</v>
      </c>
      <c r="T174" s="12" t="s">
        <v>78</v>
      </c>
      <c r="U174" s="15">
        <f t="shared" si="8"/>
        <v>1293.0998219999999</v>
      </c>
      <c r="V174" s="15">
        <f t="shared" si="9"/>
        <v>1269.6120000000001</v>
      </c>
      <c r="W174" s="15">
        <f t="shared" si="10"/>
        <v>282.14550000000003</v>
      </c>
      <c r="X174" s="15">
        <f t="shared" si="11"/>
        <v>329.21249999999998</v>
      </c>
    </row>
    <row r="175" spans="1:24">
      <c r="A175" s="12" t="s">
        <v>591</v>
      </c>
      <c r="B175" s="12" t="s">
        <v>592</v>
      </c>
      <c r="C175" s="12" t="s">
        <v>75</v>
      </c>
      <c r="D175" s="12" t="s">
        <v>135</v>
      </c>
      <c r="E175" s="12" t="s">
        <v>52</v>
      </c>
      <c r="F175" s="13">
        <v>1514.47</v>
      </c>
      <c r="G175" s="13">
        <v>45.96</v>
      </c>
      <c r="H175" s="13">
        <v>818.39</v>
      </c>
      <c r="I175" s="13">
        <v>3.7</v>
      </c>
      <c r="J175" s="13">
        <v>21</v>
      </c>
      <c r="K175" s="13">
        <v>388</v>
      </c>
      <c r="L175" s="12" t="s">
        <v>593</v>
      </c>
      <c r="M175" s="12">
        <v>2.7</v>
      </c>
      <c r="N175" s="14">
        <v>45406</v>
      </c>
      <c r="O175" s="13">
        <v>3</v>
      </c>
      <c r="P175" s="12" t="s">
        <v>117</v>
      </c>
      <c r="Q175" s="12" t="s">
        <v>55</v>
      </c>
      <c r="R175" s="12" t="s">
        <v>32</v>
      </c>
      <c r="S175" s="12" t="b">
        <v>0</v>
      </c>
      <c r="T175" s="12" t="s">
        <v>78</v>
      </c>
      <c r="U175" s="15">
        <f t="shared" si="8"/>
        <v>696.05041200000005</v>
      </c>
      <c r="V175" s="15">
        <f t="shared" si="9"/>
        <v>605.78800000000001</v>
      </c>
      <c r="W175" s="15">
        <f t="shared" si="10"/>
        <v>122.7585</v>
      </c>
      <c r="X175" s="15">
        <f t="shared" si="11"/>
        <v>89.843500000000006</v>
      </c>
    </row>
    <row r="176" spans="1:24">
      <c r="A176" s="12" t="s">
        <v>594</v>
      </c>
      <c r="B176" s="12" t="s">
        <v>595</v>
      </c>
      <c r="C176" s="12" t="s">
        <v>26</v>
      </c>
      <c r="D176" s="12" t="s">
        <v>313</v>
      </c>
      <c r="E176" s="12" t="s">
        <v>70</v>
      </c>
      <c r="F176" s="13">
        <v>9391.32</v>
      </c>
      <c r="G176" s="13">
        <v>23.1</v>
      </c>
      <c r="H176" s="13">
        <v>7221.51</v>
      </c>
      <c r="I176" s="13">
        <v>3.3</v>
      </c>
      <c r="J176" s="13">
        <v>16</v>
      </c>
      <c r="K176" s="13">
        <v>270</v>
      </c>
      <c r="L176" s="12" t="s">
        <v>596</v>
      </c>
      <c r="M176" s="12">
        <v>2.7</v>
      </c>
      <c r="N176" s="14">
        <v>45495</v>
      </c>
      <c r="O176" s="13">
        <v>1</v>
      </c>
      <c r="P176" s="12" t="s">
        <v>54</v>
      </c>
      <c r="Q176" s="12" t="s">
        <v>46</v>
      </c>
      <c r="R176" s="12" t="s">
        <v>72</v>
      </c>
      <c r="S176" s="12" t="b">
        <v>0</v>
      </c>
      <c r="T176" s="12" t="s">
        <v>78</v>
      </c>
      <c r="U176" s="15">
        <f t="shared" si="8"/>
        <v>2169.3949200000002</v>
      </c>
      <c r="V176" s="15">
        <f t="shared" si="9"/>
        <v>3756.5279999999998</v>
      </c>
      <c r="W176" s="15">
        <f t="shared" si="10"/>
        <v>1083.2265</v>
      </c>
      <c r="X176" s="15">
        <f t="shared" si="11"/>
        <v>2381.7555000000002</v>
      </c>
    </row>
    <row r="177" spans="1:24">
      <c r="A177" s="12" t="s">
        <v>597</v>
      </c>
      <c r="B177" s="12" t="s">
        <v>598</v>
      </c>
      <c r="C177" s="12" t="s">
        <v>59</v>
      </c>
      <c r="D177" s="12" t="s">
        <v>69</v>
      </c>
      <c r="E177" s="12" t="s">
        <v>38</v>
      </c>
      <c r="F177" s="13">
        <v>14977.6</v>
      </c>
      <c r="G177" s="13">
        <v>33.92</v>
      </c>
      <c r="H177" s="13">
        <v>9897.8799999999992</v>
      </c>
      <c r="I177" s="13">
        <v>4.9000000000000004</v>
      </c>
      <c r="J177" s="13">
        <v>6</v>
      </c>
      <c r="K177" s="13">
        <v>406</v>
      </c>
      <c r="L177" s="12" t="s">
        <v>599</v>
      </c>
      <c r="M177" s="12">
        <v>5</v>
      </c>
      <c r="N177" s="14">
        <v>45692</v>
      </c>
      <c r="O177" s="13">
        <v>2</v>
      </c>
      <c r="P177" s="12" t="s">
        <v>54</v>
      </c>
      <c r="Q177" s="12" t="s">
        <v>46</v>
      </c>
      <c r="R177" s="12" t="s">
        <v>32</v>
      </c>
      <c r="S177" s="12" t="b">
        <v>0</v>
      </c>
      <c r="T177" s="12" t="s">
        <v>56</v>
      </c>
      <c r="U177" s="15">
        <f t="shared" si="8"/>
        <v>5080.4019200000002</v>
      </c>
      <c r="V177" s="15">
        <f t="shared" si="9"/>
        <v>5991.04</v>
      </c>
      <c r="W177" s="15">
        <f t="shared" si="10"/>
        <v>1484.682</v>
      </c>
      <c r="X177" s="15">
        <f t="shared" si="11"/>
        <v>2422.1579999999999</v>
      </c>
    </row>
    <row r="178" spans="1:24">
      <c r="A178" s="12" t="s">
        <v>600</v>
      </c>
      <c r="B178" s="12" t="s">
        <v>601</v>
      </c>
      <c r="C178" s="12" t="s">
        <v>36</v>
      </c>
      <c r="D178" s="12" t="s">
        <v>108</v>
      </c>
      <c r="E178" s="12" t="s">
        <v>38</v>
      </c>
      <c r="F178" s="13">
        <v>8700.4699999999993</v>
      </c>
      <c r="G178" s="13">
        <v>49.08</v>
      </c>
      <c r="H178" s="13">
        <v>4429.92</v>
      </c>
      <c r="I178" s="13">
        <v>4.0999999999999996</v>
      </c>
      <c r="J178" s="13">
        <v>8</v>
      </c>
      <c r="K178" s="13">
        <v>367</v>
      </c>
      <c r="L178" s="12" t="s">
        <v>602</v>
      </c>
      <c r="M178" s="12">
        <v>3.2</v>
      </c>
      <c r="N178" s="14">
        <v>45746</v>
      </c>
      <c r="O178" s="13">
        <v>6</v>
      </c>
      <c r="P178" s="12" t="s">
        <v>45</v>
      </c>
      <c r="Q178" s="12" t="s">
        <v>55</v>
      </c>
      <c r="R178" s="12" t="s">
        <v>86</v>
      </c>
      <c r="S178" s="12" t="b">
        <v>0</v>
      </c>
      <c r="T178" s="12" t="s">
        <v>78</v>
      </c>
      <c r="U178" s="15">
        <f t="shared" si="8"/>
        <v>4270.1906760000002</v>
      </c>
      <c r="V178" s="15">
        <f t="shared" si="9"/>
        <v>3480.1880000000001</v>
      </c>
      <c r="W178" s="15">
        <f t="shared" si="10"/>
        <v>664.48800000000006</v>
      </c>
      <c r="X178" s="15">
        <f t="shared" si="11"/>
        <v>285.24400000000003</v>
      </c>
    </row>
    <row r="179" spans="1:24">
      <c r="A179" s="12" t="s">
        <v>603</v>
      </c>
      <c r="B179" s="12" t="s">
        <v>604</v>
      </c>
      <c r="C179" s="12" t="s">
        <v>36</v>
      </c>
      <c r="D179" s="12" t="s">
        <v>37</v>
      </c>
      <c r="E179" s="12" t="s">
        <v>70</v>
      </c>
      <c r="F179" s="13">
        <v>6730.02</v>
      </c>
      <c r="G179" s="13">
        <v>44.27</v>
      </c>
      <c r="H179" s="13">
        <v>3750.45</v>
      </c>
      <c r="I179" s="13">
        <v>3.7</v>
      </c>
      <c r="J179" s="13">
        <v>30</v>
      </c>
      <c r="K179" s="13">
        <v>340</v>
      </c>
      <c r="L179" s="12" t="s">
        <v>605</v>
      </c>
      <c r="M179" s="12">
        <v>4.8</v>
      </c>
      <c r="N179" s="14">
        <v>45450</v>
      </c>
      <c r="O179" s="13">
        <v>1</v>
      </c>
      <c r="P179" s="12" t="s">
        <v>45</v>
      </c>
      <c r="Q179" s="12" t="s">
        <v>31</v>
      </c>
      <c r="R179" s="12" t="s">
        <v>72</v>
      </c>
      <c r="S179" s="12" t="b">
        <v>0</v>
      </c>
      <c r="T179" s="12" t="s">
        <v>78</v>
      </c>
      <c r="U179" s="15">
        <f t="shared" si="8"/>
        <v>2979.3798539999998</v>
      </c>
      <c r="V179" s="15">
        <f t="shared" si="9"/>
        <v>2692.0079999999998</v>
      </c>
      <c r="W179" s="15">
        <f t="shared" si="10"/>
        <v>562.5675</v>
      </c>
      <c r="X179" s="15">
        <f t="shared" si="11"/>
        <v>495.87450000000001</v>
      </c>
    </row>
    <row r="180" spans="1:24">
      <c r="A180" s="12" t="s">
        <v>606</v>
      </c>
      <c r="B180" s="12" t="s">
        <v>607</v>
      </c>
      <c r="C180" s="12" t="s">
        <v>36</v>
      </c>
      <c r="D180" s="12" t="s">
        <v>108</v>
      </c>
      <c r="E180" s="12" t="s">
        <v>131</v>
      </c>
      <c r="F180" s="13">
        <v>13686.16</v>
      </c>
      <c r="G180" s="13">
        <v>40.11</v>
      </c>
      <c r="H180" s="13">
        <v>8196.7000000000007</v>
      </c>
      <c r="I180" s="13">
        <v>3.7</v>
      </c>
      <c r="J180" s="13">
        <v>14</v>
      </c>
      <c r="K180" s="13">
        <v>199</v>
      </c>
      <c r="L180" s="12" t="s">
        <v>608</v>
      </c>
      <c r="M180" s="12">
        <v>4.0999999999999996</v>
      </c>
      <c r="N180" s="14">
        <v>45986</v>
      </c>
      <c r="O180" s="13">
        <v>1</v>
      </c>
      <c r="P180" s="12" t="s">
        <v>45</v>
      </c>
      <c r="Q180" s="12" t="s">
        <v>46</v>
      </c>
      <c r="R180" s="12" t="s">
        <v>86</v>
      </c>
      <c r="S180" s="12" t="b">
        <v>0</v>
      </c>
      <c r="T180" s="12" t="s">
        <v>56</v>
      </c>
      <c r="U180" s="15">
        <f t="shared" si="8"/>
        <v>5489.5187759999999</v>
      </c>
      <c r="V180" s="15">
        <f t="shared" si="9"/>
        <v>5474.4639999999999</v>
      </c>
      <c r="W180" s="15">
        <f t="shared" si="10"/>
        <v>1229.5050000000001</v>
      </c>
      <c r="X180" s="15">
        <f t="shared" si="11"/>
        <v>1492.731</v>
      </c>
    </row>
    <row r="181" spans="1:24">
      <c r="A181" s="12" t="s">
        <v>609</v>
      </c>
      <c r="B181" s="12" t="s">
        <v>610</v>
      </c>
      <c r="C181" s="12" t="s">
        <v>59</v>
      </c>
      <c r="D181" s="12" t="s">
        <v>60</v>
      </c>
      <c r="E181" s="12" t="s">
        <v>38</v>
      </c>
      <c r="F181" s="13">
        <v>2084.04</v>
      </c>
      <c r="G181" s="13">
        <v>16.11</v>
      </c>
      <c r="H181" s="13">
        <v>1748.22</v>
      </c>
      <c r="I181" s="13">
        <v>3.7</v>
      </c>
      <c r="J181" s="13">
        <v>29</v>
      </c>
      <c r="K181" s="13">
        <v>176</v>
      </c>
      <c r="L181" s="12" t="s">
        <v>611</v>
      </c>
      <c r="M181" s="12">
        <v>4.5999999999999996</v>
      </c>
      <c r="N181" s="14">
        <v>46052</v>
      </c>
      <c r="O181" s="13">
        <v>6</v>
      </c>
      <c r="P181" s="12" t="s">
        <v>30</v>
      </c>
      <c r="Q181" s="12" t="s">
        <v>31</v>
      </c>
      <c r="R181" s="12" t="s">
        <v>32</v>
      </c>
      <c r="S181" s="12" t="b">
        <v>0</v>
      </c>
      <c r="T181" s="12" t="s">
        <v>62</v>
      </c>
      <c r="U181" s="15">
        <f t="shared" si="8"/>
        <v>335.73884399999997</v>
      </c>
      <c r="V181" s="15">
        <f t="shared" si="9"/>
        <v>833.61599999999999</v>
      </c>
      <c r="W181" s="15">
        <f t="shared" si="10"/>
        <v>262.233</v>
      </c>
      <c r="X181" s="15">
        <f t="shared" si="11"/>
        <v>652.37099999999998</v>
      </c>
    </row>
    <row r="182" spans="1:24">
      <c r="A182" s="12" t="s">
        <v>612</v>
      </c>
      <c r="B182" s="12" t="s">
        <v>613</v>
      </c>
      <c r="C182" s="12" t="s">
        <v>59</v>
      </c>
      <c r="D182" s="12" t="s">
        <v>69</v>
      </c>
      <c r="E182" s="12" t="s">
        <v>38</v>
      </c>
      <c r="F182" s="13">
        <v>17208.7</v>
      </c>
      <c r="G182" s="13">
        <v>30.29</v>
      </c>
      <c r="H182" s="13">
        <v>11996.24</v>
      </c>
      <c r="I182" s="13">
        <v>3.3</v>
      </c>
      <c r="J182" s="13">
        <v>6</v>
      </c>
      <c r="K182" s="13">
        <v>416</v>
      </c>
      <c r="L182" s="12" t="s">
        <v>614</v>
      </c>
      <c r="M182" s="12">
        <v>4.7</v>
      </c>
      <c r="N182" s="14">
        <v>45505</v>
      </c>
      <c r="O182" s="13">
        <v>3</v>
      </c>
      <c r="P182" s="12" t="s">
        <v>30</v>
      </c>
      <c r="Q182" s="12" t="s">
        <v>31</v>
      </c>
      <c r="R182" s="12" t="s">
        <v>86</v>
      </c>
      <c r="S182" s="12" t="b">
        <v>0</v>
      </c>
      <c r="T182" s="12" t="s">
        <v>62</v>
      </c>
      <c r="U182" s="15">
        <f t="shared" si="8"/>
        <v>5212.51523</v>
      </c>
      <c r="V182" s="15">
        <f t="shared" si="9"/>
        <v>6883.48</v>
      </c>
      <c r="W182" s="15">
        <f t="shared" si="10"/>
        <v>1799.4359999999999</v>
      </c>
      <c r="X182" s="15">
        <f t="shared" si="11"/>
        <v>3313.3240000000001</v>
      </c>
    </row>
    <row r="183" spans="1:24">
      <c r="A183" s="12" t="s">
        <v>615</v>
      </c>
      <c r="B183" s="12" t="s">
        <v>616</v>
      </c>
      <c r="C183" s="12" t="s">
        <v>50</v>
      </c>
      <c r="D183" s="12" t="s">
        <v>213</v>
      </c>
      <c r="E183" s="12" t="s">
        <v>92</v>
      </c>
      <c r="F183" s="13">
        <v>2888.81</v>
      </c>
      <c r="G183" s="13">
        <v>7.35</v>
      </c>
      <c r="H183" s="13">
        <v>2676.44</v>
      </c>
      <c r="I183" s="13">
        <v>3</v>
      </c>
      <c r="J183" s="13">
        <v>11</v>
      </c>
      <c r="K183" s="13">
        <v>18</v>
      </c>
      <c r="L183" s="12" t="s">
        <v>617</v>
      </c>
      <c r="M183" s="12">
        <v>4.9000000000000004</v>
      </c>
      <c r="N183" s="14">
        <v>45562</v>
      </c>
      <c r="O183" s="13">
        <v>1</v>
      </c>
      <c r="P183" s="12" t="s">
        <v>54</v>
      </c>
      <c r="Q183" s="12" t="s">
        <v>46</v>
      </c>
      <c r="R183" s="12" t="s">
        <v>32</v>
      </c>
      <c r="S183" s="12" t="b">
        <v>0</v>
      </c>
      <c r="T183" s="12" t="s">
        <v>78</v>
      </c>
      <c r="U183" s="15">
        <f t="shared" si="8"/>
        <v>212.32753500000001</v>
      </c>
      <c r="V183" s="15">
        <f t="shared" si="9"/>
        <v>1155.5239999999999</v>
      </c>
      <c r="W183" s="15">
        <f t="shared" si="10"/>
        <v>401.46600000000001</v>
      </c>
      <c r="X183" s="15">
        <f t="shared" si="11"/>
        <v>1119.45</v>
      </c>
    </row>
    <row r="184" spans="1:24">
      <c r="A184" s="12" t="s">
        <v>618</v>
      </c>
      <c r="B184" s="12" t="s">
        <v>619</v>
      </c>
      <c r="C184" s="12" t="s">
        <v>26</v>
      </c>
      <c r="D184" s="12" t="s">
        <v>313</v>
      </c>
      <c r="E184" s="12" t="s">
        <v>52</v>
      </c>
      <c r="F184" s="13">
        <v>15872.38</v>
      </c>
      <c r="G184" s="13">
        <v>38.15</v>
      </c>
      <c r="H184" s="13">
        <v>9817.66</v>
      </c>
      <c r="I184" s="13">
        <v>3.5</v>
      </c>
      <c r="J184" s="13">
        <v>17</v>
      </c>
      <c r="K184" s="13">
        <v>242</v>
      </c>
      <c r="L184" s="12" t="s">
        <v>620</v>
      </c>
      <c r="M184" s="12">
        <v>3.8</v>
      </c>
      <c r="N184" s="14">
        <v>46084</v>
      </c>
      <c r="O184" s="13">
        <v>6</v>
      </c>
      <c r="P184" s="12" t="s">
        <v>45</v>
      </c>
      <c r="Q184" s="12" t="s">
        <v>46</v>
      </c>
      <c r="R184" s="12" t="s">
        <v>47</v>
      </c>
      <c r="S184" s="12" t="b">
        <v>0</v>
      </c>
      <c r="T184" s="12" t="s">
        <v>56</v>
      </c>
      <c r="U184" s="15">
        <f t="shared" si="8"/>
        <v>6055.31297</v>
      </c>
      <c r="V184" s="15">
        <f t="shared" si="9"/>
        <v>6348.9520000000002</v>
      </c>
      <c r="W184" s="15">
        <f t="shared" si="10"/>
        <v>1472.6489999999999</v>
      </c>
      <c r="X184" s="15">
        <f t="shared" si="11"/>
        <v>1996.059</v>
      </c>
    </row>
    <row r="185" spans="1:24">
      <c r="A185" s="12" t="s">
        <v>621</v>
      </c>
      <c r="B185" s="12" t="s">
        <v>622</v>
      </c>
      <c r="C185" s="12" t="s">
        <v>59</v>
      </c>
      <c r="D185" s="12" t="s">
        <v>69</v>
      </c>
      <c r="E185" s="12" t="s">
        <v>100</v>
      </c>
      <c r="F185" s="13">
        <v>14733.47</v>
      </c>
      <c r="G185" s="13">
        <v>29.46</v>
      </c>
      <c r="H185" s="13">
        <v>10393.1</v>
      </c>
      <c r="I185" s="13">
        <v>3.9</v>
      </c>
      <c r="J185" s="13">
        <v>8</v>
      </c>
      <c r="K185" s="13">
        <v>409</v>
      </c>
      <c r="L185" s="12" t="s">
        <v>623</v>
      </c>
      <c r="M185" s="12">
        <v>2.9</v>
      </c>
      <c r="N185" s="14">
        <v>45846</v>
      </c>
      <c r="O185" s="13">
        <v>1</v>
      </c>
      <c r="P185" s="12" t="s">
        <v>30</v>
      </c>
      <c r="Q185" s="12" t="s">
        <v>55</v>
      </c>
      <c r="R185" s="12" t="s">
        <v>86</v>
      </c>
      <c r="S185" s="12" t="b">
        <v>0</v>
      </c>
      <c r="T185" s="12" t="s">
        <v>62</v>
      </c>
      <c r="U185" s="15">
        <f t="shared" si="8"/>
        <v>4340.480262</v>
      </c>
      <c r="V185" s="15">
        <f t="shared" si="9"/>
        <v>5893.3879999999999</v>
      </c>
      <c r="W185" s="15">
        <f t="shared" si="10"/>
        <v>1558.9649999999999</v>
      </c>
      <c r="X185" s="15">
        <f t="shared" si="11"/>
        <v>2940.7469999999998</v>
      </c>
    </row>
    <row r="186" spans="1:24">
      <c r="A186" s="12" t="s">
        <v>624</v>
      </c>
      <c r="B186" s="12" t="s">
        <v>625</v>
      </c>
      <c r="C186" s="12" t="s">
        <v>50</v>
      </c>
      <c r="D186" s="12" t="s">
        <v>51</v>
      </c>
      <c r="E186" s="12" t="s">
        <v>112</v>
      </c>
      <c r="F186" s="13">
        <v>4337.54</v>
      </c>
      <c r="G186" s="13">
        <v>38.72</v>
      </c>
      <c r="H186" s="13">
        <v>2658.14</v>
      </c>
      <c r="I186" s="13">
        <v>4.3</v>
      </c>
      <c r="J186" s="13">
        <v>10</v>
      </c>
      <c r="K186" s="13">
        <v>188</v>
      </c>
      <c r="L186" s="12" t="s">
        <v>626</v>
      </c>
      <c r="M186" s="12">
        <v>3.6</v>
      </c>
      <c r="N186" s="14">
        <v>45504</v>
      </c>
      <c r="O186" s="13">
        <v>5</v>
      </c>
      <c r="P186" s="12" t="s">
        <v>54</v>
      </c>
      <c r="Q186" s="12" t="s">
        <v>55</v>
      </c>
      <c r="R186" s="12" t="s">
        <v>32</v>
      </c>
      <c r="S186" s="12" t="b">
        <v>0</v>
      </c>
      <c r="T186" s="12" t="s">
        <v>62</v>
      </c>
      <c r="U186" s="15">
        <f t="shared" si="8"/>
        <v>1679.495488</v>
      </c>
      <c r="V186" s="15">
        <f t="shared" si="9"/>
        <v>1735.0160000000001</v>
      </c>
      <c r="W186" s="15">
        <f t="shared" si="10"/>
        <v>398.721</v>
      </c>
      <c r="X186" s="15">
        <f t="shared" si="11"/>
        <v>524.40300000000002</v>
      </c>
    </row>
    <row r="187" spans="1:24">
      <c r="A187" s="12" t="s">
        <v>627</v>
      </c>
      <c r="B187" s="12" t="s">
        <v>628</v>
      </c>
      <c r="C187" s="12" t="s">
        <v>50</v>
      </c>
      <c r="D187" s="12" t="s">
        <v>130</v>
      </c>
      <c r="E187" s="12" t="s">
        <v>96</v>
      </c>
      <c r="F187" s="13">
        <v>1441.38</v>
      </c>
      <c r="G187" s="13">
        <v>19.86</v>
      </c>
      <c r="H187" s="13">
        <v>1155.1300000000001</v>
      </c>
      <c r="I187" s="13">
        <v>3.9</v>
      </c>
      <c r="J187" s="13">
        <v>101</v>
      </c>
      <c r="K187" s="13">
        <v>279</v>
      </c>
      <c r="L187" s="12" t="s">
        <v>629</v>
      </c>
      <c r="M187" s="12">
        <v>2.9</v>
      </c>
      <c r="N187" s="14">
        <v>45956</v>
      </c>
      <c r="O187" s="13">
        <v>5</v>
      </c>
      <c r="P187" s="12" t="s">
        <v>45</v>
      </c>
      <c r="Q187" s="12" t="s">
        <v>55</v>
      </c>
      <c r="R187" s="12" t="s">
        <v>32</v>
      </c>
      <c r="S187" s="12" t="b">
        <v>0</v>
      </c>
      <c r="T187" s="12" t="s">
        <v>78</v>
      </c>
      <c r="U187" s="15">
        <f t="shared" si="8"/>
        <v>286.25806799999998</v>
      </c>
      <c r="V187" s="15">
        <f t="shared" si="9"/>
        <v>576.55200000000002</v>
      </c>
      <c r="W187" s="15">
        <f t="shared" si="10"/>
        <v>173.26949999999999</v>
      </c>
      <c r="X187" s="15">
        <f t="shared" si="11"/>
        <v>405.30849999999998</v>
      </c>
    </row>
    <row r="188" spans="1:24">
      <c r="A188" s="12" t="s">
        <v>630</v>
      </c>
      <c r="B188" s="12" t="s">
        <v>631</v>
      </c>
      <c r="C188" s="12" t="s">
        <v>59</v>
      </c>
      <c r="D188" s="12" t="s">
        <v>60</v>
      </c>
      <c r="E188" s="12" t="s">
        <v>52</v>
      </c>
      <c r="F188" s="13">
        <v>11643.46</v>
      </c>
      <c r="G188" s="13">
        <v>29.86</v>
      </c>
      <c r="H188" s="13">
        <v>8166.36</v>
      </c>
      <c r="I188" s="13">
        <v>3.8</v>
      </c>
      <c r="J188" s="13">
        <v>10</v>
      </c>
      <c r="K188" s="13">
        <v>367</v>
      </c>
      <c r="L188" s="12" t="s">
        <v>632</v>
      </c>
      <c r="M188" s="12">
        <v>3.7</v>
      </c>
      <c r="N188" s="14">
        <v>45528</v>
      </c>
      <c r="O188" s="13">
        <v>4</v>
      </c>
      <c r="P188" s="12" t="s">
        <v>30</v>
      </c>
      <c r="Q188" s="12" t="s">
        <v>46</v>
      </c>
      <c r="R188" s="12" t="s">
        <v>86</v>
      </c>
      <c r="S188" s="12" t="b">
        <v>0</v>
      </c>
      <c r="T188" s="12" t="s">
        <v>56</v>
      </c>
      <c r="U188" s="15">
        <f t="shared" si="8"/>
        <v>3476.7371560000001</v>
      </c>
      <c r="V188" s="15">
        <f t="shared" si="9"/>
        <v>4657.384</v>
      </c>
      <c r="W188" s="15">
        <f t="shared" si="10"/>
        <v>1224.954</v>
      </c>
      <c r="X188" s="15">
        <f t="shared" si="11"/>
        <v>2284.0219999999999</v>
      </c>
    </row>
    <row r="189" spans="1:24">
      <c r="A189" s="12" t="s">
        <v>633</v>
      </c>
      <c r="B189" s="12" t="s">
        <v>634</v>
      </c>
      <c r="C189" s="12" t="s">
        <v>50</v>
      </c>
      <c r="D189" s="12" t="s">
        <v>130</v>
      </c>
      <c r="E189" s="12" t="s">
        <v>28</v>
      </c>
      <c r="F189" s="13">
        <v>2026.02</v>
      </c>
      <c r="G189" s="13">
        <v>48.4</v>
      </c>
      <c r="H189" s="13">
        <v>1045.4000000000001</v>
      </c>
      <c r="I189" s="13">
        <v>3.9</v>
      </c>
      <c r="J189" s="13">
        <v>4</v>
      </c>
      <c r="K189" s="13">
        <v>140</v>
      </c>
      <c r="L189" s="12" t="s">
        <v>635</v>
      </c>
      <c r="M189" s="12">
        <v>3.9</v>
      </c>
      <c r="N189" s="14">
        <v>45932</v>
      </c>
      <c r="O189" s="13">
        <v>4</v>
      </c>
      <c r="P189" s="12" t="s">
        <v>30</v>
      </c>
      <c r="Q189" s="12" t="s">
        <v>46</v>
      </c>
      <c r="R189" s="12" t="s">
        <v>86</v>
      </c>
      <c r="S189" s="12" t="b">
        <v>0</v>
      </c>
      <c r="T189" s="12" t="s">
        <v>56</v>
      </c>
      <c r="U189" s="15">
        <f t="shared" si="8"/>
        <v>980.59367999999995</v>
      </c>
      <c r="V189" s="15">
        <f t="shared" si="9"/>
        <v>810.40800000000002</v>
      </c>
      <c r="W189" s="15">
        <f t="shared" si="10"/>
        <v>156.81</v>
      </c>
      <c r="X189" s="15">
        <f t="shared" si="11"/>
        <v>78.182000000000102</v>
      </c>
    </row>
    <row r="190" spans="1:24">
      <c r="A190" s="12" t="s">
        <v>636</v>
      </c>
      <c r="B190" s="12" t="s">
        <v>637</v>
      </c>
      <c r="C190" s="12" t="s">
        <v>36</v>
      </c>
      <c r="D190" s="12" t="s">
        <v>108</v>
      </c>
      <c r="E190" s="12" t="s">
        <v>100</v>
      </c>
      <c r="F190" s="13">
        <v>8228.92</v>
      </c>
      <c r="G190" s="13">
        <v>12.11</v>
      </c>
      <c r="H190" s="13">
        <v>7232.57</v>
      </c>
      <c r="I190" s="13">
        <v>4.4000000000000004</v>
      </c>
      <c r="J190" s="13">
        <v>38</v>
      </c>
      <c r="K190" s="13">
        <v>434</v>
      </c>
      <c r="L190" s="12" t="s">
        <v>638</v>
      </c>
      <c r="M190" s="12">
        <v>4.7</v>
      </c>
      <c r="N190" s="14">
        <v>45388</v>
      </c>
      <c r="O190" s="13">
        <v>2</v>
      </c>
      <c r="P190" s="12" t="s">
        <v>54</v>
      </c>
      <c r="Q190" s="12" t="s">
        <v>46</v>
      </c>
      <c r="R190" s="12" t="s">
        <v>47</v>
      </c>
      <c r="S190" s="12" t="b">
        <v>0</v>
      </c>
      <c r="T190" s="12" t="s">
        <v>78</v>
      </c>
      <c r="U190" s="15">
        <f t="shared" si="8"/>
        <v>996.52221199999997</v>
      </c>
      <c r="V190" s="15">
        <f t="shared" si="9"/>
        <v>3291.5680000000002</v>
      </c>
      <c r="W190" s="15">
        <f t="shared" si="10"/>
        <v>1084.8855000000001</v>
      </c>
      <c r="X190" s="15">
        <f t="shared" si="11"/>
        <v>2856.1165000000001</v>
      </c>
    </row>
    <row r="191" spans="1:24">
      <c r="A191" s="12" t="s">
        <v>639</v>
      </c>
      <c r="B191" s="12" t="s">
        <v>640</v>
      </c>
      <c r="C191" s="12" t="s">
        <v>75</v>
      </c>
      <c r="D191" s="12" t="s">
        <v>76</v>
      </c>
      <c r="E191" s="12" t="s">
        <v>112</v>
      </c>
      <c r="F191" s="13">
        <v>2781.73</v>
      </c>
      <c r="G191" s="13">
        <v>53.96</v>
      </c>
      <c r="H191" s="13">
        <v>1280.76</v>
      </c>
      <c r="I191" s="13">
        <v>3.6</v>
      </c>
      <c r="J191" s="13">
        <v>51</v>
      </c>
      <c r="K191" s="13">
        <v>16</v>
      </c>
      <c r="L191" s="12" t="s">
        <v>641</v>
      </c>
      <c r="M191" s="12">
        <v>2.7</v>
      </c>
      <c r="N191" s="14">
        <v>45509</v>
      </c>
      <c r="O191" s="13">
        <v>6</v>
      </c>
      <c r="P191" s="12" t="s">
        <v>30</v>
      </c>
      <c r="Q191" s="12" t="s">
        <v>31</v>
      </c>
      <c r="R191" s="12" t="s">
        <v>86</v>
      </c>
      <c r="S191" s="12" t="b">
        <v>0</v>
      </c>
      <c r="T191" s="12" t="s">
        <v>56</v>
      </c>
      <c r="U191" s="15">
        <f t="shared" si="8"/>
        <v>1501.021508</v>
      </c>
      <c r="V191" s="15">
        <f t="shared" si="9"/>
        <v>1112.692</v>
      </c>
      <c r="W191" s="15">
        <f t="shared" si="10"/>
        <v>192.114</v>
      </c>
      <c r="X191" s="15">
        <f t="shared" si="11"/>
        <v>-24.045999999999999</v>
      </c>
    </row>
    <row r="192" spans="1:24">
      <c r="A192" s="12" t="s">
        <v>642</v>
      </c>
      <c r="B192" s="12" t="s">
        <v>643</v>
      </c>
      <c r="C192" s="12" t="s">
        <v>59</v>
      </c>
      <c r="D192" s="12" t="s">
        <v>170</v>
      </c>
      <c r="E192" s="12" t="s">
        <v>84</v>
      </c>
      <c r="F192" s="13">
        <v>10598.93</v>
      </c>
      <c r="G192" s="13">
        <v>49.28</v>
      </c>
      <c r="H192" s="13">
        <v>5375.25</v>
      </c>
      <c r="I192" s="13">
        <v>4.5</v>
      </c>
      <c r="J192" s="13">
        <v>84</v>
      </c>
      <c r="K192" s="13">
        <v>187</v>
      </c>
      <c r="L192" s="12" t="s">
        <v>644</v>
      </c>
      <c r="M192" s="12">
        <v>4.9000000000000004</v>
      </c>
      <c r="N192" s="14">
        <v>45738</v>
      </c>
      <c r="O192" s="13">
        <v>4</v>
      </c>
      <c r="P192" s="12" t="s">
        <v>45</v>
      </c>
      <c r="Q192" s="12" t="s">
        <v>55</v>
      </c>
      <c r="R192" s="12" t="s">
        <v>72</v>
      </c>
      <c r="S192" s="12" t="b">
        <v>0</v>
      </c>
      <c r="T192" s="12" t="s">
        <v>78</v>
      </c>
      <c r="U192" s="15">
        <f t="shared" si="8"/>
        <v>5223.1527040000001</v>
      </c>
      <c r="V192" s="15">
        <f t="shared" si="9"/>
        <v>4239.5720000000001</v>
      </c>
      <c r="W192" s="15">
        <f t="shared" si="10"/>
        <v>806.28750000000002</v>
      </c>
      <c r="X192" s="15">
        <f t="shared" si="11"/>
        <v>329.39049999999997</v>
      </c>
    </row>
    <row r="193" spans="1:24">
      <c r="A193" s="12" t="s">
        <v>645</v>
      </c>
      <c r="B193" s="12" t="s">
        <v>646</v>
      </c>
      <c r="C193" s="12" t="s">
        <v>26</v>
      </c>
      <c r="D193" s="12" t="s">
        <v>27</v>
      </c>
      <c r="E193" s="12" t="s">
        <v>28</v>
      </c>
      <c r="F193" s="13">
        <v>54210.05</v>
      </c>
      <c r="G193" s="13">
        <v>33.799999999999997</v>
      </c>
      <c r="H193" s="13">
        <v>35885.129999999997</v>
      </c>
      <c r="I193" s="13">
        <v>4.0999999999999996</v>
      </c>
      <c r="J193" s="13">
        <v>5</v>
      </c>
      <c r="K193" s="13">
        <v>198</v>
      </c>
      <c r="L193" s="12" t="s">
        <v>647</v>
      </c>
      <c r="M193" s="12">
        <v>4.5999999999999996</v>
      </c>
      <c r="N193" s="14">
        <v>45804</v>
      </c>
      <c r="O193" s="13">
        <v>2</v>
      </c>
      <c r="P193" s="12" t="s">
        <v>54</v>
      </c>
      <c r="Q193" s="12" t="s">
        <v>55</v>
      </c>
      <c r="R193" s="12" t="s">
        <v>72</v>
      </c>
      <c r="S193" s="12" t="b">
        <v>0</v>
      </c>
      <c r="T193" s="12" t="s">
        <v>62</v>
      </c>
      <c r="U193" s="15">
        <f t="shared" si="8"/>
        <v>18322.996899999998</v>
      </c>
      <c r="V193" s="15">
        <f t="shared" si="9"/>
        <v>21684.02</v>
      </c>
      <c r="W193" s="15">
        <f t="shared" si="10"/>
        <v>5382.7695000000003</v>
      </c>
      <c r="X193" s="15">
        <f t="shared" si="11"/>
        <v>8818.3404999999893</v>
      </c>
    </row>
    <row r="194" spans="1:24">
      <c r="A194" s="12" t="s">
        <v>648</v>
      </c>
      <c r="B194" s="12" t="s">
        <v>649</v>
      </c>
      <c r="C194" s="12" t="s">
        <v>50</v>
      </c>
      <c r="D194" s="12" t="s">
        <v>130</v>
      </c>
      <c r="E194" s="12" t="s">
        <v>65</v>
      </c>
      <c r="F194" s="13">
        <v>1708.88</v>
      </c>
      <c r="G194" s="13">
        <v>41.97</v>
      </c>
      <c r="H194" s="13">
        <v>991.6</v>
      </c>
      <c r="I194" s="13">
        <v>2.8</v>
      </c>
      <c r="J194" s="13">
        <v>10</v>
      </c>
      <c r="K194" s="13">
        <v>102</v>
      </c>
      <c r="L194" s="12" t="s">
        <v>650</v>
      </c>
      <c r="M194" s="12">
        <v>4.7</v>
      </c>
      <c r="N194" s="14">
        <v>45411</v>
      </c>
      <c r="O194" s="13">
        <v>2</v>
      </c>
      <c r="P194" s="12" t="s">
        <v>30</v>
      </c>
      <c r="Q194" s="12" t="s">
        <v>46</v>
      </c>
      <c r="R194" s="12" t="s">
        <v>32</v>
      </c>
      <c r="S194" s="12" t="b">
        <v>0</v>
      </c>
      <c r="T194" s="12" t="s">
        <v>56</v>
      </c>
      <c r="U194" s="15">
        <f t="shared" si="8"/>
        <v>717.21693600000003</v>
      </c>
      <c r="V194" s="15">
        <f t="shared" si="9"/>
        <v>683.55200000000002</v>
      </c>
      <c r="W194" s="15">
        <f t="shared" si="10"/>
        <v>148.74</v>
      </c>
      <c r="X194" s="15">
        <f t="shared" si="11"/>
        <v>159.30799999999999</v>
      </c>
    </row>
    <row r="195" spans="1:24">
      <c r="A195" s="12" t="s">
        <v>651</v>
      </c>
      <c r="B195" s="12" t="s">
        <v>652</v>
      </c>
      <c r="C195" s="12" t="s">
        <v>75</v>
      </c>
      <c r="D195" s="12" t="s">
        <v>76</v>
      </c>
      <c r="E195" s="12" t="s">
        <v>235</v>
      </c>
      <c r="F195" s="13">
        <v>1599.53</v>
      </c>
      <c r="G195" s="13">
        <v>35.21</v>
      </c>
      <c r="H195" s="13">
        <v>1036.3800000000001</v>
      </c>
      <c r="I195" s="13">
        <v>3.9</v>
      </c>
      <c r="J195" s="13">
        <v>30</v>
      </c>
      <c r="K195" s="13">
        <v>495</v>
      </c>
      <c r="L195" s="12" t="s">
        <v>653</v>
      </c>
      <c r="M195" s="12">
        <v>4.0999999999999996</v>
      </c>
      <c r="N195" s="14">
        <v>45902</v>
      </c>
      <c r="O195" s="13">
        <v>1</v>
      </c>
      <c r="P195" s="12" t="s">
        <v>40</v>
      </c>
      <c r="Q195" s="12" t="s">
        <v>31</v>
      </c>
      <c r="R195" s="12" t="s">
        <v>72</v>
      </c>
      <c r="S195" s="12" t="b">
        <v>0</v>
      </c>
      <c r="T195" s="12" t="s">
        <v>62</v>
      </c>
      <c r="U195" s="15">
        <f t="shared" ref="U195:U258" si="12">F195*(G195/100)</f>
        <v>563.19451300000003</v>
      </c>
      <c r="V195" s="15">
        <f t="shared" ref="V195:V258" si="13">F195*0.4</f>
        <v>639.81200000000001</v>
      </c>
      <c r="W195" s="15">
        <f t="shared" ref="W195:W258" si="14">H195*0.15</f>
        <v>155.45699999999999</v>
      </c>
      <c r="X195" s="15">
        <f t="shared" ref="X195:X258" si="15">H195-V195-W195</f>
        <v>241.11099999999999</v>
      </c>
    </row>
    <row r="196" spans="1:24">
      <c r="A196" s="12" t="s">
        <v>654</v>
      </c>
      <c r="B196" s="12" t="s">
        <v>655</v>
      </c>
      <c r="C196" s="12" t="s">
        <v>26</v>
      </c>
      <c r="D196" s="12" t="s">
        <v>313</v>
      </c>
      <c r="E196" s="12" t="s">
        <v>52</v>
      </c>
      <c r="F196" s="13">
        <v>51569.64</v>
      </c>
      <c r="G196" s="13">
        <v>27.19</v>
      </c>
      <c r="H196" s="13">
        <v>37545.29</v>
      </c>
      <c r="I196" s="13">
        <v>4.5</v>
      </c>
      <c r="J196" s="13">
        <v>9</v>
      </c>
      <c r="K196" s="13">
        <v>89</v>
      </c>
      <c r="L196" s="12" t="s">
        <v>656</v>
      </c>
      <c r="M196" s="12">
        <v>2.5</v>
      </c>
      <c r="N196" s="14">
        <v>45545</v>
      </c>
      <c r="O196" s="13">
        <v>1</v>
      </c>
      <c r="P196" s="12" t="s">
        <v>54</v>
      </c>
      <c r="Q196" s="12" t="s">
        <v>31</v>
      </c>
      <c r="R196" s="12" t="s">
        <v>47</v>
      </c>
      <c r="S196" s="12" t="b">
        <v>0</v>
      </c>
      <c r="T196" s="12" t="s">
        <v>78</v>
      </c>
      <c r="U196" s="15">
        <f t="shared" si="12"/>
        <v>14021.785115999999</v>
      </c>
      <c r="V196" s="15">
        <f t="shared" si="13"/>
        <v>20627.856</v>
      </c>
      <c r="W196" s="15">
        <f t="shared" si="14"/>
        <v>5631.7934999999998</v>
      </c>
      <c r="X196" s="15">
        <f t="shared" si="15"/>
        <v>11285.6405</v>
      </c>
    </row>
    <row r="197" spans="1:24">
      <c r="A197" s="12" t="s">
        <v>657</v>
      </c>
      <c r="B197" s="12" t="s">
        <v>658</v>
      </c>
      <c r="C197" s="12" t="s">
        <v>75</v>
      </c>
      <c r="D197" s="12" t="s">
        <v>135</v>
      </c>
      <c r="E197" s="12" t="s">
        <v>70</v>
      </c>
      <c r="F197" s="13">
        <v>1252.0899999999999</v>
      </c>
      <c r="G197" s="13">
        <v>14.62</v>
      </c>
      <c r="H197" s="13">
        <v>1068.98</v>
      </c>
      <c r="I197" s="13">
        <v>4.2</v>
      </c>
      <c r="J197" s="13">
        <v>13</v>
      </c>
      <c r="K197" s="13">
        <v>283</v>
      </c>
      <c r="L197" s="12" t="s">
        <v>659</v>
      </c>
      <c r="M197" s="12">
        <v>2.7</v>
      </c>
      <c r="N197" s="14">
        <v>45921</v>
      </c>
      <c r="O197" s="13">
        <v>6</v>
      </c>
      <c r="P197" s="12" t="s">
        <v>117</v>
      </c>
      <c r="Q197" s="12" t="s">
        <v>55</v>
      </c>
      <c r="R197" s="12" t="s">
        <v>47</v>
      </c>
      <c r="S197" s="12" t="b">
        <v>0</v>
      </c>
      <c r="T197" s="12" t="s">
        <v>62</v>
      </c>
      <c r="U197" s="15">
        <f t="shared" si="12"/>
        <v>183.05555799999999</v>
      </c>
      <c r="V197" s="15">
        <f t="shared" si="13"/>
        <v>500.83600000000001</v>
      </c>
      <c r="W197" s="15">
        <f t="shared" si="14"/>
        <v>160.34700000000001</v>
      </c>
      <c r="X197" s="15">
        <f t="shared" si="15"/>
        <v>407.79700000000003</v>
      </c>
    </row>
    <row r="198" spans="1:24">
      <c r="A198" s="12" t="s">
        <v>660</v>
      </c>
      <c r="B198" s="12" t="s">
        <v>661</v>
      </c>
      <c r="C198" s="12" t="s">
        <v>26</v>
      </c>
      <c r="D198" s="12" t="s">
        <v>27</v>
      </c>
      <c r="E198" s="12" t="s">
        <v>52</v>
      </c>
      <c r="F198" s="13">
        <v>62236.65</v>
      </c>
      <c r="G198" s="13">
        <v>33.26</v>
      </c>
      <c r="H198" s="13">
        <v>41537.449999999997</v>
      </c>
      <c r="I198" s="13">
        <v>4.9000000000000004</v>
      </c>
      <c r="J198" s="13">
        <v>28</v>
      </c>
      <c r="K198" s="13">
        <v>269</v>
      </c>
      <c r="L198" s="12" t="s">
        <v>662</v>
      </c>
      <c r="M198" s="12">
        <v>2.8</v>
      </c>
      <c r="N198" s="14">
        <v>45488</v>
      </c>
      <c r="O198" s="13">
        <v>3</v>
      </c>
      <c r="P198" s="12" t="s">
        <v>117</v>
      </c>
      <c r="Q198" s="12" t="s">
        <v>55</v>
      </c>
      <c r="R198" s="12" t="s">
        <v>32</v>
      </c>
      <c r="S198" s="12" t="b">
        <v>0</v>
      </c>
      <c r="T198" s="12" t="s">
        <v>78</v>
      </c>
      <c r="U198" s="15">
        <f t="shared" si="12"/>
        <v>20699.909790000002</v>
      </c>
      <c r="V198" s="15">
        <f t="shared" si="13"/>
        <v>24894.66</v>
      </c>
      <c r="W198" s="15">
        <f t="shared" si="14"/>
        <v>6230.6175000000003</v>
      </c>
      <c r="X198" s="15">
        <f t="shared" si="15"/>
        <v>10412.172500000001</v>
      </c>
    </row>
    <row r="199" spans="1:24">
      <c r="A199" s="12" t="s">
        <v>663</v>
      </c>
      <c r="B199" s="12" t="s">
        <v>664</v>
      </c>
      <c r="C199" s="12" t="s">
        <v>59</v>
      </c>
      <c r="D199" s="12" t="s">
        <v>60</v>
      </c>
      <c r="E199" s="12" t="s">
        <v>84</v>
      </c>
      <c r="F199" s="13">
        <v>17426.71</v>
      </c>
      <c r="G199" s="13">
        <v>48.96</v>
      </c>
      <c r="H199" s="13">
        <v>8895.2900000000009</v>
      </c>
      <c r="I199" s="13">
        <v>3.9</v>
      </c>
      <c r="J199" s="13">
        <v>7</v>
      </c>
      <c r="K199" s="13">
        <v>264</v>
      </c>
      <c r="L199" s="12" t="s">
        <v>665</v>
      </c>
      <c r="M199" s="12">
        <v>2.6</v>
      </c>
      <c r="N199" s="14">
        <v>46038</v>
      </c>
      <c r="O199" s="13">
        <v>1</v>
      </c>
      <c r="P199" s="12" t="s">
        <v>117</v>
      </c>
      <c r="Q199" s="12" t="s">
        <v>46</v>
      </c>
      <c r="R199" s="12" t="s">
        <v>47</v>
      </c>
      <c r="S199" s="12" t="b">
        <v>0</v>
      </c>
      <c r="T199" s="12" t="s">
        <v>78</v>
      </c>
      <c r="U199" s="15">
        <f t="shared" si="12"/>
        <v>8532.1172160000006</v>
      </c>
      <c r="V199" s="15">
        <f t="shared" si="13"/>
        <v>6970.6840000000002</v>
      </c>
      <c r="W199" s="15">
        <f t="shared" si="14"/>
        <v>1334.2935</v>
      </c>
      <c r="X199" s="15">
        <f t="shared" si="15"/>
        <v>590.31250000000102</v>
      </c>
    </row>
    <row r="200" spans="1:24">
      <c r="A200" s="12" t="s">
        <v>666</v>
      </c>
      <c r="B200" s="12" t="s">
        <v>667</v>
      </c>
      <c r="C200" s="12" t="s">
        <v>50</v>
      </c>
      <c r="D200" s="12" t="s">
        <v>213</v>
      </c>
      <c r="E200" s="12" t="s">
        <v>38</v>
      </c>
      <c r="F200" s="13">
        <v>4869.33</v>
      </c>
      <c r="G200" s="13">
        <v>36.47</v>
      </c>
      <c r="H200" s="13">
        <v>3093.52</v>
      </c>
      <c r="I200" s="13">
        <v>4.4000000000000004</v>
      </c>
      <c r="J200" s="13">
        <v>157</v>
      </c>
      <c r="K200" s="13">
        <v>155</v>
      </c>
      <c r="L200" s="12" t="s">
        <v>668</v>
      </c>
      <c r="M200" s="12">
        <v>3.2</v>
      </c>
      <c r="N200" s="14">
        <v>45639</v>
      </c>
      <c r="O200" s="13">
        <v>3</v>
      </c>
      <c r="P200" s="12" t="s">
        <v>40</v>
      </c>
      <c r="Q200" s="12" t="s">
        <v>46</v>
      </c>
      <c r="R200" s="12" t="s">
        <v>72</v>
      </c>
      <c r="S200" s="12" t="b">
        <v>0</v>
      </c>
      <c r="T200" s="12" t="s">
        <v>62</v>
      </c>
      <c r="U200" s="15">
        <f t="shared" si="12"/>
        <v>1775.8446510000001</v>
      </c>
      <c r="V200" s="15">
        <f t="shared" si="13"/>
        <v>1947.732</v>
      </c>
      <c r="W200" s="15">
        <f t="shared" si="14"/>
        <v>464.02800000000002</v>
      </c>
      <c r="X200" s="15">
        <f t="shared" si="15"/>
        <v>681.76</v>
      </c>
    </row>
    <row r="201" spans="1:24">
      <c r="A201" s="12" t="s">
        <v>669</v>
      </c>
      <c r="B201" s="12" t="s">
        <v>670</v>
      </c>
      <c r="C201" s="12" t="s">
        <v>75</v>
      </c>
      <c r="D201" s="12" t="s">
        <v>104</v>
      </c>
      <c r="E201" s="12" t="s">
        <v>131</v>
      </c>
      <c r="F201" s="13">
        <v>1006.61</v>
      </c>
      <c r="G201" s="13">
        <v>24.51</v>
      </c>
      <c r="H201" s="13">
        <v>759.85</v>
      </c>
      <c r="I201" s="13">
        <v>3.8</v>
      </c>
      <c r="J201" s="13">
        <v>14</v>
      </c>
      <c r="K201" s="13">
        <v>128</v>
      </c>
      <c r="L201" s="12" t="s">
        <v>671</v>
      </c>
      <c r="M201" s="12">
        <v>2.7</v>
      </c>
      <c r="N201" s="14">
        <v>46076</v>
      </c>
      <c r="O201" s="13">
        <v>1</v>
      </c>
      <c r="P201" s="12" t="s">
        <v>30</v>
      </c>
      <c r="Q201" s="12" t="s">
        <v>31</v>
      </c>
      <c r="R201" s="12" t="s">
        <v>72</v>
      </c>
      <c r="S201" s="12" t="b">
        <v>0</v>
      </c>
      <c r="T201" s="12" t="s">
        <v>78</v>
      </c>
      <c r="U201" s="15">
        <f t="shared" si="12"/>
        <v>246.720111</v>
      </c>
      <c r="V201" s="15">
        <f t="shared" si="13"/>
        <v>402.64400000000001</v>
      </c>
      <c r="W201" s="15">
        <f t="shared" si="14"/>
        <v>113.97750000000001</v>
      </c>
      <c r="X201" s="15">
        <f t="shared" si="15"/>
        <v>243.2285</v>
      </c>
    </row>
    <row r="202" spans="1:24">
      <c r="A202" s="12" t="s">
        <v>672</v>
      </c>
      <c r="B202" s="12" t="s">
        <v>673</v>
      </c>
      <c r="C202" s="12" t="s">
        <v>59</v>
      </c>
      <c r="D202" s="12" t="s">
        <v>60</v>
      </c>
      <c r="E202" s="12" t="s">
        <v>131</v>
      </c>
      <c r="F202" s="13">
        <v>12377.36</v>
      </c>
      <c r="G202" s="13">
        <v>44.48</v>
      </c>
      <c r="H202" s="13">
        <v>6872.31</v>
      </c>
      <c r="I202" s="13">
        <v>3.3</v>
      </c>
      <c r="J202" s="13">
        <v>5</v>
      </c>
      <c r="K202" s="13">
        <v>86</v>
      </c>
      <c r="L202" s="12" t="s">
        <v>674</v>
      </c>
      <c r="M202" s="12">
        <v>3.2</v>
      </c>
      <c r="N202" s="14">
        <v>45390</v>
      </c>
      <c r="O202" s="13">
        <v>4</v>
      </c>
      <c r="P202" s="12" t="s">
        <v>40</v>
      </c>
      <c r="Q202" s="12" t="s">
        <v>46</v>
      </c>
      <c r="R202" s="12" t="s">
        <v>72</v>
      </c>
      <c r="S202" s="12" t="b">
        <v>0</v>
      </c>
      <c r="T202" s="12" t="s">
        <v>62</v>
      </c>
      <c r="U202" s="15">
        <f t="shared" si="12"/>
        <v>5505.4497279999996</v>
      </c>
      <c r="V202" s="15">
        <f t="shared" si="13"/>
        <v>4950.9440000000004</v>
      </c>
      <c r="W202" s="15">
        <f t="shared" si="14"/>
        <v>1030.8465000000001</v>
      </c>
      <c r="X202" s="15">
        <f t="shared" si="15"/>
        <v>890.51949999999999</v>
      </c>
    </row>
    <row r="203" spans="1:24">
      <c r="A203" s="12" t="s">
        <v>675</v>
      </c>
      <c r="B203" s="12" t="s">
        <v>676</v>
      </c>
      <c r="C203" s="12" t="s">
        <v>26</v>
      </c>
      <c r="D203" s="12" t="s">
        <v>27</v>
      </c>
      <c r="E203" s="12" t="s">
        <v>84</v>
      </c>
      <c r="F203" s="13">
        <v>37188.69</v>
      </c>
      <c r="G203" s="13">
        <v>13.83</v>
      </c>
      <c r="H203" s="13">
        <v>32045.21</v>
      </c>
      <c r="I203" s="13">
        <v>4.0999999999999996</v>
      </c>
      <c r="J203" s="13">
        <v>4</v>
      </c>
      <c r="K203" s="13">
        <v>135</v>
      </c>
      <c r="L203" s="12" t="s">
        <v>677</v>
      </c>
      <c r="M203" s="12">
        <v>4.8</v>
      </c>
      <c r="N203" s="14">
        <v>45515</v>
      </c>
      <c r="O203" s="13">
        <v>4</v>
      </c>
      <c r="P203" s="12" t="s">
        <v>40</v>
      </c>
      <c r="Q203" s="12" t="s">
        <v>31</v>
      </c>
      <c r="R203" s="12" t="s">
        <v>86</v>
      </c>
      <c r="S203" s="12" t="b">
        <v>1</v>
      </c>
      <c r="T203" s="12" t="s">
        <v>33</v>
      </c>
      <c r="U203" s="15">
        <f t="shared" si="12"/>
        <v>5143.1958269999996</v>
      </c>
      <c r="V203" s="15">
        <f t="shared" si="13"/>
        <v>14875.476000000001</v>
      </c>
      <c r="W203" s="15">
        <f t="shared" si="14"/>
        <v>4806.7815000000001</v>
      </c>
      <c r="X203" s="15">
        <f t="shared" si="15"/>
        <v>12362.952499999999</v>
      </c>
    </row>
    <row r="204" spans="1:24">
      <c r="A204" s="12" t="s">
        <v>678</v>
      </c>
      <c r="B204" s="12" t="s">
        <v>679</v>
      </c>
      <c r="C204" s="12" t="s">
        <v>36</v>
      </c>
      <c r="D204" s="12" t="s">
        <v>108</v>
      </c>
      <c r="E204" s="12" t="s">
        <v>38</v>
      </c>
      <c r="F204" s="13">
        <v>8002.97</v>
      </c>
      <c r="G204" s="13">
        <v>24.37</v>
      </c>
      <c r="H204" s="13">
        <v>6052.71</v>
      </c>
      <c r="I204" s="13">
        <v>3.6</v>
      </c>
      <c r="J204" s="13">
        <v>3</v>
      </c>
      <c r="K204" s="13">
        <v>148</v>
      </c>
      <c r="L204" s="12" t="s">
        <v>680</v>
      </c>
      <c r="M204" s="12">
        <v>2.9</v>
      </c>
      <c r="N204" s="14">
        <v>45447</v>
      </c>
      <c r="O204" s="13">
        <v>1</v>
      </c>
      <c r="P204" s="12" t="s">
        <v>117</v>
      </c>
      <c r="Q204" s="12" t="s">
        <v>55</v>
      </c>
      <c r="R204" s="12" t="s">
        <v>47</v>
      </c>
      <c r="S204" s="12" t="b">
        <v>0</v>
      </c>
      <c r="T204" s="12" t="s">
        <v>62</v>
      </c>
      <c r="U204" s="15">
        <f t="shared" si="12"/>
        <v>1950.323789</v>
      </c>
      <c r="V204" s="15">
        <f t="shared" si="13"/>
        <v>3201.1880000000001</v>
      </c>
      <c r="W204" s="15">
        <f t="shared" si="14"/>
        <v>907.90650000000005</v>
      </c>
      <c r="X204" s="15">
        <f t="shared" si="15"/>
        <v>1943.6155000000001</v>
      </c>
    </row>
    <row r="205" spans="1:24">
      <c r="A205" s="12" t="s">
        <v>681</v>
      </c>
      <c r="B205" s="12" t="s">
        <v>682</v>
      </c>
      <c r="C205" s="12" t="s">
        <v>50</v>
      </c>
      <c r="D205" s="12" t="s">
        <v>51</v>
      </c>
      <c r="E205" s="12" t="s">
        <v>235</v>
      </c>
      <c r="F205" s="13">
        <v>3986.25</v>
      </c>
      <c r="G205" s="13">
        <v>35.44</v>
      </c>
      <c r="H205" s="13">
        <v>2573.56</v>
      </c>
      <c r="I205" s="13">
        <v>3.7</v>
      </c>
      <c r="J205" s="13">
        <v>12</v>
      </c>
      <c r="K205" s="13">
        <v>80</v>
      </c>
      <c r="L205" s="12" t="s">
        <v>683</v>
      </c>
      <c r="M205" s="12">
        <v>4.0999999999999996</v>
      </c>
      <c r="N205" s="14">
        <v>45813</v>
      </c>
      <c r="O205" s="13">
        <v>3</v>
      </c>
      <c r="P205" s="12" t="s">
        <v>40</v>
      </c>
      <c r="Q205" s="12" t="s">
        <v>55</v>
      </c>
      <c r="R205" s="12" t="s">
        <v>86</v>
      </c>
      <c r="S205" s="12" t="b">
        <v>0</v>
      </c>
      <c r="T205" s="12" t="s">
        <v>56</v>
      </c>
      <c r="U205" s="15">
        <f t="shared" si="12"/>
        <v>1412.7270000000001</v>
      </c>
      <c r="V205" s="15">
        <f t="shared" si="13"/>
        <v>1594.5</v>
      </c>
      <c r="W205" s="15">
        <f t="shared" si="14"/>
        <v>386.03399999999999</v>
      </c>
      <c r="X205" s="15">
        <f t="shared" si="15"/>
        <v>593.02599999999995</v>
      </c>
    </row>
    <row r="206" spans="1:24">
      <c r="A206" s="12" t="s">
        <v>684</v>
      </c>
      <c r="B206" s="12" t="s">
        <v>685</v>
      </c>
      <c r="C206" s="12" t="s">
        <v>75</v>
      </c>
      <c r="D206" s="12" t="s">
        <v>104</v>
      </c>
      <c r="E206" s="12" t="s">
        <v>65</v>
      </c>
      <c r="F206" s="13">
        <v>3202.93</v>
      </c>
      <c r="G206" s="13">
        <v>14.26</v>
      </c>
      <c r="H206" s="13">
        <v>2746.32</v>
      </c>
      <c r="I206" s="13">
        <v>3.5</v>
      </c>
      <c r="J206" s="13">
        <v>5</v>
      </c>
      <c r="K206" s="13">
        <v>375</v>
      </c>
      <c r="L206" s="12" t="s">
        <v>686</v>
      </c>
      <c r="M206" s="12">
        <v>4.8</v>
      </c>
      <c r="N206" s="14">
        <v>45702</v>
      </c>
      <c r="O206" s="13">
        <v>3</v>
      </c>
      <c r="P206" s="12" t="s">
        <v>54</v>
      </c>
      <c r="Q206" s="12" t="s">
        <v>55</v>
      </c>
      <c r="R206" s="12" t="s">
        <v>47</v>
      </c>
      <c r="S206" s="12" t="b">
        <v>0</v>
      </c>
      <c r="T206" s="12" t="s">
        <v>56</v>
      </c>
      <c r="U206" s="15">
        <f t="shared" si="12"/>
        <v>456.737818</v>
      </c>
      <c r="V206" s="15">
        <f t="shared" si="13"/>
        <v>1281.172</v>
      </c>
      <c r="W206" s="15">
        <f t="shared" si="14"/>
        <v>411.94799999999998</v>
      </c>
      <c r="X206" s="15">
        <f t="shared" si="15"/>
        <v>1053.2</v>
      </c>
    </row>
    <row r="207" spans="1:24">
      <c r="A207" s="12" t="s">
        <v>687</v>
      </c>
      <c r="B207" s="12" t="s">
        <v>688</v>
      </c>
      <c r="C207" s="12" t="s">
        <v>36</v>
      </c>
      <c r="D207" s="12" t="s">
        <v>108</v>
      </c>
      <c r="E207" s="12" t="s">
        <v>84</v>
      </c>
      <c r="F207" s="13">
        <v>9526.5400000000009</v>
      </c>
      <c r="G207" s="13">
        <v>26.14</v>
      </c>
      <c r="H207" s="13">
        <v>7036.45</v>
      </c>
      <c r="I207" s="13">
        <v>3.3</v>
      </c>
      <c r="J207" s="13">
        <v>1</v>
      </c>
      <c r="K207" s="13">
        <v>62</v>
      </c>
      <c r="L207" s="12" t="s">
        <v>689</v>
      </c>
      <c r="M207" s="12">
        <v>2.5</v>
      </c>
      <c r="N207" s="14">
        <v>45707</v>
      </c>
      <c r="O207" s="13">
        <v>1</v>
      </c>
      <c r="P207" s="12" t="s">
        <v>30</v>
      </c>
      <c r="Q207" s="12" t="s">
        <v>55</v>
      </c>
      <c r="R207" s="12" t="s">
        <v>47</v>
      </c>
      <c r="S207" s="12" t="b">
        <v>0</v>
      </c>
      <c r="T207" s="12" t="s">
        <v>78</v>
      </c>
      <c r="U207" s="15">
        <f t="shared" si="12"/>
        <v>2490.237556</v>
      </c>
      <c r="V207" s="15">
        <f t="shared" si="13"/>
        <v>3810.616</v>
      </c>
      <c r="W207" s="15">
        <f t="shared" si="14"/>
        <v>1055.4675</v>
      </c>
      <c r="X207" s="15">
        <f t="shared" si="15"/>
        <v>2170.3665000000001</v>
      </c>
    </row>
    <row r="208" spans="1:24">
      <c r="A208" s="12" t="s">
        <v>690</v>
      </c>
      <c r="B208" s="12" t="s">
        <v>691</v>
      </c>
      <c r="C208" s="12" t="s">
        <v>26</v>
      </c>
      <c r="D208" s="12" t="s">
        <v>27</v>
      </c>
      <c r="E208" s="12" t="s">
        <v>52</v>
      </c>
      <c r="F208" s="13">
        <v>5574.8</v>
      </c>
      <c r="G208" s="13">
        <v>33.090000000000003</v>
      </c>
      <c r="H208" s="13">
        <v>3730.07</v>
      </c>
      <c r="I208" s="13">
        <v>4.0999999999999996</v>
      </c>
      <c r="J208" s="13">
        <v>308</v>
      </c>
      <c r="K208" s="13">
        <v>127</v>
      </c>
      <c r="L208" s="12" t="s">
        <v>692</v>
      </c>
      <c r="M208" s="12">
        <v>3.2</v>
      </c>
      <c r="N208" s="14">
        <v>45399</v>
      </c>
      <c r="O208" s="13">
        <v>3</v>
      </c>
      <c r="P208" s="12" t="s">
        <v>117</v>
      </c>
      <c r="Q208" s="12" t="s">
        <v>55</v>
      </c>
      <c r="R208" s="12" t="s">
        <v>72</v>
      </c>
      <c r="S208" s="12" t="b">
        <v>1</v>
      </c>
      <c r="T208" s="12" t="s">
        <v>33</v>
      </c>
      <c r="U208" s="15">
        <f t="shared" si="12"/>
        <v>1844.7013199999999</v>
      </c>
      <c r="V208" s="15">
        <f t="shared" si="13"/>
        <v>2229.92</v>
      </c>
      <c r="W208" s="15">
        <f t="shared" si="14"/>
        <v>559.51049999999998</v>
      </c>
      <c r="X208" s="15">
        <f t="shared" si="15"/>
        <v>940.6395</v>
      </c>
    </row>
    <row r="209" spans="1:24">
      <c r="A209" s="12" t="s">
        <v>693</v>
      </c>
      <c r="B209" s="12" t="s">
        <v>694</v>
      </c>
      <c r="C209" s="12" t="s">
        <v>75</v>
      </c>
      <c r="D209" s="12" t="s">
        <v>135</v>
      </c>
      <c r="E209" s="12" t="s">
        <v>235</v>
      </c>
      <c r="F209" s="13">
        <v>1780.53</v>
      </c>
      <c r="G209" s="13">
        <v>44.49</v>
      </c>
      <c r="H209" s="13">
        <v>988.43</v>
      </c>
      <c r="I209" s="13">
        <v>3.8</v>
      </c>
      <c r="J209" s="13">
        <v>11</v>
      </c>
      <c r="K209" s="13">
        <v>450</v>
      </c>
      <c r="L209" s="12" t="s">
        <v>695</v>
      </c>
      <c r="M209" s="12">
        <v>3.5</v>
      </c>
      <c r="N209" s="14">
        <v>45539</v>
      </c>
      <c r="O209" s="13">
        <v>6</v>
      </c>
      <c r="P209" s="12" t="s">
        <v>45</v>
      </c>
      <c r="Q209" s="12" t="s">
        <v>55</v>
      </c>
      <c r="R209" s="12" t="s">
        <v>32</v>
      </c>
      <c r="S209" s="12" t="b">
        <v>1</v>
      </c>
      <c r="T209" s="12" t="s">
        <v>33</v>
      </c>
      <c r="U209" s="15">
        <f t="shared" si="12"/>
        <v>792.15779699999996</v>
      </c>
      <c r="V209" s="15">
        <f t="shared" si="13"/>
        <v>712.21199999999999</v>
      </c>
      <c r="W209" s="15">
        <f t="shared" si="14"/>
        <v>148.2645</v>
      </c>
      <c r="X209" s="15">
        <f t="shared" si="15"/>
        <v>127.95350000000001</v>
      </c>
    </row>
    <row r="210" spans="1:24">
      <c r="A210" s="12" t="s">
        <v>696</v>
      </c>
      <c r="B210" s="12" t="s">
        <v>697</v>
      </c>
      <c r="C210" s="12" t="s">
        <v>26</v>
      </c>
      <c r="D210" s="12" t="s">
        <v>148</v>
      </c>
      <c r="E210" s="12" t="s">
        <v>131</v>
      </c>
      <c r="F210" s="13">
        <v>59739.519999999997</v>
      </c>
      <c r="G210" s="13">
        <v>15.39</v>
      </c>
      <c r="H210" s="13">
        <v>50548.32</v>
      </c>
      <c r="I210" s="13">
        <v>4.7</v>
      </c>
      <c r="J210" s="13">
        <v>30</v>
      </c>
      <c r="K210" s="13">
        <v>298</v>
      </c>
      <c r="L210" s="12" t="s">
        <v>698</v>
      </c>
      <c r="M210" s="12">
        <v>3.1</v>
      </c>
      <c r="N210" s="14">
        <v>45473</v>
      </c>
      <c r="O210" s="13">
        <v>6</v>
      </c>
      <c r="P210" s="12" t="s">
        <v>117</v>
      </c>
      <c r="Q210" s="12" t="s">
        <v>46</v>
      </c>
      <c r="R210" s="12" t="s">
        <v>32</v>
      </c>
      <c r="S210" s="12" t="b">
        <v>1</v>
      </c>
      <c r="T210" s="12" t="s">
        <v>33</v>
      </c>
      <c r="U210" s="15">
        <f t="shared" si="12"/>
        <v>9193.9121279999999</v>
      </c>
      <c r="V210" s="15">
        <f t="shared" si="13"/>
        <v>23895.808000000001</v>
      </c>
      <c r="W210" s="15">
        <f t="shared" si="14"/>
        <v>7582.2479999999996</v>
      </c>
      <c r="X210" s="15">
        <f t="shared" si="15"/>
        <v>19070.263999999999</v>
      </c>
    </row>
    <row r="211" spans="1:24">
      <c r="A211" s="12" t="s">
        <v>699</v>
      </c>
      <c r="B211" s="12" t="s">
        <v>700</v>
      </c>
      <c r="C211" s="12" t="s">
        <v>59</v>
      </c>
      <c r="D211" s="12" t="s">
        <v>170</v>
      </c>
      <c r="E211" s="12" t="s">
        <v>65</v>
      </c>
      <c r="F211" s="13">
        <v>14045.21</v>
      </c>
      <c r="G211" s="13">
        <v>25.53</v>
      </c>
      <c r="H211" s="13">
        <v>10459.379999999999</v>
      </c>
      <c r="I211" s="13">
        <v>3.5</v>
      </c>
      <c r="J211" s="13">
        <v>14</v>
      </c>
      <c r="K211" s="13">
        <v>4</v>
      </c>
      <c r="L211" s="12" t="s">
        <v>701</v>
      </c>
      <c r="M211" s="12">
        <v>4.8</v>
      </c>
      <c r="N211" s="14">
        <v>45663</v>
      </c>
      <c r="O211" s="13">
        <v>4</v>
      </c>
      <c r="P211" s="12" t="s">
        <v>117</v>
      </c>
      <c r="Q211" s="12" t="s">
        <v>55</v>
      </c>
      <c r="R211" s="12" t="s">
        <v>47</v>
      </c>
      <c r="S211" s="12" t="b">
        <v>0</v>
      </c>
      <c r="T211" s="12" t="s">
        <v>56</v>
      </c>
      <c r="U211" s="15">
        <f t="shared" si="12"/>
        <v>3585.7421129999998</v>
      </c>
      <c r="V211" s="15">
        <f t="shared" si="13"/>
        <v>5618.0839999999998</v>
      </c>
      <c r="W211" s="15">
        <f t="shared" si="14"/>
        <v>1568.9069999999999</v>
      </c>
      <c r="X211" s="15">
        <f t="shared" si="15"/>
        <v>3272.3890000000001</v>
      </c>
    </row>
    <row r="212" spans="1:24">
      <c r="A212" s="12" t="s">
        <v>702</v>
      </c>
      <c r="B212" s="12" t="s">
        <v>703</v>
      </c>
      <c r="C212" s="12" t="s">
        <v>59</v>
      </c>
      <c r="D212" s="12" t="s">
        <v>170</v>
      </c>
      <c r="E212" s="12" t="s">
        <v>112</v>
      </c>
      <c r="F212" s="13">
        <v>15247.16</v>
      </c>
      <c r="G212" s="13">
        <v>34.090000000000003</v>
      </c>
      <c r="H212" s="13">
        <v>10049.36</v>
      </c>
      <c r="I212" s="13">
        <v>4.0999999999999996</v>
      </c>
      <c r="J212" s="13">
        <v>50</v>
      </c>
      <c r="K212" s="13">
        <v>291</v>
      </c>
      <c r="L212" s="12" t="s">
        <v>704</v>
      </c>
      <c r="M212" s="12">
        <v>4.8</v>
      </c>
      <c r="N212" s="14">
        <v>45849</v>
      </c>
      <c r="O212" s="13">
        <v>5</v>
      </c>
      <c r="P212" s="12" t="s">
        <v>40</v>
      </c>
      <c r="Q212" s="12" t="s">
        <v>55</v>
      </c>
      <c r="R212" s="12" t="s">
        <v>72</v>
      </c>
      <c r="S212" s="12" t="b">
        <v>0</v>
      </c>
      <c r="T212" s="12" t="s">
        <v>78</v>
      </c>
      <c r="U212" s="15">
        <f t="shared" si="12"/>
        <v>5197.7568439999995</v>
      </c>
      <c r="V212" s="15">
        <f t="shared" si="13"/>
        <v>6098.8639999999996</v>
      </c>
      <c r="W212" s="15">
        <f t="shared" si="14"/>
        <v>1507.404</v>
      </c>
      <c r="X212" s="15">
        <f t="shared" si="15"/>
        <v>2443.0920000000001</v>
      </c>
    </row>
    <row r="213" spans="1:24">
      <c r="A213" s="12" t="s">
        <v>705</v>
      </c>
      <c r="B213" s="12" t="s">
        <v>706</v>
      </c>
      <c r="C213" s="12" t="s">
        <v>50</v>
      </c>
      <c r="D213" s="12" t="s">
        <v>213</v>
      </c>
      <c r="E213" s="12" t="s">
        <v>235</v>
      </c>
      <c r="F213" s="13">
        <v>778.68</v>
      </c>
      <c r="G213" s="13">
        <v>7.99</v>
      </c>
      <c r="H213" s="13">
        <v>716.46</v>
      </c>
      <c r="I213" s="13">
        <v>3.2</v>
      </c>
      <c r="J213" s="13">
        <v>22</v>
      </c>
      <c r="K213" s="13">
        <v>348</v>
      </c>
      <c r="L213" s="12" t="s">
        <v>707</v>
      </c>
      <c r="M213" s="12">
        <v>3.8</v>
      </c>
      <c r="N213" s="14">
        <v>45405</v>
      </c>
      <c r="O213" s="13">
        <v>1</v>
      </c>
      <c r="P213" s="12" t="s">
        <v>45</v>
      </c>
      <c r="Q213" s="12" t="s">
        <v>46</v>
      </c>
      <c r="R213" s="12" t="s">
        <v>32</v>
      </c>
      <c r="S213" s="12" t="b">
        <v>0</v>
      </c>
      <c r="T213" s="12" t="s">
        <v>56</v>
      </c>
      <c r="U213" s="15">
        <f t="shared" si="12"/>
        <v>62.216532000000001</v>
      </c>
      <c r="V213" s="15">
        <f t="shared" si="13"/>
        <v>311.47199999999998</v>
      </c>
      <c r="W213" s="15">
        <f t="shared" si="14"/>
        <v>107.46899999999999</v>
      </c>
      <c r="X213" s="15">
        <f t="shared" si="15"/>
        <v>297.51900000000001</v>
      </c>
    </row>
    <row r="214" spans="1:24">
      <c r="A214" s="12" t="s">
        <v>708</v>
      </c>
      <c r="B214" s="12" t="s">
        <v>709</v>
      </c>
      <c r="C214" s="12" t="s">
        <v>59</v>
      </c>
      <c r="D214" s="12" t="s">
        <v>170</v>
      </c>
      <c r="E214" s="12" t="s">
        <v>131</v>
      </c>
      <c r="F214" s="13">
        <v>8588.01</v>
      </c>
      <c r="G214" s="13">
        <v>14.72</v>
      </c>
      <c r="H214" s="13">
        <v>7323.66</v>
      </c>
      <c r="I214" s="13">
        <v>4.5999999999999996</v>
      </c>
      <c r="J214" s="13">
        <v>17</v>
      </c>
      <c r="K214" s="13">
        <v>101</v>
      </c>
      <c r="L214" s="12" t="s">
        <v>710</v>
      </c>
      <c r="M214" s="12">
        <v>4.2</v>
      </c>
      <c r="N214" s="14">
        <v>45516</v>
      </c>
      <c r="O214" s="13">
        <v>6</v>
      </c>
      <c r="P214" s="12" t="s">
        <v>30</v>
      </c>
      <c r="Q214" s="12" t="s">
        <v>55</v>
      </c>
      <c r="R214" s="12" t="s">
        <v>32</v>
      </c>
      <c r="S214" s="12" t="b">
        <v>0</v>
      </c>
      <c r="T214" s="12" t="s">
        <v>78</v>
      </c>
      <c r="U214" s="15">
        <f t="shared" si="12"/>
        <v>1264.155072</v>
      </c>
      <c r="V214" s="15">
        <f t="shared" si="13"/>
        <v>3435.2040000000002</v>
      </c>
      <c r="W214" s="15">
        <f t="shared" si="14"/>
        <v>1098.549</v>
      </c>
      <c r="X214" s="15">
        <f t="shared" si="15"/>
        <v>2789.9070000000002</v>
      </c>
    </row>
    <row r="215" spans="1:24">
      <c r="A215" s="12" t="s">
        <v>711</v>
      </c>
      <c r="B215" s="12" t="s">
        <v>712</v>
      </c>
      <c r="C215" s="12" t="s">
        <v>26</v>
      </c>
      <c r="D215" s="12" t="s">
        <v>123</v>
      </c>
      <c r="E215" s="12" t="s">
        <v>28</v>
      </c>
      <c r="F215" s="13">
        <v>37244.83</v>
      </c>
      <c r="G215" s="13">
        <v>20.62</v>
      </c>
      <c r="H215" s="13">
        <v>29563.200000000001</v>
      </c>
      <c r="I215" s="13">
        <v>4.4000000000000004</v>
      </c>
      <c r="J215" s="13">
        <v>32</v>
      </c>
      <c r="K215" s="13">
        <v>265</v>
      </c>
      <c r="L215" s="12" t="s">
        <v>713</v>
      </c>
      <c r="M215" s="12">
        <v>4.4000000000000004</v>
      </c>
      <c r="N215" s="14">
        <v>45479</v>
      </c>
      <c r="O215" s="13">
        <v>4</v>
      </c>
      <c r="P215" s="12" t="s">
        <v>30</v>
      </c>
      <c r="Q215" s="12" t="s">
        <v>46</v>
      </c>
      <c r="R215" s="12" t="s">
        <v>47</v>
      </c>
      <c r="S215" s="12" t="b">
        <v>0</v>
      </c>
      <c r="T215" s="12" t="s">
        <v>56</v>
      </c>
      <c r="U215" s="15">
        <f t="shared" si="12"/>
        <v>7679.8839459999999</v>
      </c>
      <c r="V215" s="15">
        <f t="shared" si="13"/>
        <v>14897.932000000001</v>
      </c>
      <c r="W215" s="15">
        <f t="shared" si="14"/>
        <v>4434.4799999999996</v>
      </c>
      <c r="X215" s="15">
        <f t="shared" si="15"/>
        <v>10230.788</v>
      </c>
    </row>
    <row r="216" spans="1:24">
      <c r="A216" s="12" t="s">
        <v>714</v>
      </c>
      <c r="B216" s="12" t="s">
        <v>715</v>
      </c>
      <c r="C216" s="12" t="s">
        <v>36</v>
      </c>
      <c r="D216" s="12" t="s">
        <v>37</v>
      </c>
      <c r="E216" s="12" t="s">
        <v>92</v>
      </c>
      <c r="F216" s="13">
        <v>897.59</v>
      </c>
      <c r="G216" s="13">
        <v>22.68</v>
      </c>
      <c r="H216" s="13">
        <v>693.98</v>
      </c>
      <c r="I216" s="13">
        <v>4.5</v>
      </c>
      <c r="J216" s="13">
        <v>440</v>
      </c>
      <c r="K216" s="13">
        <v>303</v>
      </c>
      <c r="L216" s="12" t="s">
        <v>716</v>
      </c>
      <c r="M216" s="12">
        <v>2.9</v>
      </c>
      <c r="N216" s="14">
        <v>45682</v>
      </c>
      <c r="O216" s="13">
        <v>4</v>
      </c>
      <c r="P216" s="12" t="s">
        <v>117</v>
      </c>
      <c r="Q216" s="12" t="s">
        <v>31</v>
      </c>
      <c r="R216" s="12" t="s">
        <v>86</v>
      </c>
      <c r="S216" s="12" t="b">
        <v>0</v>
      </c>
      <c r="T216" s="12" t="s">
        <v>62</v>
      </c>
      <c r="U216" s="15">
        <f t="shared" si="12"/>
        <v>203.57341199999999</v>
      </c>
      <c r="V216" s="15">
        <f t="shared" si="13"/>
        <v>359.036</v>
      </c>
      <c r="W216" s="15">
        <f t="shared" si="14"/>
        <v>104.09699999999999</v>
      </c>
      <c r="X216" s="15">
        <f t="shared" si="15"/>
        <v>230.84700000000001</v>
      </c>
    </row>
    <row r="217" spans="1:24">
      <c r="A217" s="12" t="s">
        <v>717</v>
      </c>
      <c r="B217" s="12" t="s">
        <v>718</v>
      </c>
      <c r="C217" s="12" t="s">
        <v>36</v>
      </c>
      <c r="D217" s="12" t="s">
        <v>37</v>
      </c>
      <c r="E217" s="12" t="s">
        <v>235</v>
      </c>
      <c r="F217" s="13">
        <v>9864.42</v>
      </c>
      <c r="G217" s="13">
        <v>33.659999999999997</v>
      </c>
      <c r="H217" s="13">
        <v>6544</v>
      </c>
      <c r="I217" s="13">
        <v>3.6</v>
      </c>
      <c r="J217" s="13">
        <v>16</v>
      </c>
      <c r="K217" s="13">
        <v>344</v>
      </c>
      <c r="L217" s="12" t="s">
        <v>719</v>
      </c>
      <c r="M217" s="12">
        <v>2.8</v>
      </c>
      <c r="N217" s="14">
        <v>45559</v>
      </c>
      <c r="O217" s="13">
        <v>5</v>
      </c>
      <c r="P217" s="12" t="s">
        <v>40</v>
      </c>
      <c r="Q217" s="12" t="s">
        <v>55</v>
      </c>
      <c r="R217" s="12" t="s">
        <v>72</v>
      </c>
      <c r="S217" s="12" t="b">
        <v>0</v>
      </c>
      <c r="T217" s="12" t="s">
        <v>62</v>
      </c>
      <c r="U217" s="15">
        <f t="shared" si="12"/>
        <v>3320.3637720000002</v>
      </c>
      <c r="V217" s="15">
        <f t="shared" si="13"/>
        <v>3945.768</v>
      </c>
      <c r="W217" s="15">
        <f t="shared" si="14"/>
        <v>981.6</v>
      </c>
      <c r="X217" s="15">
        <f t="shared" si="15"/>
        <v>1616.6320000000001</v>
      </c>
    </row>
    <row r="218" spans="1:24">
      <c r="A218" s="12" t="s">
        <v>720</v>
      </c>
      <c r="B218" s="12" t="s">
        <v>721</v>
      </c>
      <c r="C218" s="12" t="s">
        <v>26</v>
      </c>
      <c r="D218" s="12" t="s">
        <v>148</v>
      </c>
      <c r="E218" s="12" t="s">
        <v>52</v>
      </c>
      <c r="F218" s="13">
        <v>68535.460000000006</v>
      </c>
      <c r="G218" s="13">
        <v>8.68</v>
      </c>
      <c r="H218" s="13">
        <v>62583.79</v>
      </c>
      <c r="I218" s="13">
        <v>3.9</v>
      </c>
      <c r="J218" s="13">
        <v>22</v>
      </c>
      <c r="K218" s="13">
        <v>369</v>
      </c>
      <c r="L218" s="12" t="s">
        <v>722</v>
      </c>
      <c r="M218" s="12">
        <v>2.6</v>
      </c>
      <c r="N218" s="14">
        <v>45629</v>
      </c>
      <c r="O218" s="13">
        <v>2</v>
      </c>
      <c r="P218" s="12" t="s">
        <v>45</v>
      </c>
      <c r="Q218" s="12" t="s">
        <v>31</v>
      </c>
      <c r="R218" s="12" t="s">
        <v>86</v>
      </c>
      <c r="S218" s="12" t="b">
        <v>1</v>
      </c>
      <c r="T218" s="12" t="s">
        <v>33</v>
      </c>
      <c r="U218" s="15">
        <f t="shared" si="12"/>
        <v>5948.8779279999999</v>
      </c>
      <c r="V218" s="15">
        <f t="shared" si="13"/>
        <v>27414.184000000001</v>
      </c>
      <c r="W218" s="15">
        <f t="shared" si="14"/>
        <v>9387.5684999999994</v>
      </c>
      <c r="X218" s="15">
        <f t="shared" si="15"/>
        <v>25782.037499999999</v>
      </c>
    </row>
    <row r="219" spans="1:24">
      <c r="A219" s="12" t="s">
        <v>723</v>
      </c>
      <c r="B219" s="12" t="s">
        <v>724</v>
      </c>
      <c r="C219" s="12" t="s">
        <v>75</v>
      </c>
      <c r="D219" s="12" t="s">
        <v>76</v>
      </c>
      <c r="E219" s="12" t="s">
        <v>100</v>
      </c>
      <c r="F219" s="13">
        <v>1220.1099999999999</v>
      </c>
      <c r="G219" s="13">
        <v>27.35</v>
      </c>
      <c r="H219" s="13">
        <v>886.35</v>
      </c>
      <c r="I219" s="13">
        <v>3.8</v>
      </c>
      <c r="J219" s="13">
        <v>25</v>
      </c>
      <c r="K219" s="13">
        <v>75</v>
      </c>
      <c r="L219" s="12" t="s">
        <v>725</v>
      </c>
      <c r="M219" s="12">
        <v>4.5999999999999996</v>
      </c>
      <c r="N219" s="14">
        <v>45654</v>
      </c>
      <c r="O219" s="13">
        <v>6</v>
      </c>
      <c r="P219" s="12" t="s">
        <v>45</v>
      </c>
      <c r="Q219" s="12" t="s">
        <v>46</v>
      </c>
      <c r="R219" s="12" t="s">
        <v>32</v>
      </c>
      <c r="S219" s="12" t="b">
        <v>0</v>
      </c>
      <c r="T219" s="12" t="s">
        <v>78</v>
      </c>
      <c r="U219" s="15">
        <f t="shared" si="12"/>
        <v>333.700085</v>
      </c>
      <c r="V219" s="15">
        <f t="shared" si="13"/>
        <v>488.04399999999998</v>
      </c>
      <c r="W219" s="15">
        <f t="shared" si="14"/>
        <v>132.95249999999999</v>
      </c>
      <c r="X219" s="15">
        <f t="shared" si="15"/>
        <v>265.3535</v>
      </c>
    </row>
    <row r="220" spans="1:24">
      <c r="A220" s="12" t="s">
        <v>726</v>
      </c>
      <c r="B220" s="12" t="s">
        <v>727</v>
      </c>
      <c r="C220" s="12" t="s">
        <v>26</v>
      </c>
      <c r="D220" s="12" t="s">
        <v>148</v>
      </c>
      <c r="E220" s="12" t="s">
        <v>112</v>
      </c>
      <c r="F220" s="13">
        <v>78800.990000000005</v>
      </c>
      <c r="G220" s="13">
        <v>16.91</v>
      </c>
      <c r="H220" s="13">
        <v>65472.95</v>
      </c>
      <c r="I220" s="13">
        <v>4</v>
      </c>
      <c r="J220" s="13">
        <v>23</v>
      </c>
      <c r="K220" s="13">
        <v>353</v>
      </c>
      <c r="L220" s="12" t="s">
        <v>728</v>
      </c>
      <c r="M220" s="12">
        <v>2.9</v>
      </c>
      <c r="N220" s="14">
        <v>46012</v>
      </c>
      <c r="O220" s="13">
        <v>1</v>
      </c>
      <c r="P220" s="12" t="s">
        <v>117</v>
      </c>
      <c r="Q220" s="12" t="s">
        <v>55</v>
      </c>
      <c r="R220" s="12" t="s">
        <v>86</v>
      </c>
      <c r="S220" s="12" t="b">
        <v>0</v>
      </c>
      <c r="T220" s="12" t="s">
        <v>62</v>
      </c>
      <c r="U220" s="15">
        <f t="shared" si="12"/>
        <v>13325.247409</v>
      </c>
      <c r="V220" s="15">
        <f t="shared" si="13"/>
        <v>31520.396000000001</v>
      </c>
      <c r="W220" s="15">
        <f t="shared" si="14"/>
        <v>9820.9424999999992</v>
      </c>
      <c r="X220" s="15">
        <f t="shared" si="15"/>
        <v>24131.611499999999</v>
      </c>
    </row>
    <row r="221" spans="1:24">
      <c r="A221" s="12" t="s">
        <v>729</v>
      </c>
      <c r="B221" s="12" t="s">
        <v>730</v>
      </c>
      <c r="C221" s="12" t="s">
        <v>26</v>
      </c>
      <c r="D221" s="12" t="s">
        <v>123</v>
      </c>
      <c r="E221" s="12" t="s">
        <v>131</v>
      </c>
      <c r="F221" s="13">
        <v>23518.06</v>
      </c>
      <c r="G221" s="13">
        <v>11.2</v>
      </c>
      <c r="H221" s="13">
        <v>20883.810000000001</v>
      </c>
      <c r="I221" s="13">
        <v>5</v>
      </c>
      <c r="J221" s="13">
        <v>21</v>
      </c>
      <c r="K221" s="13">
        <v>339</v>
      </c>
      <c r="L221" s="12" t="s">
        <v>731</v>
      </c>
      <c r="M221" s="12">
        <v>3.9</v>
      </c>
      <c r="N221" s="14">
        <v>45867</v>
      </c>
      <c r="O221" s="13">
        <v>4</v>
      </c>
      <c r="P221" s="12" t="s">
        <v>54</v>
      </c>
      <c r="Q221" s="12" t="s">
        <v>31</v>
      </c>
      <c r="R221" s="12" t="s">
        <v>86</v>
      </c>
      <c r="S221" s="12" t="b">
        <v>0</v>
      </c>
      <c r="T221" s="12" t="s">
        <v>56</v>
      </c>
      <c r="U221" s="15">
        <f t="shared" si="12"/>
        <v>2634.0227199999999</v>
      </c>
      <c r="V221" s="15">
        <f t="shared" si="13"/>
        <v>9407.2240000000002</v>
      </c>
      <c r="W221" s="15">
        <f t="shared" si="14"/>
        <v>3132.5715</v>
      </c>
      <c r="X221" s="15">
        <f t="shared" si="15"/>
        <v>8344.0144999999993</v>
      </c>
    </row>
    <row r="222" spans="1:24">
      <c r="A222" s="12" t="s">
        <v>732</v>
      </c>
      <c r="B222" s="12" t="s">
        <v>733</v>
      </c>
      <c r="C222" s="12" t="s">
        <v>75</v>
      </c>
      <c r="D222" s="12" t="s">
        <v>104</v>
      </c>
      <c r="E222" s="12" t="s">
        <v>131</v>
      </c>
      <c r="F222" s="13">
        <v>3112.1</v>
      </c>
      <c r="G222" s="13">
        <v>39.33</v>
      </c>
      <c r="H222" s="13">
        <v>1887.99</v>
      </c>
      <c r="I222" s="13">
        <v>4</v>
      </c>
      <c r="J222" s="13">
        <v>49</v>
      </c>
      <c r="K222" s="13">
        <v>346</v>
      </c>
      <c r="L222" s="12" t="s">
        <v>734</v>
      </c>
      <c r="M222" s="12">
        <v>3.7</v>
      </c>
      <c r="N222" s="14">
        <v>45961</v>
      </c>
      <c r="O222" s="13">
        <v>1</v>
      </c>
      <c r="P222" s="12" t="s">
        <v>30</v>
      </c>
      <c r="Q222" s="12" t="s">
        <v>31</v>
      </c>
      <c r="R222" s="12" t="s">
        <v>86</v>
      </c>
      <c r="S222" s="12" t="b">
        <v>0</v>
      </c>
      <c r="T222" s="12" t="s">
        <v>78</v>
      </c>
      <c r="U222" s="15">
        <f t="shared" si="12"/>
        <v>1223.98893</v>
      </c>
      <c r="V222" s="15">
        <f t="shared" si="13"/>
        <v>1244.8399999999999</v>
      </c>
      <c r="W222" s="15">
        <f t="shared" si="14"/>
        <v>283.19850000000002</v>
      </c>
      <c r="X222" s="15">
        <f t="shared" si="15"/>
        <v>359.95150000000001</v>
      </c>
    </row>
    <row r="223" spans="1:24">
      <c r="A223" s="12" t="s">
        <v>735</v>
      </c>
      <c r="B223" s="12" t="s">
        <v>736</v>
      </c>
      <c r="C223" s="12" t="s">
        <v>75</v>
      </c>
      <c r="D223" s="12" t="s">
        <v>104</v>
      </c>
      <c r="E223" s="12" t="s">
        <v>131</v>
      </c>
      <c r="F223" s="13">
        <v>1165.93</v>
      </c>
      <c r="G223" s="13">
        <v>17.940000000000001</v>
      </c>
      <c r="H223" s="13">
        <v>956.73</v>
      </c>
      <c r="I223" s="13">
        <v>4.5999999999999996</v>
      </c>
      <c r="J223" s="13">
        <v>95</v>
      </c>
      <c r="K223" s="13">
        <v>394</v>
      </c>
      <c r="L223" s="12" t="s">
        <v>737</v>
      </c>
      <c r="M223" s="12">
        <v>4.7</v>
      </c>
      <c r="N223" s="14">
        <v>45599</v>
      </c>
      <c r="O223" s="13">
        <v>6</v>
      </c>
      <c r="P223" s="12" t="s">
        <v>30</v>
      </c>
      <c r="Q223" s="12" t="s">
        <v>31</v>
      </c>
      <c r="R223" s="12" t="s">
        <v>47</v>
      </c>
      <c r="S223" s="12" t="b">
        <v>0</v>
      </c>
      <c r="T223" s="12" t="s">
        <v>62</v>
      </c>
      <c r="U223" s="15">
        <f t="shared" si="12"/>
        <v>209.16784200000001</v>
      </c>
      <c r="V223" s="15">
        <f t="shared" si="13"/>
        <v>466.37200000000001</v>
      </c>
      <c r="W223" s="15">
        <f t="shared" si="14"/>
        <v>143.5095</v>
      </c>
      <c r="X223" s="15">
        <f t="shared" si="15"/>
        <v>346.8485</v>
      </c>
    </row>
    <row r="224" spans="1:24">
      <c r="A224" s="12" t="s">
        <v>738</v>
      </c>
      <c r="B224" s="12" t="s">
        <v>739</v>
      </c>
      <c r="C224" s="12" t="s">
        <v>50</v>
      </c>
      <c r="D224" s="12" t="s">
        <v>51</v>
      </c>
      <c r="E224" s="12" t="s">
        <v>235</v>
      </c>
      <c r="F224" s="13">
        <v>4012.21</v>
      </c>
      <c r="G224" s="13">
        <v>44.47</v>
      </c>
      <c r="H224" s="13">
        <v>2228.02</v>
      </c>
      <c r="I224" s="13">
        <v>4</v>
      </c>
      <c r="J224" s="13">
        <v>19</v>
      </c>
      <c r="K224" s="13">
        <v>147</v>
      </c>
      <c r="L224" s="12" t="s">
        <v>740</v>
      </c>
      <c r="M224" s="12">
        <v>3.7</v>
      </c>
      <c r="N224" s="14">
        <v>45631</v>
      </c>
      <c r="O224" s="13">
        <v>4</v>
      </c>
      <c r="P224" s="12" t="s">
        <v>30</v>
      </c>
      <c r="Q224" s="12" t="s">
        <v>31</v>
      </c>
      <c r="R224" s="12" t="s">
        <v>86</v>
      </c>
      <c r="S224" s="12" t="b">
        <v>0</v>
      </c>
      <c r="T224" s="12" t="s">
        <v>56</v>
      </c>
      <c r="U224" s="15">
        <f t="shared" si="12"/>
        <v>1784.229787</v>
      </c>
      <c r="V224" s="15">
        <f t="shared" si="13"/>
        <v>1604.884</v>
      </c>
      <c r="W224" s="15">
        <f t="shared" si="14"/>
        <v>334.20299999999997</v>
      </c>
      <c r="X224" s="15">
        <f t="shared" si="15"/>
        <v>288.93299999999999</v>
      </c>
    </row>
    <row r="225" spans="1:24">
      <c r="A225" s="12" t="s">
        <v>741</v>
      </c>
      <c r="B225" s="12" t="s">
        <v>742</v>
      </c>
      <c r="C225" s="12" t="s">
        <v>59</v>
      </c>
      <c r="D225" s="12" t="s">
        <v>69</v>
      </c>
      <c r="E225" s="12" t="s">
        <v>52</v>
      </c>
      <c r="F225" s="13">
        <v>10926.44</v>
      </c>
      <c r="G225" s="13">
        <v>32.26</v>
      </c>
      <c r="H225" s="13">
        <v>7401.68</v>
      </c>
      <c r="I225" s="13">
        <v>3.8</v>
      </c>
      <c r="J225" s="13">
        <v>39</v>
      </c>
      <c r="K225" s="13">
        <v>177</v>
      </c>
      <c r="L225" s="12" t="s">
        <v>743</v>
      </c>
      <c r="M225" s="12">
        <v>5</v>
      </c>
      <c r="N225" s="14">
        <v>46089</v>
      </c>
      <c r="O225" s="13">
        <v>1</v>
      </c>
      <c r="P225" s="12" t="s">
        <v>40</v>
      </c>
      <c r="Q225" s="12" t="s">
        <v>31</v>
      </c>
      <c r="R225" s="12" t="s">
        <v>72</v>
      </c>
      <c r="S225" s="12" t="b">
        <v>0</v>
      </c>
      <c r="T225" s="12" t="s">
        <v>62</v>
      </c>
      <c r="U225" s="15">
        <f t="shared" si="12"/>
        <v>3524.8695440000001</v>
      </c>
      <c r="V225" s="15">
        <f t="shared" si="13"/>
        <v>4370.576</v>
      </c>
      <c r="W225" s="15">
        <f t="shared" si="14"/>
        <v>1110.252</v>
      </c>
      <c r="X225" s="15">
        <f t="shared" si="15"/>
        <v>1920.8520000000001</v>
      </c>
    </row>
    <row r="226" spans="1:24">
      <c r="A226" s="12" t="s">
        <v>744</v>
      </c>
      <c r="B226" s="12" t="s">
        <v>745</v>
      </c>
      <c r="C226" s="12" t="s">
        <v>50</v>
      </c>
      <c r="D226" s="12" t="s">
        <v>130</v>
      </c>
      <c r="E226" s="12" t="s">
        <v>70</v>
      </c>
      <c r="F226" s="13">
        <v>2952.94</v>
      </c>
      <c r="G226" s="13">
        <v>14.02</v>
      </c>
      <c r="H226" s="13">
        <v>2538.9</v>
      </c>
      <c r="I226" s="13">
        <v>4.4000000000000004</v>
      </c>
      <c r="J226" s="13">
        <v>16</v>
      </c>
      <c r="K226" s="13">
        <v>356</v>
      </c>
      <c r="L226" s="12" t="s">
        <v>746</v>
      </c>
      <c r="M226" s="12">
        <v>3.1</v>
      </c>
      <c r="N226" s="14">
        <v>45994</v>
      </c>
      <c r="O226" s="13">
        <v>3</v>
      </c>
      <c r="P226" s="12" t="s">
        <v>45</v>
      </c>
      <c r="Q226" s="12" t="s">
        <v>46</v>
      </c>
      <c r="R226" s="12" t="s">
        <v>32</v>
      </c>
      <c r="S226" s="12" t="b">
        <v>0</v>
      </c>
      <c r="T226" s="12" t="s">
        <v>62</v>
      </c>
      <c r="U226" s="15">
        <f t="shared" si="12"/>
        <v>414.00218799999999</v>
      </c>
      <c r="V226" s="15">
        <f t="shared" si="13"/>
        <v>1181.1759999999999</v>
      </c>
      <c r="W226" s="15">
        <f t="shared" si="14"/>
        <v>380.83499999999998</v>
      </c>
      <c r="X226" s="15">
        <f t="shared" si="15"/>
        <v>976.88900000000001</v>
      </c>
    </row>
    <row r="227" spans="1:24">
      <c r="A227" s="12" t="s">
        <v>747</v>
      </c>
      <c r="B227" s="12" t="s">
        <v>748</v>
      </c>
      <c r="C227" s="12" t="s">
        <v>36</v>
      </c>
      <c r="D227" s="12" t="s">
        <v>43</v>
      </c>
      <c r="E227" s="12" t="s">
        <v>70</v>
      </c>
      <c r="F227" s="13">
        <v>11557.65</v>
      </c>
      <c r="G227" s="13">
        <v>46.82</v>
      </c>
      <c r="H227" s="13">
        <v>6146.75</v>
      </c>
      <c r="I227" s="13">
        <v>5</v>
      </c>
      <c r="J227" s="13">
        <v>31</v>
      </c>
      <c r="K227" s="13">
        <v>115</v>
      </c>
      <c r="L227" s="12" t="s">
        <v>749</v>
      </c>
      <c r="M227" s="12">
        <v>4.5</v>
      </c>
      <c r="N227" s="14">
        <v>46062</v>
      </c>
      <c r="O227" s="13">
        <v>4</v>
      </c>
      <c r="P227" s="12" t="s">
        <v>40</v>
      </c>
      <c r="Q227" s="12" t="s">
        <v>46</v>
      </c>
      <c r="R227" s="12" t="s">
        <v>32</v>
      </c>
      <c r="S227" s="12" t="b">
        <v>0</v>
      </c>
      <c r="T227" s="12" t="s">
        <v>56</v>
      </c>
      <c r="U227" s="15">
        <f t="shared" si="12"/>
        <v>5411.2917299999999</v>
      </c>
      <c r="V227" s="15">
        <f t="shared" si="13"/>
        <v>4623.0600000000004</v>
      </c>
      <c r="W227" s="15">
        <f t="shared" si="14"/>
        <v>922.01250000000005</v>
      </c>
      <c r="X227" s="15">
        <f t="shared" si="15"/>
        <v>601.67750000000001</v>
      </c>
    </row>
    <row r="228" spans="1:24">
      <c r="A228" s="12" t="s">
        <v>750</v>
      </c>
      <c r="B228" s="12" t="s">
        <v>751</v>
      </c>
      <c r="C228" s="12" t="s">
        <v>59</v>
      </c>
      <c r="D228" s="12" t="s">
        <v>60</v>
      </c>
      <c r="E228" s="12" t="s">
        <v>235</v>
      </c>
      <c r="F228" s="13">
        <v>19191.509999999998</v>
      </c>
      <c r="G228" s="13">
        <v>35.46</v>
      </c>
      <c r="H228" s="13">
        <v>12386.78</v>
      </c>
      <c r="I228" s="13">
        <v>3.7</v>
      </c>
      <c r="J228" s="13">
        <v>47</v>
      </c>
      <c r="K228" s="13">
        <v>2</v>
      </c>
      <c r="L228" s="12" t="s">
        <v>752</v>
      </c>
      <c r="M228" s="12">
        <v>4.5999999999999996</v>
      </c>
      <c r="N228" s="14">
        <v>45931</v>
      </c>
      <c r="O228" s="13">
        <v>2</v>
      </c>
      <c r="P228" s="12" t="s">
        <v>40</v>
      </c>
      <c r="Q228" s="12" t="s">
        <v>55</v>
      </c>
      <c r="R228" s="12" t="s">
        <v>86</v>
      </c>
      <c r="S228" s="12" t="b">
        <v>0</v>
      </c>
      <c r="T228" s="12" t="s">
        <v>56</v>
      </c>
      <c r="U228" s="15">
        <f t="shared" si="12"/>
        <v>6805.3094460000002</v>
      </c>
      <c r="V228" s="15">
        <f t="shared" si="13"/>
        <v>7676.6040000000003</v>
      </c>
      <c r="W228" s="15">
        <f t="shared" si="14"/>
        <v>1858.0170000000001</v>
      </c>
      <c r="X228" s="15">
        <f t="shared" si="15"/>
        <v>2852.1590000000001</v>
      </c>
    </row>
    <row r="229" spans="1:24">
      <c r="A229" s="12" t="s">
        <v>753</v>
      </c>
      <c r="B229" s="12" t="s">
        <v>754</v>
      </c>
      <c r="C229" s="12" t="s">
        <v>75</v>
      </c>
      <c r="D229" s="12" t="s">
        <v>104</v>
      </c>
      <c r="E229" s="12" t="s">
        <v>112</v>
      </c>
      <c r="F229" s="13">
        <v>1142.83</v>
      </c>
      <c r="G229" s="13">
        <v>55.97</v>
      </c>
      <c r="H229" s="13">
        <v>503.22</v>
      </c>
      <c r="I229" s="13">
        <v>4</v>
      </c>
      <c r="J229" s="13">
        <v>58</v>
      </c>
      <c r="K229" s="13">
        <v>464</v>
      </c>
      <c r="L229" s="12" t="s">
        <v>755</v>
      </c>
      <c r="M229" s="12">
        <v>3.2</v>
      </c>
      <c r="N229" s="14">
        <v>45955</v>
      </c>
      <c r="O229" s="13">
        <v>1</v>
      </c>
      <c r="P229" s="12" t="s">
        <v>30</v>
      </c>
      <c r="Q229" s="12" t="s">
        <v>31</v>
      </c>
      <c r="R229" s="12" t="s">
        <v>47</v>
      </c>
      <c r="S229" s="12" t="b">
        <v>0</v>
      </c>
      <c r="T229" s="12" t="s">
        <v>62</v>
      </c>
      <c r="U229" s="15">
        <f t="shared" si="12"/>
        <v>639.64195099999995</v>
      </c>
      <c r="V229" s="15">
        <f t="shared" si="13"/>
        <v>457.13200000000001</v>
      </c>
      <c r="W229" s="15">
        <f t="shared" si="14"/>
        <v>75.483000000000004</v>
      </c>
      <c r="X229" s="15">
        <f t="shared" si="15"/>
        <v>-29.395</v>
      </c>
    </row>
    <row r="230" spans="1:24">
      <c r="A230" s="12" t="s">
        <v>756</v>
      </c>
      <c r="B230" s="12" t="s">
        <v>757</v>
      </c>
      <c r="C230" s="12" t="s">
        <v>26</v>
      </c>
      <c r="D230" s="12" t="s">
        <v>123</v>
      </c>
      <c r="E230" s="12" t="s">
        <v>96</v>
      </c>
      <c r="F230" s="13">
        <v>56555.48</v>
      </c>
      <c r="G230" s="13">
        <v>25.2</v>
      </c>
      <c r="H230" s="13">
        <v>42305.52</v>
      </c>
      <c r="I230" s="13">
        <v>4</v>
      </c>
      <c r="J230" s="13">
        <v>28</v>
      </c>
      <c r="K230" s="13">
        <v>403</v>
      </c>
      <c r="L230" s="12" t="s">
        <v>758</v>
      </c>
      <c r="M230" s="12">
        <v>4.3</v>
      </c>
      <c r="N230" s="14">
        <v>45716</v>
      </c>
      <c r="O230" s="13">
        <v>1</v>
      </c>
      <c r="P230" s="12" t="s">
        <v>54</v>
      </c>
      <c r="Q230" s="12" t="s">
        <v>46</v>
      </c>
      <c r="R230" s="12" t="s">
        <v>72</v>
      </c>
      <c r="S230" s="12" t="b">
        <v>0</v>
      </c>
      <c r="T230" s="12" t="s">
        <v>78</v>
      </c>
      <c r="U230" s="15">
        <f t="shared" si="12"/>
        <v>14251.980960000001</v>
      </c>
      <c r="V230" s="15">
        <f t="shared" si="13"/>
        <v>22622.191999999999</v>
      </c>
      <c r="W230" s="15">
        <f t="shared" si="14"/>
        <v>6345.8280000000004</v>
      </c>
      <c r="X230" s="15">
        <f t="shared" si="15"/>
        <v>13337.5</v>
      </c>
    </row>
    <row r="231" spans="1:24">
      <c r="A231" s="12" t="s">
        <v>759</v>
      </c>
      <c r="B231" s="12" t="s">
        <v>760</v>
      </c>
      <c r="C231" s="12" t="s">
        <v>26</v>
      </c>
      <c r="D231" s="12" t="s">
        <v>313</v>
      </c>
      <c r="E231" s="12" t="s">
        <v>65</v>
      </c>
      <c r="F231" s="13">
        <v>8766.9500000000007</v>
      </c>
      <c r="G231" s="13">
        <v>14.84</v>
      </c>
      <c r="H231" s="13">
        <v>7466.36</v>
      </c>
      <c r="I231" s="13">
        <v>4.3</v>
      </c>
      <c r="J231" s="13">
        <v>16</v>
      </c>
      <c r="K231" s="13">
        <v>145</v>
      </c>
      <c r="L231" s="12" t="s">
        <v>761</v>
      </c>
      <c r="M231" s="12">
        <v>4.5999999999999996</v>
      </c>
      <c r="N231" s="14">
        <v>45507</v>
      </c>
      <c r="O231" s="13">
        <v>5</v>
      </c>
      <c r="P231" s="12" t="s">
        <v>45</v>
      </c>
      <c r="Q231" s="12" t="s">
        <v>31</v>
      </c>
      <c r="R231" s="12" t="s">
        <v>86</v>
      </c>
      <c r="S231" s="12" t="b">
        <v>0</v>
      </c>
      <c r="T231" s="12" t="s">
        <v>78</v>
      </c>
      <c r="U231" s="15">
        <f t="shared" si="12"/>
        <v>1301.0153800000001</v>
      </c>
      <c r="V231" s="15">
        <f t="shared" si="13"/>
        <v>3506.78</v>
      </c>
      <c r="W231" s="15">
        <f t="shared" si="14"/>
        <v>1119.954</v>
      </c>
      <c r="X231" s="15">
        <f t="shared" si="15"/>
        <v>2839.6260000000002</v>
      </c>
    </row>
    <row r="232" spans="1:24">
      <c r="A232" s="12" t="s">
        <v>762</v>
      </c>
      <c r="B232" s="12" t="s">
        <v>763</v>
      </c>
      <c r="C232" s="12" t="s">
        <v>36</v>
      </c>
      <c r="D232" s="12" t="s">
        <v>37</v>
      </c>
      <c r="E232" s="12" t="s">
        <v>52</v>
      </c>
      <c r="F232" s="13">
        <v>6533.76</v>
      </c>
      <c r="G232" s="13">
        <v>39.18</v>
      </c>
      <c r="H232" s="13">
        <v>3973.67</v>
      </c>
      <c r="I232" s="13">
        <v>4.2</v>
      </c>
      <c r="J232" s="13">
        <v>8</v>
      </c>
      <c r="K232" s="13">
        <v>169</v>
      </c>
      <c r="L232" s="12" t="s">
        <v>764</v>
      </c>
      <c r="M232" s="12">
        <v>4.5999999999999996</v>
      </c>
      <c r="N232" s="14">
        <v>45864</v>
      </c>
      <c r="O232" s="13">
        <v>5</v>
      </c>
      <c r="P232" s="12" t="s">
        <v>54</v>
      </c>
      <c r="Q232" s="12" t="s">
        <v>31</v>
      </c>
      <c r="R232" s="12" t="s">
        <v>86</v>
      </c>
      <c r="S232" s="12" t="b">
        <v>0</v>
      </c>
      <c r="T232" s="12" t="s">
        <v>62</v>
      </c>
      <c r="U232" s="15">
        <f t="shared" si="12"/>
        <v>2559.9271680000002</v>
      </c>
      <c r="V232" s="15">
        <f t="shared" si="13"/>
        <v>2613.5039999999999</v>
      </c>
      <c r="W232" s="15">
        <f t="shared" si="14"/>
        <v>596.05050000000006</v>
      </c>
      <c r="X232" s="15">
        <f t="shared" si="15"/>
        <v>764.1155</v>
      </c>
    </row>
    <row r="233" spans="1:24">
      <c r="A233" s="12" t="s">
        <v>765</v>
      </c>
      <c r="B233" s="12" t="s">
        <v>766</v>
      </c>
      <c r="C233" s="12" t="s">
        <v>59</v>
      </c>
      <c r="D233" s="12" t="s">
        <v>60</v>
      </c>
      <c r="E233" s="12" t="s">
        <v>92</v>
      </c>
      <c r="F233" s="13">
        <v>10999.29</v>
      </c>
      <c r="G233" s="13">
        <v>18.64</v>
      </c>
      <c r="H233" s="13">
        <v>8948.61</v>
      </c>
      <c r="I233" s="13">
        <v>4.2</v>
      </c>
      <c r="J233" s="13">
        <v>3</v>
      </c>
      <c r="K233" s="13">
        <v>404</v>
      </c>
      <c r="L233" s="12" t="s">
        <v>767</v>
      </c>
      <c r="M233" s="12">
        <v>4.4000000000000004</v>
      </c>
      <c r="N233" s="14">
        <v>45444</v>
      </c>
      <c r="O233" s="13">
        <v>3</v>
      </c>
      <c r="P233" s="12" t="s">
        <v>40</v>
      </c>
      <c r="Q233" s="12" t="s">
        <v>31</v>
      </c>
      <c r="R233" s="12" t="s">
        <v>47</v>
      </c>
      <c r="S233" s="12" t="b">
        <v>0</v>
      </c>
      <c r="T233" s="12" t="s">
        <v>78</v>
      </c>
      <c r="U233" s="15">
        <f t="shared" si="12"/>
        <v>2050.267656</v>
      </c>
      <c r="V233" s="15">
        <f t="shared" si="13"/>
        <v>4399.7160000000003</v>
      </c>
      <c r="W233" s="15">
        <f t="shared" si="14"/>
        <v>1342.2915</v>
      </c>
      <c r="X233" s="15">
        <f t="shared" si="15"/>
        <v>3206.6025</v>
      </c>
    </row>
    <row r="234" spans="1:24">
      <c r="A234" s="12" t="s">
        <v>768</v>
      </c>
      <c r="B234" s="12" t="s">
        <v>769</v>
      </c>
      <c r="C234" s="12" t="s">
        <v>36</v>
      </c>
      <c r="D234" s="12" t="s">
        <v>108</v>
      </c>
      <c r="E234" s="12" t="s">
        <v>96</v>
      </c>
      <c r="F234" s="13">
        <v>9628.59</v>
      </c>
      <c r="G234" s="13">
        <v>7.44</v>
      </c>
      <c r="H234" s="13">
        <v>8911.75</v>
      </c>
      <c r="I234" s="13">
        <v>3.5</v>
      </c>
      <c r="J234" s="13">
        <v>61</v>
      </c>
      <c r="K234" s="13">
        <v>44</v>
      </c>
      <c r="L234" s="12" t="s">
        <v>770</v>
      </c>
      <c r="M234" s="12">
        <v>2.6</v>
      </c>
      <c r="N234" s="14">
        <v>45736</v>
      </c>
      <c r="O234" s="13">
        <v>1</v>
      </c>
      <c r="P234" s="12" t="s">
        <v>117</v>
      </c>
      <c r="Q234" s="12" t="s">
        <v>31</v>
      </c>
      <c r="R234" s="12" t="s">
        <v>32</v>
      </c>
      <c r="S234" s="12" t="b">
        <v>0</v>
      </c>
      <c r="T234" s="12" t="s">
        <v>78</v>
      </c>
      <c r="U234" s="15">
        <f t="shared" si="12"/>
        <v>716.36709599999995</v>
      </c>
      <c r="V234" s="15">
        <f t="shared" si="13"/>
        <v>3851.4360000000001</v>
      </c>
      <c r="W234" s="15">
        <f t="shared" si="14"/>
        <v>1336.7625</v>
      </c>
      <c r="X234" s="15">
        <f t="shared" si="15"/>
        <v>3723.5515</v>
      </c>
    </row>
    <row r="235" spans="1:24">
      <c r="A235" s="12" t="s">
        <v>771</v>
      </c>
      <c r="B235" s="12" t="s">
        <v>772</v>
      </c>
      <c r="C235" s="12" t="s">
        <v>75</v>
      </c>
      <c r="D235" s="12" t="s">
        <v>104</v>
      </c>
      <c r="E235" s="12" t="s">
        <v>112</v>
      </c>
      <c r="F235" s="13">
        <v>3681.39</v>
      </c>
      <c r="G235" s="13">
        <v>24.81</v>
      </c>
      <c r="H235" s="13">
        <v>2768.06</v>
      </c>
      <c r="I235" s="13">
        <v>3.4</v>
      </c>
      <c r="J235" s="13">
        <v>61</v>
      </c>
      <c r="K235" s="13">
        <v>196</v>
      </c>
      <c r="L235" s="12" t="s">
        <v>773</v>
      </c>
      <c r="M235" s="12">
        <v>2.8</v>
      </c>
      <c r="N235" s="14">
        <v>45486</v>
      </c>
      <c r="O235" s="13">
        <v>2</v>
      </c>
      <c r="P235" s="12" t="s">
        <v>54</v>
      </c>
      <c r="Q235" s="12" t="s">
        <v>55</v>
      </c>
      <c r="R235" s="12" t="s">
        <v>72</v>
      </c>
      <c r="S235" s="12" t="b">
        <v>0</v>
      </c>
      <c r="T235" s="12" t="s">
        <v>56</v>
      </c>
      <c r="U235" s="15">
        <f t="shared" si="12"/>
        <v>913.35285899999997</v>
      </c>
      <c r="V235" s="15">
        <f t="shared" si="13"/>
        <v>1472.556</v>
      </c>
      <c r="W235" s="15">
        <f t="shared" si="14"/>
        <v>415.209</v>
      </c>
      <c r="X235" s="15">
        <f t="shared" si="15"/>
        <v>880.29499999999996</v>
      </c>
    </row>
    <row r="236" spans="1:24">
      <c r="A236" s="12" t="s">
        <v>774</v>
      </c>
      <c r="B236" s="12" t="s">
        <v>775</v>
      </c>
      <c r="C236" s="12" t="s">
        <v>59</v>
      </c>
      <c r="D236" s="12" t="s">
        <v>60</v>
      </c>
      <c r="E236" s="12" t="s">
        <v>28</v>
      </c>
      <c r="F236" s="13">
        <v>11864.37</v>
      </c>
      <c r="G236" s="13">
        <v>24.01</v>
      </c>
      <c r="H236" s="13">
        <v>9016.0499999999993</v>
      </c>
      <c r="I236" s="13">
        <v>4.2</v>
      </c>
      <c r="J236" s="13">
        <v>16</v>
      </c>
      <c r="K236" s="13">
        <v>334</v>
      </c>
      <c r="L236" s="12" t="s">
        <v>776</v>
      </c>
      <c r="M236" s="12">
        <v>4.2</v>
      </c>
      <c r="N236" s="14">
        <v>45570</v>
      </c>
      <c r="O236" s="13">
        <v>3</v>
      </c>
      <c r="P236" s="12" t="s">
        <v>45</v>
      </c>
      <c r="Q236" s="12" t="s">
        <v>31</v>
      </c>
      <c r="R236" s="12" t="s">
        <v>47</v>
      </c>
      <c r="S236" s="12" t="b">
        <v>1</v>
      </c>
      <c r="T236" s="12" t="s">
        <v>33</v>
      </c>
      <c r="U236" s="15">
        <f t="shared" si="12"/>
        <v>2848.635237</v>
      </c>
      <c r="V236" s="15">
        <f t="shared" si="13"/>
        <v>4745.7479999999996</v>
      </c>
      <c r="W236" s="15">
        <f t="shared" si="14"/>
        <v>1352.4075</v>
      </c>
      <c r="X236" s="15">
        <f t="shared" si="15"/>
        <v>2917.8944999999999</v>
      </c>
    </row>
    <row r="237" spans="1:24">
      <c r="A237" s="12" t="s">
        <v>777</v>
      </c>
      <c r="B237" s="12" t="s">
        <v>778</v>
      </c>
      <c r="C237" s="12" t="s">
        <v>26</v>
      </c>
      <c r="D237" s="12" t="s">
        <v>27</v>
      </c>
      <c r="E237" s="12" t="s">
        <v>235</v>
      </c>
      <c r="F237" s="13">
        <v>42036.05</v>
      </c>
      <c r="G237" s="13">
        <v>10.84</v>
      </c>
      <c r="H237" s="13">
        <v>37477.93</v>
      </c>
      <c r="I237" s="13">
        <v>4.7</v>
      </c>
      <c r="J237" s="13">
        <v>69</v>
      </c>
      <c r="K237" s="13">
        <v>351</v>
      </c>
      <c r="L237" s="12" t="s">
        <v>779</v>
      </c>
      <c r="M237" s="12">
        <v>2.8</v>
      </c>
      <c r="N237" s="14">
        <v>46047</v>
      </c>
      <c r="O237" s="13">
        <v>1</v>
      </c>
      <c r="P237" s="12" t="s">
        <v>30</v>
      </c>
      <c r="Q237" s="12" t="s">
        <v>31</v>
      </c>
      <c r="R237" s="12" t="s">
        <v>72</v>
      </c>
      <c r="S237" s="12" t="b">
        <v>0</v>
      </c>
      <c r="T237" s="12" t="s">
        <v>62</v>
      </c>
      <c r="U237" s="15">
        <f t="shared" si="12"/>
        <v>4556.7078199999996</v>
      </c>
      <c r="V237" s="15">
        <f t="shared" si="13"/>
        <v>16814.419999999998</v>
      </c>
      <c r="W237" s="15">
        <f t="shared" si="14"/>
        <v>5621.6895000000004</v>
      </c>
      <c r="X237" s="15">
        <f t="shared" si="15"/>
        <v>15041.8205</v>
      </c>
    </row>
    <row r="238" spans="1:24">
      <c r="A238" s="12" t="s">
        <v>780</v>
      </c>
      <c r="B238" s="12" t="s">
        <v>781</v>
      </c>
      <c r="C238" s="12" t="s">
        <v>26</v>
      </c>
      <c r="D238" s="12" t="s">
        <v>313</v>
      </c>
      <c r="E238" s="12" t="s">
        <v>112</v>
      </c>
      <c r="F238" s="13">
        <v>55708.12</v>
      </c>
      <c r="G238" s="13">
        <v>39.979999999999997</v>
      </c>
      <c r="H238" s="13">
        <v>33435.279999999999</v>
      </c>
      <c r="I238" s="13">
        <v>4.4000000000000004</v>
      </c>
      <c r="J238" s="13">
        <v>7</v>
      </c>
      <c r="K238" s="13">
        <v>490</v>
      </c>
      <c r="L238" s="12" t="s">
        <v>782</v>
      </c>
      <c r="M238" s="12">
        <v>3.7</v>
      </c>
      <c r="N238" s="14">
        <v>46101</v>
      </c>
      <c r="O238" s="13">
        <v>4</v>
      </c>
      <c r="P238" s="12" t="s">
        <v>45</v>
      </c>
      <c r="Q238" s="12" t="s">
        <v>55</v>
      </c>
      <c r="R238" s="12" t="s">
        <v>47</v>
      </c>
      <c r="S238" s="12" t="b">
        <v>0</v>
      </c>
      <c r="T238" s="12" t="s">
        <v>56</v>
      </c>
      <c r="U238" s="15">
        <f t="shared" si="12"/>
        <v>22272.106376</v>
      </c>
      <c r="V238" s="15">
        <f t="shared" si="13"/>
        <v>22283.248</v>
      </c>
      <c r="W238" s="15">
        <f t="shared" si="14"/>
        <v>5015.2920000000004</v>
      </c>
      <c r="X238" s="15">
        <f t="shared" si="15"/>
        <v>6136.74</v>
      </c>
    </row>
    <row r="239" spans="1:24">
      <c r="A239" s="12" t="s">
        <v>783</v>
      </c>
      <c r="B239" s="12" t="s">
        <v>784</v>
      </c>
      <c r="C239" s="12" t="s">
        <v>36</v>
      </c>
      <c r="D239" s="12" t="s">
        <v>37</v>
      </c>
      <c r="E239" s="12" t="s">
        <v>96</v>
      </c>
      <c r="F239" s="13">
        <v>12954.87</v>
      </c>
      <c r="G239" s="13">
        <v>13.37</v>
      </c>
      <c r="H239" s="13">
        <v>11222.67</v>
      </c>
      <c r="I239" s="13">
        <v>2.8</v>
      </c>
      <c r="J239" s="13">
        <v>76</v>
      </c>
      <c r="K239" s="13">
        <v>410</v>
      </c>
      <c r="L239" s="12" t="s">
        <v>785</v>
      </c>
      <c r="M239" s="12">
        <v>4.0999999999999996</v>
      </c>
      <c r="N239" s="14">
        <v>45547</v>
      </c>
      <c r="O239" s="13">
        <v>2</v>
      </c>
      <c r="P239" s="12" t="s">
        <v>45</v>
      </c>
      <c r="Q239" s="12" t="s">
        <v>46</v>
      </c>
      <c r="R239" s="12" t="s">
        <v>32</v>
      </c>
      <c r="S239" s="12" t="b">
        <v>1</v>
      </c>
      <c r="T239" s="12" t="s">
        <v>33</v>
      </c>
      <c r="U239" s="15">
        <f t="shared" si="12"/>
        <v>1732.0661190000001</v>
      </c>
      <c r="V239" s="15">
        <f t="shared" si="13"/>
        <v>5181.9480000000003</v>
      </c>
      <c r="W239" s="15">
        <f t="shared" si="14"/>
        <v>1683.4005</v>
      </c>
      <c r="X239" s="15">
        <f t="shared" si="15"/>
        <v>4357.3215</v>
      </c>
    </row>
    <row r="240" spans="1:24">
      <c r="A240" s="12" t="s">
        <v>786</v>
      </c>
      <c r="B240" s="12" t="s">
        <v>787</v>
      </c>
      <c r="C240" s="12" t="s">
        <v>36</v>
      </c>
      <c r="D240" s="12" t="s">
        <v>37</v>
      </c>
      <c r="E240" s="12" t="s">
        <v>131</v>
      </c>
      <c r="F240" s="13">
        <v>9312.41</v>
      </c>
      <c r="G240" s="13">
        <v>18.29</v>
      </c>
      <c r="H240" s="13">
        <v>7609.3</v>
      </c>
      <c r="I240" s="13">
        <v>4.0999999999999996</v>
      </c>
      <c r="J240" s="13">
        <v>8</v>
      </c>
      <c r="K240" s="13">
        <v>57</v>
      </c>
      <c r="L240" s="12" t="s">
        <v>788</v>
      </c>
      <c r="M240" s="12">
        <v>4.9000000000000004</v>
      </c>
      <c r="N240" s="14">
        <v>45776</v>
      </c>
      <c r="O240" s="13">
        <v>2</v>
      </c>
      <c r="P240" s="12" t="s">
        <v>30</v>
      </c>
      <c r="Q240" s="12" t="s">
        <v>31</v>
      </c>
      <c r="R240" s="12" t="s">
        <v>47</v>
      </c>
      <c r="S240" s="12" t="b">
        <v>0</v>
      </c>
      <c r="T240" s="12" t="s">
        <v>62</v>
      </c>
      <c r="U240" s="15">
        <f t="shared" si="12"/>
        <v>1703.239789</v>
      </c>
      <c r="V240" s="15">
        <f t="shared" si="13"/>
        <v>3724.9639999999999</v>
      </c>
      <c r="W240" s="15">
        <f t="shared" si="14"/>
        <v>1141.395</v>
      </c>
      <c r="X240" s="15">
        <f t="shared" si="15"/>
        <v>2742.9409999999998</v>
      </c>
    </row>
    <row r="241" spans="1:24">
      <c r="A241" s="12" t="s">
        <v>789</v>
      </c>
      <c r="B241" s="12" t="s">
        <v>790</v>
      </c>
      <c r="C241" s="12" t="s">
        <v>36</v>
      </c>
      <c r="D241" s="12" t="s">
        <v>43</v>
      </c>
      <c r="E241" s="12" t="s">
        <v>92</v>
      </c>
      <c r="F241" s="13">
        <v>1737.45</v>
      </c>
      <c r="G241" s="13">
        <v>6.94</v>
      </c>
      <c r="H241" s="13">
        <v>1616.95</v>
      </c>
      <c r="I241" s="13">
        <v>4.3</v>
      </c>
      <c r="J241" s="13">
        <v>33</v>
      </c>
      <c r="K241" s="13">
        <v>226</v>
      </c>
      <c r="L241" s="12" t="s">
        <v>791</v>
      </c>
      <c r="M241" s="12">
        <v>3.2</v>
      </c>
      <c r="N241" s="14">
        <v>45610</v>
      </c>
      <c r="O241" s="13">
        <v>6</v>
      </c>
      <c r="P241" s="12" t="s">
        <v>30</v>
      </c>
      <c r="Q241" s="12" t="s">
        <v>31</v>
      </c>
      <c r="R241" s="12" t="s">
        <v>47</v>
      </c>
      <c r="S241" s="12" t="b">
        <v>0</v>
      </c>
      <c r="T241" s="12" t="s">
        <v>62</v>
      </c>
      <c r="U241" s="15">
        <f t="shared" si="12"/>
        <v>120.57903</v>
      </c>
      <c r="V241" s="15">
        <f t="shared" si="13"/>
        <v>694.98</v>
      </c>
      <c r="W241" s="15">
        <f t="shared" si="14"/>
        <v>242.54249999999999</v>
      </c>
      <c r="X241" s="15">
        <f t="shared" si="15"/>
        <v>679.42750000000001</v>
      </c>
    </row>
    <row r="242" spans="1:24">
      <c r="A242" s="12" t="s">
        <v>792</v>
      </c>
      <c r="B242" s="12" t="s">
        <v>793</v>
      </c>
      <c r="C242" s="12" t="s">
        <v>36</v>
      </c>
      <c r="D242" s="12" t="s">
        <v>37</v>
      </c>
      <c r="E242" s="12" t="s">
        <v>84</v>
      </c>
      <c r="F242" s="13">
        <v>780.25</v>
      </c>
      <c r="G242" s="13">
        <v>10.6</v>
      </c>
      <c r="H242" s="13">
        <v>697.57</v>
      </c>
      <c r="I242" s="13">
        <v>3.7</v>
      </c>
      <c r="J242" s="13">
        <v>1</v>
      </c>
      <c r="K242" s="13">
        <v>232</v>
      </c>
      <c r="L242" s="12" t="s">
        <v>794</v>
      </c>
      <c r="M242" s="12">
        <v>4</v>
      </c>
      <c r="N242" s="14">
        <v>45713</v>
      </c>
      <c r="O242" s="13">
        <v>6</v>
      </c>
      <c r="P242" s="12" t="s">
        <v>45</v>
      </c>
      <c r="Q242" s="12" t="s">
        <v>31</v>
      </c>
      <c r="R242" s="12" t="s">
        <v>86</v>
      </c>
      <c r="S242" s="12" t="b">
        <v>0</v>
      </c>
      <c r="T242" s="12" t="s">
        <v>56</v>
      </c>
      <c r="U242" s="15">
        <f t="shared" si="12"/>
        <v>82.706500000000005</v>
      </c>
      <c r="V242" s="15">
        <f t="shared" si="13"/>
        <v>312.10000000000002</v>
      </c>
      <c r="W242" s="15">
        <f t="shared" si="14"/>
        <v>104.63549999999999</v>
      </c>
      <c r="X242" s="15">
        <f t="shared" si="15"/>
        <v>280.83449999999999</v>
      </c>
    </row>
    <row r="243" spans="1:24">
      <c r="A243" s="12" t="s">
        <v>795</v>
      </c>
      <c r="B243" s="12" t="s">
        <v>796</v>
      </c>
      <c r="C243" s="12" t="s">
        <v>36</v>
      </c>
      <c r="D243" s="12" t="s">
        <v>43</v>
      </c>
      <c r="E243" s="12" t="s">
        <v>131</v>
      </c>
      <c r="F243" s="13">
        <v>10324.36</v>
      </c>
      <c r="G243" s="13">
        <v>19.03</v>
      </c>
      <c r="H243" s="13">
        <v>8359.23</v>
      </c>
      <c r="I243" s="13">
        <v>4.3</v>
      </c>
      <c r="J243" s="13">
        <v>41</v>
      </c>
      <c r="K243" s="13">
        <v>370</v>
      </c>
      <c r="L243" s="12" t="s">
        <v>797</v>
      </c>
      <c r="M243" s="12">
        <v>2.8</v>
      </c>
      <c r="N243" s="14">
        <v>46050</v>
      </c>
      <c r="O243" s="13">
        <v>4</v>
      </c>
      <c r="P243" s="12" t="s">
        <v>117</v>
      </c>
      <c r="Q243" s="12" t="s">
        <v>55</v>
      </c>
      <c r="R243" s="12" t="s">
        <v>72</v>
      </c>
      <c r="S243" s="12" t="b">
        <v>0</v>
      </c>
      <c r="T243" s="12" t="s">
        <v>78</v>
      </c>
      <c r="U243" s="15">
        <f t="shared" si="12"/>
        <v>1964.7257079999999</v>
      </c>
      <c r="V243" s="15">
        <f t="shared" si="13"/>
        <v>4129.7439999999997</v>
      </c>
      <c r="W243" s="15">
        <f t="shared" si="14"/>
        <v>1253.8844999999999</v>
      </c>
      <c r="X243" s="15">
        <f t="shared" si="15"/>
        <v>2975.6015000000002</v>
      </c>
    </row>
    <row r="244" spans="1:24">
      <c r="A244" s="12" t="s">
        <v>798</v>
      </c>
      <c r="B244" s="12" t="s">
        <v>799</v>
      </c>
      <c r="C244" s="12" t="s">
        <v>75</v>
      </c>
      <c r="D244" s="12" t="s">
        <v>76</v>
      </c>
      <c r="E244" s="12" t="s">
        <v>84</v>
      </c>
      <c r="F244" s="13">
        <v>3965.71</v>
      </c>
      <c r="G244" s="13">
        <v>11.05</v>
      </c>
      <c r="H244" s="13">
        <v>3527.37</v>
      </c>
      <c r="I244" s="13">
        <v>4.3</v>
      </c>
      <c r="J244" s="13">
        <v>9</v>
      </c>
      <c r="K244" s="13">
        <v>358</v>
      </c>
      <c r="L244" s="12" t="s">
        <v>800</v>
      </c>
      <c r="M244" s="12">
        <v>4.0999999999999996</v>
      </c>
      <c r="N244" s="14">
        <v>45626</v>
      </c>
      <c r="O244" s="13">
        <v>1</v>
      </c>
      <c r="P244" s="12" t="s">
        <v>40</v>
      </c>
      <c r="Q244" s="12" t="s">
        <v>31</v>
      </c>
      <c r="R244" s="12" t="s">
        <v>32</v>
      </c>
      <c r="S244" s="12" t="b">
        <v>0</v>
      </c>
      <c r="T244" s="12" t="s">
        <v>78</v>
      </c>
      <c r="U244" s="15">
        <f t="shared" si="12"/>
        <v>438.21095500000001</v>
      </c>
      <c r="V244" s="15">
        <f t="shared" si="13"/>
        <v>1586.2840000000001</v>
      </c>
      <c r="W244" s="15">
        <f t="shared" si="14"/>
        <v>529.10550000000001</v>
      </c>
      <c r="X244" s="15">
        <f t="shared" si="15"/>
        <v>1411.9804999999999</v>
      </c>
    </row>
    <row r="245" spans="1:24">
      <c r="A245" s="12" t="s">
        <v>801</v>
      </c>
      <c r="B245" s="12" t="s">
        <v>802</v>
      </c>
      <c r="C245" s="12" t="s">
        <v>50</v>
      </c>
      <c r="D245" s="12" t="s">
        <v>130</v>
      </c>
      <c r="E245" s="12" t="s">
        <v>52</v>
      </c>
      <c r="F245" s="13">
        <v>2832.23</v>
      </c>
      <c r="G245" s="13">
        <v>35.4</v>
      </c>
      <c r="H245" s="13">
        <v>1829.59</v>
      </c>
      <c r="I245" s="13">
        <v>4.5</v>
      </c>
      <c r="J245" s="13">
        <v>24</v>
      </c>
      <c r="K245" s="13">
        <v>392</v>
      </c>
      <c r="L245" s="12" t="s">
        <v>803</v>
      </c>
      <c r="M245" s="12">
        <v>3</v>
      </c>
      <c r="N245" s="14">
        <v>45382</v>
      </c>
      <c r="O245" s="13">
        <v>1</v>
      </c>
      <c r="P245" s="12" t="s">
        <v>117</v>
      </c>
      <c r="Q245" s="12" t="s">
        <v>55</v>
      </c>
      <c r="R245" s="12" t="s">
        <v>86</v>
      </c>
      <c r="S245" s="12" t="b">
        <v>0</v>
      </c>
      <c r="T245" s="12" t="s">
        <v>56</v>
      </c>
      <c r="U245" s="15">
        <f t="shared" si="12"/>
        <v>1002.60942</v>
      </c>
      <c r="V245" s="15">
        <f t="shared" si="13"/>
        <v>1132.8920000000001</v>
      </c>
      <c r="W245" s="15">
        <f t="shared" si="14"/>
        <v>274.43849999999998</v>
      </c>
      <c r="X245" s="15">
        <f t="shared" si="15"/>
        <v>422.2595</v>
      </c>
    </row>
    <row r="246" spans="1:24">
      <c r="A246" s="12" t="s">
        <v>804</v>
      </c>
      <c r="B246" s="12" t="s">
        <v>805</v>
      </c>
      <c r="C246" s="12" t="s">
        <v>50</v>
      </c>
      <c r="D246" s="12" t="s">
        <v>51</v>
      </c>
      <c r="E246" s="12" t="s">
        <v>84</v>
      </c>
      <c r="F246" s="13">
        <v>4699.42</v>
      </c>
      <c r="G246" s="13">
        <v>26.3</v>
      </c>
      <c r="H246" s="13">
        <v>3463.33</v>
      </c>
      <c r="I246" s="13">
        <v>3.9</v>
      </c>
      <c r="J246" s="13">
        <v>12</v>
      </c>
      <c r="K246" s="13">
        <v>440</v>
      </c>
      <c r="L246" s="12" t="s">
        <v>806</v>
      </c>
      <c r="M246" s="12">
        <v>4.9000000000000004</v>
      </c>
      <c r="N246" s="14">
        <v>46066</v>
      </c>
      <c r="O246" s="13">
        <v>4</v>
      </c>
      <c r="P246" s="12" t="s">
        <v>45</v>
      </c>
      <c r="Q246" s="12" t="s">
        <v>46</v>
      </c>
      <c r="R246" s="12" t="s">
        <v>47</v>
      </c>
      <c r="S246" s="12" t="b">
        <v>0</v>
      </c>
      <c r="T246" s="12" t="s">
        <v>62</v>
      </c>
      <c r="U246" s="15">
        <f t="shared" si="12"/>
        <v>1235.9474600000001</v>
      </c>
      <c r="V246" s="15">
        <f t="shared" si="13"/>
        <v>1879.768</v>
      </c>
      <c r="W246" s="15">
        <f t="shared" si="14"/>
        <v>519.49950000000001</v>
      </c>
      <c r="X246" s="15">
        <f t="shared" si="15"/>
        <v>1064.0625</v>
      </c>
    </row>
    <row r="247" spans="1:24">
      <c r="A247" s="12" t="s">
        <v>807</v>
      </c>
      <c r="B247" s="12" t="s">
        <v>808</v>
      </c>
      <c r="C247" s="12" t="s">
        <v>50</v>
      </c>
      <c r="D247" s="12" t="s">
        <v>213</v>
      </c>
      <c r="E247" s="12" t="s">
        <v>92</v>
      </c>
      <c r="F247" s="13">
        <v>4821.29</v>
      </c>
      <c r="G247" s="13">
        <v>21.46</v>
      </c>
      <c r="H247" s="13">
        <v>3786.85</v>
      </c>
      <c r="I247" s="13">
        <v>3.5</v>
      </c>
      <c r="J247" s="13">
        <v>11</v>
      </c>
      <c r="K247" s="13">
        <v>387</v>
      </c>
      <c r="L247" s="12" t="s">
        <v>809</v>
      </c>
      <c r="M247" s="12">
        <v>4.5999999999999996</v>
      </c>
      <c r="N247" s="14">
        <v>45604</v>
      </c>
      <c r="O247" s="13">
        <v>1</v>
      </c>
      <c r="P247" s="12" t="s">
        <v>54</v>
      </c>
      <c r="Q247" s="12" t="s">
        <v>55</v>
      </c>
      <c r="R247" s="12" t="s">
        <v>86</v>
      </c>
      <c r="S247" s="12" t="b">
        <v>0</v>
      </c>
      <c r="T247" s="12" t="s">
        <v>62</v>
      </c>
      <c r="U247" s="15">
        <f t="shared" si="12"/>
        <v>1034.6488340000001</v>
      </c>
      <c r="V247" s="15">
        <f t="shared" si="13"/>
        <v>1928.5160000000001</v>
      </c>
      <c r="W247" s="15">
        <f t="shared" si="14"/>
        <v>568.02750000000003</v>
      </c>
      <c r="X247" s="15">
        <f t="shared" si="15"/>
        <v>1290.3064999999999</v>
      </c>
    </row>
    <row r="248" spans="1:24">
      <c r="A248" s="12" t="s">
        <v>810</v>
      </c>
      <c r="B248" s="12" t="s">
        <v>811</v>
      </c>
      <c r="C248" s="12" t="s">
        <v>36</v>
      </c>
      <c r="D248" s="12" t="s">
        <v>37</v>
      </c>
      <c r="E248" s="12" t="s">
        <v>131</v>
      </c>
      <c r="F248" s="13">
        <v>13643.1</v>
      </c>
      <c r="G248" s="13">
        <v>12.37</v>
      </c>
      <c r="H248" s="13">
        <v>11954.81</v>
      </c>
      <c r="I248" s="13">
        <v>4.5</v>
      </c>
      <c r="J248" s="13">
        <v>33</v>
      </c>
      <c r="K248" s="13">
        <v>126</v>
      </c>
      <c r="L248" s="12" t="s">
        <v>812</v>
      </c>
      <c r="M248" s="12">
        <v>4.3</v>
      </c>
      <c r="N248" s="14">
        <v>45410</v>
      </c>
      <c r="O248" s="13">
        <v>4</v>
      </c>
      <c r="P248" s="12" t="s">
        <v>117</v>
      </c>
      <c r="Q248" s="12" t="s">
        <v>55</v>
      </c>
      <c r="R248" s="12" t="s">
        <v>47</v>
      </c>
      <c r="S248" s="12" t="b">
        <v>0</v>
      </c>
      <c r="T248" s="12" t="s">
        <v>56</v>
      </c>
      <c r="U248" s="15">
        <f t="shared" si="12"/>
        <v>1687.65147</v>
      </c>
      <c r="V248" s="15">
        <f t="shared" si="13"/>
        <v>5457.24</v>
      </c>
      <c r="W248" s="15">
        <f t="shared" si="14"/>
        <v>1793.2215000000001</v>
      </c>
      <c r="X248" s="15">
        <f t="shared" si="15"/>
        <v>4704.3485000000001</v>
      </c>
    </row>
    <row r="249" spans="1:24">
      <c r="A249" s="12" t="s">
        <v>813</v>
      </c>
      <c r="B249" s="12" t="s">
        <v>814</v>
      </c>
      <c r="C249" s="12" t="s">
        <v>75</v>
      </c>
      <c r="D249" s="12" t="s">
        <v>76</v>
      </c>
      <c r="E249" s="12" t="s">
        <v>84</v>
      </c>
      <c r="F249" s="13">
        <v>772.83</v>
      </c>
      <c r="G249" s="13">
        <v>39.840000000000003</v>
      </c>
      <c r="H249" s="13">
        <v>464.94</v>
      </c>
      <c r="I249" s="13">
        <v>3</v>
      </c>
      <c r="J249" s="13">
        <v>9</v>
      </c>
      <c r="K249" s="13">
        <v>214</v>
      </c>
      <c r="L249" s="12" t="s">
        <v>815</v>
      </c>
      <c r="M249" s="12">
        <v>3.8</v>
      </c>
      <c r="N249" s="14">
        <v>45508</v>
      </c>
      <c r="O249" s="13">
        <v>1</v>
      </c>
      <c r="P249" s="12" t="s">
        <v>40</v>
      </c>
      <c r="Q249" s="12" t="s">
        <v>46</v>
      </c>
      <c r="R249" s="12" t="s">
        <v>47</v>
      </c>
      <c r="S249" s="12" t="b">
        <v>0</v>
      </c>
      <c r="T249" s="12" t="s">
        <v>78</v>
      </c>
      <c r="U249" s="15">
        <f t="shared" si="12"/>
        <v>307.89547199999998</v>
      </c>
      <c r="V249" s="15">
        <f t="shared" si="13"/>
        <v>309.13200000000001</v>
      </c>
      <c r="W249" s="15">
        <f t="shared" si="14"/>
        <v>69.741</v>
      </c>
      <c r="X249" s="15">
        <f t="shared" si="15"/>
        <v>86.066999999999894</v>
      </c>
    </row>
    <row r="250" spans="1:24">
      <c r="A250" s="12" t="s">
        <v>816</v>
      </c>
      <c r="B250" s="12" t="s">
        <v>817</v>
      </c>
      <c r="C250" s="12" t="s">
        <v>26</v>
      </c>
      <c r="D250" s="12" t="s">
        <v>27</v>
      </c>
      <c r="E250" s="12" t="s">
        <v>235</v>
      </c>
      <c r="F250" s="13">
        <v>55971.519999999997</v>
      </c>
      <c r="G250" s="13">
        <v>24.13</v>
      </c>
      <c r="H250" s="13">
        <v>42465.48</v>
      </c>
      <c r="I250" s="13">
        <v>4.0999999999999996</v>
      </c>
      <c r="J250" s="13">
        <v>18</v>
      </c>
      <c r="K250" s="13">
        <v>125</v>
      </c>
      <c r="L250" s="12" t="s">
        <v>818</v>
      </c>
      <c r="M250" s="12">
        <v>3.7</v>
      </c>
      <c r="N250" s="14">
        <v>45699</v>
      </c>
      <c r="O250" s="13">
        <v>6</v>
      </c>
      <c r="P250" s="12" t="s">
        <v>45</v>
      </c>
      <c r="Q250" s="12" t="s">
        <v>55</v>
      </c>
      <c r="R250" s="12" t="s">
        <v>86</v>
      </c>
      <c r="S250" s="12" t="b">
        <v>0</v>
      </c>
      <c r="T250" s="12" t="s">
        <v>78</v>
      </c>
      <c r="U250" s="15">
        <f t="shared" si="12"/>
        <v>13505.927776</v>
      </c>
      <c r="V250" s="15">
        <f t="shared" si="13"/>
        <v>22388.608</v>
      </c>
      <c r="W250" s="15">
        <f t="shared" si="14"/>
        <v>6369.8220000000001</v>
      </c>
      <c r="X250" s="15">
        <f t="shared" si="15"/>
        <v>13707.05</v>
      </c>
    </row>
    <row r="251" spans="1:24">
      <c r="A251" s="12" t="s">
        <v>819</v>
      </c>
      <c r="B251" s="12" t="s">
        <v>820</v>
      </c>
      <c r="C251" s="12" t="s">
        <v>36</v>
      </c>
      <c r="D251" s="12" t="s">
        <v>43</v>
      </c>
      <c r="E251" s="12" t="s">
        <v>38</v>
      </c>
      <c r="F251" s="13">
        <v>8144.87</v>
      </c>
      <c r="G251" s="13">
        <v>22.63</v>
      </c>
      <c r="H251" s="13">
        <v>6301.39</v>
      </c>
      <c r="I251" s="13">
        <v>3.5</v>
      </c>
      <c r="J251" s="13">
        <v>27</v>
      </c>
      <c r="K251" s="13">
        <v>119</v>
      </c>
      <c r="L251" s="12" t="s">
        <v>821</v>
      </c>
      <c r="M251" s="12">
        <v>5</v>
      </c>
      <c r="N251" s="14">
        <v>45664</v>
      </c>
      <c r="O251" s="13">
        <v>3</v>
      </c>
      <c r="P251" s="12" t="s">
        <v>54</v>
      </c>
      <c r="Q251" s="12" t="s">
        <v>31</v>
      </c>
      <c r="R251" s="12" t="s">
        <v>72</v>
      </c>
      <c r="S251" s="12" t="b">
        <v>0</v>
      </c>
      <c r="T251" s="12" t="s">
        <v>78</v>
      </c>
      <c r="U251" s="15">
        <f t="shared" si="12"/>
        <v>1843.1840810000001</v>
      </c>
      <c r="V251" s="15">
        <f t="shared" si="13"/>
        <v>3257.9479999999999</v>
      </c>
      <c r="W251" s="15">
        <f t="shared" si="14"/>
        <v>945.20849999999996</v>
      </c>
      <c r="X251" s="15">
        <f t="shared" si="15"/>
        <v>2098.2334999999998</v>
      </c>
    </row>
    <row r="252" spans="1:24">
      <c r="A252" s="12" t="s">
        <v>822</v>
      </c>
      <c r="B252" s="12" t="s">
        <v>823</v>
      </c>
      <c r="C252" s="12" t="s">
        <v>59</v>
      </c>
      <c r="D252" s="12" t="s">
        <v>69</v>
      </c>
      <c r="E252" s="12" t="s">
        <v>100</v>
      </c>
      <c r="F252" s="13">
        <v>11821.26</v>
      </c>
      <c r="G252" s="13">
        <v>31.71</v>
      </c>
      <c r="H252" s="13">
        <v>8072.71</v>
      </c>
      <c r="I252" s="13">
        <v>4</v>
      </c>
      <c r="J252" s="13">
        <v>10</v>
      </c>
      <c r="K252" s="13">
        <v>153</v>
      </c>
      <c r="L252" s="12" t="s">
        <v>824</v>
      </c>
      <c r="M252" s="12">
        <v>4.5999999999999996</v>
      </c>
      <c r="N252" s="14">
        <v>45931</v>
      </c>
      <c r="O252" s="13">
        <v>2</v>
      </c>
      <c r="P252" s="12" t="s">
        <v>45</v>
      </c>
      <c r="Q252" s="12" t="s">
        <v>46</v>
      </c>
      <c r="R252" s="12" t="s">
        <v>47</v>
      </c>
      <c r="S252" s="12" t="b">
        <v>1</v>
      </c>
      <c r="T252" s="12" t="s">
        <v>33</v>
      </c>
      <c r="U252" s="15">
        <f t="shared" si="12"/>
        <v>3748.5215459999999</v>
      </c>
      <c r="V252" s="15">
        <f t="shared" si="13"/>
        <v>4728.5039999999999</v>
      </c>
      <c r="W252" s="15">
        <f t="shared" si="14"/>
        <v>1210.9065000000001</v>
      </c>
      <c r="X252" s="15">
        <f t="shared" si="15"/>
        <v>2133.2995000000001</v>
      </c>
    </row>
    <row r="253" spans="1:24">
      <c r="A253" s="12" t="s">
        <v>825</v>
      </c>
      <c r="B253" s="12" t="s">
        <v>826</v>
      </c>
      <c r="C253" s="12" t="s">
        <v>50</v>
      </c>
      <c r="D253" s="12" t="s">
        <v>213</v>
      </c>
      <c r="E253" s="12" t="s">
        <v>235</v>
      </c>
      <c r="F253" s="13">
        <v>2096.9899999999998</v>
      </c>
      <c r="G253" s="13">
        <v>48.52</v>
      </c>
      <c r="H253" s="13">
        <v>1079.5899999999999</v>
      </c>
      <c r="I253" s="13">
        <v>4.3</v>
      </c>
      <c r="J253" s="13">
        <v>14</v>
      </c>
      <c r="K253" s="13">
        <v>343</v>
      </c>
      <c r="L253" s="12" t="s">
        <v>827</v>
      </c>
      <c r="M253" s="12">
        <v>3.1</v>
      </c>
      <c r="N253" s="14">
        <v>46031</v>
      </c>
      <c r="O253" s="13">
        <v>5</v>
      </c>
      <c r="P253" s="12" t="s">
        <v>40</v>
      </c>
      <c r="Q253" s="12" t="s">
        <v>31</v>
      </c>
      <c r="R253" s="12" t="s">
        <v>72</v>
      </c>
      <c r="S253" s="12" t="b">
        <v>0</v>
      </c>
      <c r="T253" s="12" t="s">
        <v>62</v>
      </c>
      <c r="U253" s="15">
        <f t="shared" si="12"/>
        <v>1017.459548</v>
      </c>
      <c r="V253" s="15">
        <f t="shared" si="13"/>
        <v>838.79600000000005</v>
      </c>
      <c r="W253" s="15">
        <f t="shared" si="14"/>
        <v>161.9385</v>
      </c>
      <c r="X253" s="15">
        <f t="shared" si="15"/>
        <v>78.855500000000006</v>
      </c>
    </row>
    <row r="254" spans="1:24">
      <c r="A254" s="12" t="s">
        <v>828</v>
      </c>
      <c r="B254" s="12" t="s">
        <v>829</v>
      </c>
      <c r="C254" s="12" t="s">
        <v>50</v>
      </c>
      <c r="D254" s="12" t="s">
        <v>51</v>
      </c>
      <c r="E254" s="12" t="s">
        <v>92</v>
      </c>
      <c r="F254" s="13">
        <v>2912.41</v>
      </c>
      <c r="G254" s="13">
        <v>27.45</v>
      </c>
      <c r="H254" s="13">
        <v>2112.94</v>
      </c>
      <c r="I254" s="13">
        <v>4.0999999999999996</v>
      </c>
      <c r="J254" s="13">
        <v>16</v>
      </c>
      <c r="K254" s="13">
        <v>386</v>
      </c>
      <c r="L254" s="12" t="s">
        <v>830</v>
      </c>
      <c r="M254" s="12">
        <v>2.6</v>
      </c>
      <c r="N254" s="14">
        <v>46077</v>
      </c>
      <c r="O254" s="13">
        <v>2</v>
      </c>
      <c r="P254" s="12" t="s">
        <v>30</v>
      </c>
      <c r="Q254" s="12" t="s">
        <v>55</v>
      </c>
      <c r="R254" s="12" t="s">
        <v>47</v>
      </c>
      <c r="S254" s="12" t="b">
        <v>0</v>
      </c>
      <c r="T254" s="12" t="s">
        <v>78</v>
      </c>
      <c r="U254" s="15">
        <f t="shared" si="12"/>
        <v>799.45654500000001</v>
      </c>
      <c r="V254" s="15">
        <f t="shared" si="13"/>
        <v>1164.9639999999999</v>
      </c>
      <c r="W254" s="15">
        <f t="shared" si="14"/>
        <v>316.94099999999997</v>
      </c>
      <c r="X254" s="15">
        <f t="shared" si="15"/>
        <v>631.03499999999997</v>
      </c>
    </row>
    <row r="255" spans="1:24">
      <c r="A255" s="12" t="s">
        <v>831</v>
      </c>
      <c r="B255" s="12" t="s">
        <v>832</v>
      </c>
      <c r="C255" s="12" t="s">
        <v>59</v>
      </c>
      <c r="D255" s="12" t="s">
        <v>60</v>
      </c>
      <c r="E255" s="12" t="s">
        <v>92</v>
      </c>
      <c r="F255" s="13">
        <v>10778.99</v>
      </c>
      <c r="G255" s="13">
        <v>16.059999999999999</v>
      </c>
      <c r="H255" s="13">
        <v>9047.74</v>
      </c>
      <c r="I255" s="13">
        <v>4.3</v>
      </c>
      <c r="J255" s="13">
        <v>16</v>
      </c>
      <c r="K255" s="13">
        <v>211</v>
      </c>
      <c r="L255" s="12" t="s">
        <v>833</v>
      </c>
      <c r="M255" s="12">
        <v>3.2</v>
      </c>
      <c r="N255" s="14">
        <v>45420</v>
      </c>
      <c r="O255" s="13">
        <v>5</v>
      </c>
      <c r="P255" s="12" t="s">
        <v>117</v>
      </c>
      <c r="Q255" s="12" t="s">
        <v>31</v>
      </c>
      <c r="R255" s="12" t="s">
        <v>47</v>
      </c>
      <c r="S255" s="12" t="b">
        <v>0</v>
      </c>
      <c r="T255" s="12" t="s">
        <v>56</v>
      </c>
      <c r="U255" s="15">
        <f t="shared" si="12"/>
        <v>1731.1057940000001</v>
      </c>
      <c r="V255" s="15">
        <f t="shared" si="13"/>
        <v>4311.5959999999995</v>
      </c>
      <c r="W255" s="15">
        <f t="shared" si="14"/>
        <v>1357.1610000000001</v>
      </c>
      <c r="X255" s="15">
        <f t="shared" si="15"/>
        <v>3378.9830000000002</v>
      </c>
    </row>
    <row r="256" spans="1:24">
      <c r="A256" s="12" t="s">
        <v>834</v>
      </c>
      <c r="B256" s="12" t="s">
        <v>835</v>
      </c>
      <c r="C256" s="12" t="s">
        <v>75</v>
      </c>
      <c r="D256" s="12" t="s">
        <v>104</v>
      </c>
      <c r="E256" s="12" t="s">
        <v>70</v>
      </c>
      <c r="F256" s="13">
        <v>4637.8900000000003</v>
      </c>
      <c r="G256" s="13">
        <v>32.299999999999997</v>
      </c>
      <c r="H256" s="13">
        <v>3139.69</v>
      </c>
      <c r="I256" s="13">
        <v>4.5999999999999996</v>
      </c>
      <c r="J256" s="13">
        <v>11</v>
      </c>
      <c r="K256" s="13">
        <v>472</v>
      </c>
      <c r="L256" s="12" t="s">
        <v>836</v>
      </c>
      <c r="M256" s="12">
        <v>3.6</v>
      </c>
      <c r="N256" s="14">
        <v>45612</v>
      </c>
      <c r="O256" s="13">
        <v>3</v>
      </c>
      <c r="P256" s="12" t="s">
        <v>30</v>
      </c>
      <c r="Q256" s="12" t="s">
        <v>55</v>
      </c>
      <c r="R256" s="12" t="s">
        <v>32</v>
      </c>
      <c r="S256" s="12" t="b">
        <v>1</v>
      </c>
      <c r="T256" s="12" t="s">
        <v>33</v>
      </c>
      <c r="U256" s="15">
        <f t="shared" si="12"/>
        <v>1498.03847</v>
      </c>
      <c r="V256" s="15">
        <f t="shared" si="13"/>
        <v>1855.1559999999999</v>
      </c>
      <c r="W256" s="15">
        <f t="shared" si="14"/>
        <v>470.95350000000002</v>
      </c>
      <c r="X256" s="15">
        <f t="shared" si="15"/>
        <v>813.58050000000003</v>
      </c>
    </row>
    <row r="257" spans="1:24">
      <c r="A257" s="12" t="s">
        <v>837</v>
      </c>
      <c r="B257" s="12" t="s">
        <v>838</v>
      </c>
      <c r="C257" s="12" t="s">
        <v>36</v>
      </c>
      <c r="D257" s="12" t="s">
        <v>108</v>
      </c>
      <c r="E257" s="12" t="s">
        <v>70</v>
      </c>
      <c r="F257" s="13">
        <v>8820.7000000000007</v>
      </c>
      <c r="G257" s="13">
        <v>23.7</v>
      </c>
      <c r="H257" s="13">
        <v>6730</v>
      </c>
      <c r="I257" s="13">
        <v>3.5</v>
      </c>
      <c r="J257" s="13">
        <v>42</v>
      </c>
      <c r="K257" s="13">
        <v>344</v>
      </c>
      <c r="L257" s="12" t="s">
        <v>839</v>
      </c>
      <c r="M257" s="12">
        <v>4.7</v>
      </c>
      <c r="N257" s="14">
        <v>45554</v>
      </c>
      <c r="O257" s="13">
        <v>1</v>
      </c>
      <c r="P257" s="12" t="s">
        <v>40</v>
      </c>
      <c r="Q257" s="12" t="s">
        <v>46</v>
      </c>
      <c r="R257" s="12" t="s">
        <v>47</v>
      </c>
      <c r="S257" s="12" t="b">
        <v>0</v>
      </c>
      <c r="T257" s="12" t="s">
        <v>62</v>
      </c>
      <c r="U257" s="15">
        <f t="shared" si="12"/>
        <v>2090.5059000000001</v>
      </c>
      <c r="V257" s="15">
        <f t="shared" si="13"/>
        <v>3528.28</v>
      </c>
      <c r="W257" s="15">
        <f t="shared" si="14"/>
        <v>1009.5</v>
      </c>
      <c r="X257" s="15">
        <f t="shared" si="15"/>
        <v>2192.2199999999998</v>
      </c>
    </row>
    <row r="258" spans="1:24">
      <c r="A258" s="12" t="s">
        <v>840</v>
      </c>
      <c r="B258" s="12" t="s">
        <v>841</v>
      </c>
      <c r="C258" s="12" t="s">
        <v>36</v>
      </c>
      <c r="D258" s="12" t="s">
        <v>43</v>
      </c>
      <c r="E258" s="12" t="s">
        <v>235</v>
      </c>
      <c r="F258" s="13">
        <v>8911.2900000000009</v>
      </c>
      <c r="G258" s="13">
        <v>28.25</v>
      </c>
      <c r="H258" s="13">
        <v>6393.72</v>
      </c>
      <c r="I258" s="13">
        <v>3.5</v>
      </c>
      <c r="J258" s="13">
        <v>52</v>
      </c>
      <c r="K258" s="13">
        <v>489</v>
      </c>
      <c r="L258" s="12" t="s">
        <v>842</v>
      </c>
      <c r="M258" s="12">
        <v>4.8</v>
      </c>
      <c r="N258" s="14">
        <v>46102</v>
      </c>
      <c r="O258" s="13">
        <v>3</v>
      </c>
      <c r="P258" s="12" t="s">
        <v>54</v>
      </c>
      <c r="Q258" s="12" t="s">
        <v>46</v>
      </c>
      <c r="R258" s="12" t="s">
        <v>47</v>
      </c>
      <c r="S258" s="12" t="b">
        <v>0</v>
      </c>
      <c r="T258" s="12" t="s">
        <v>62</v>
      </c>
      <c r="U258" s="15">
        <f t="shared" si="12"/>
        <v>2517.439425</v>
      </c>
      <c r="V258" s="15">
        <f t="shared" si="13"/>
        <v>3564.5160000000001</v>
      </c>
      <c r="W258" s="15">
        <f t="shared" si="14"/>
        <v>959.05799999999999</v>
      </c>
      <c r="X258" s="15">
        <f t="shared" si="15"/>
        <v>1870.146</v>
      </c>
    </row>
    <row r="259" spans="1:24">
      <c r="A259" s="12" t="s">
        <v>843</v>
      </c>
      <c r="B259" s="12" t="s">
        <v>844</v>
      </c>
      <c r="C259" s="12" t="s">
        <v>26</v>
      </c>
      <c r="D259" s="12" t="s">
        <v>148</v>
      </c>
      <c r="E259" s="12" t="s">
        <v>70</v>
      </c>
      <c r="F259" s="13">
        <v>68438.720000000001</v>
      </c>
      <c r="G259" s="13">
        <v>24.06</v>
      </c>
      <c r="H259" s="13">
        <v>51973.94</v>
      </c>
      <c r="I259" s="13">
        <v>4.2</v>
      </c>
      <c r="J259" s="13">
        <v>9</v>
      </c>
      <c r="K259" s="13">
        <v>203</v>
      </c>
      <c r="L259" s="12" t="s">
        <v>845</v>
      </c>
      <c r="M259" s="12">
        <v>2.6</v>
      </c>
      <c r="N259" s="14">
        <v>45920</v>
      </c>
      <c r="O259" s="13">
        <v>3</v>
      </c>
      <c r="P259" s="12" t="s">
        <v>45</v>
      </c>
      <c r="Q259" s="12" t="s">
        <v>31</v>
      </c>
      <c r="R259" s="12" t="s">
        <v>72</v>
      </c>
      <c r="S259" s="12" t="b">
        <v>0</v>
      </c>
      <c r="T259" s="12" t="s">
        <v>56</v>
      </c>
      <c r="U259" s="15">
        <f t="shared" ref="U259:U322" si="16">F259*(G259/100)</f>
        <v>16466.356032</v>
      </c>
      <c r="V259" s="15">
        <f t="shared" ref="V259:V322" si="17">F259*0.4</f>
        <v>27375.488000000001</v>
      </c>
      <c r="W259" s="15">
        <f t="shared" ref="W259:W322" si="18">H259*0.15</f>
        <v>7796.0910000000003</v>
      </c>
      <c r="X259" s="15">
        <f t="shared" ref="X259:X322" si="19">H259-V259-W259</f>
        <v>16802.361000000001</v>
      </c>
    </row>
    <row r="260" spans="1:24">
      <c r="A260" s="12" t="s">
        <v>846</v>
      </c>
      <c r="B260" s="12" t="s">
        <v>847</v>
      </c>
      <c r="C260" s="12" t="s">
        <v>50</v>
      </c>
      <c r="D260" s="12" t="s">
        <v>51</v>
      </c>
      <c r="E260" s="12" t="s">
        <v>131</v>
      </c>
      <c r="F260" s="13">
        <v>4421.58</v>
      </c>
      <c r="G260" s="13">
        <v>9.2799999999999994</v>
      </c>
      <c r="H260" s="13">
        <v>4011.37</v>
      </c>
      <c r="I260" s="13">
        <v>4.3</v>
      </c>
      <c r="J260" s="13">
        <v>42</v>
      </c>
      <c r="K260" s="13">
        <v>184</v>
      </c>
      <c r="L260" s="12" t="s">
        <v>848</v>
      </c>
      <c r="M260" s="12">
        <v>3.8</v>
      </c>
      <c r="N260" s="14">
        <v>45407</v>
      </c>
      <c r="O260" s="13">
        <v>2</v>
      </c>
      <c r="P260" s="12" t="s">
        <v>30</v>
      </c>
      <c r="Q260" s="12" t="s">
        <v>55</v>
      </c>
      <c r="R260" s="12" t="s">
        <v>86</v>
      </c>
      <c r="S260" s="12" t="b">
        <v>0</v>
      </c>
      <c r="T260" s="12" t="s">
        <v>78</v>
      </c>
      <c r="U260" s="15">
        <f t="shared" si="16"/>
        <v>410.32262400000002</v>
      </c>
      <c r="V260" s="15">
        <f t="shared" si="17"/>
        <v>1768.6320000000001</v>
      </c>
      <c r="W260" s="15">
        <f t="shared" si="18"/>
        <v>601.70550000000003</v>
      </c>
      <c r="X260" s="15">
        <f t="shared" si="19"/>
        <v>1641.0325</v>
      </c>
    </row>
    <row r="261" spans="1:24">
      <c r="A261" s="12" t="s">
        <v>849</v>
      </c>
      <c r="B261" s="12" t="s">
        <v>850</v>
      </c>
      <c r="C261" s="12" t="s">
        <v>50</v>
      </c>
      <c r="D261" s="12" t="s">
        <v>51</v>
      </c>
      <c r="E261" s="12" t="s">
        <v>70</v>
      </c>
      <c r="F261" s="13">
        <v>4668.8500000000004</v>
      </c>
      <c r="G261" s="13">
        <v>29.6</v>
      </c>
      <c r="H261" s="13">
        <v>3286.8</v>
      </c>
      <c r="I261" s="13">
        <v>5</v>
      </c>
      <c r="J261" s="13">
        <v>47</v>
      </c>
      <c r="K261" s="13">
        <v>23</v>
      </c>
      <c r="L261" s="12" t="s">
        <v>851</v>
      </c>
      <c r="M261" s="12">
        <v>2.6</v>
      </c>
      <c r="N261" s="14">
        <v>46082</v>
      </c>
      <c r="O261" s="13">
        <v>4</v>
      </c>
      <c r="P261" s="12" t="s">
        <v>30</v>
      </c>
      <c r="Q261" s="12" t="s">
        <v>31</v>
      </c>
      <c r="R261" s="12" t="s">
        <v>47</v>
      </c>
      <c r="S261" s="12" t="b">
        <v>0</v>
      </c>
      <c r="T261" s="12" t="s">
        <v>78</v>
      </c>
      <c r="U261" s="15">
        <f t="shared" si="16"/>
        <v>1381.9795999999999</v>
      </c>
      <c r="V261" s="15">
        <f t="shared" si="17"/>
        <v>1867.54</v>
      </c>
      <c r="W261" s="15">
        <f t="shared" si="18"/>
        <v>493.02</v>
      </c>
      <c r="X261" s="15">
        <f t="shared" si="19"/>
        <v>926.24</v>
      </c>
    </row>
    <row r="262" spans="1:24">
      <c r="A262" s="12" t="s">
        <v>852</v>
      </c>
      <c r="B262" s="12" t="s">
        <v>853</v>
      </c>
      <c r="C262" s="12" t="s">
        <v>59</v>
      </c>
      <c r="D262" s="12" t="s">
        <v>60</v>
      </c>
      <c r="E262" s="12" t="s">
        <v>65</v>
      </c>
      <c r="F262" s="13">
        <v>6779.78</v>
      </c>
      <c r="G262" s="13">
        <v>5.07</v>
      </c>
      <c r="H262" s="13">
        <v>6436.29</v>
      </c>
      <c r="I262" s="13">
        <v>4.2</v>
      </c>
      <c r="J262" s="13">
        <v>6</v>
      </c>
      <c r="K262" s="13">
        <v>151</v>
      </c>
      <c r="L262" s="12" t="s">
        <v>854</v>
      </c>
      <c r="M262" s="12">
        <v>3.6</v>
      </c>
      <c r="N262" s="14">
        <v>45387</v>
      </c>
      <c r="O262" s="13">
        <v>1</v>
      </c>
      <c r="P262" s="12" t="s">
        <v>45</v>
      </c>
      <c r="Q262" s="12" t="s">
        <v>46</v>
      </c>
      <c r="R262" s="12" t="s">
        <v>72</v>
      </c>
      <c r="S262" s="12" t="b">
        <v>0</v>
      </c>
      <c r="T262" s="12" t="s">
        <v>78</v>
      </c>
      <c r="U262" s="15">
        <f t="shared" si="16"/>
        <v>343.734846</v>
      </c>
      <c r="V262" s="15">
        <f t="shared" si="17"/>
        <v>2711.9119999999998</v>
      </c>
      <c r="W262" s="15">
        <f t="shared" si="18"/>
        <v>965.44349999999997</v>
      </c>
      <c r="X262" s="15">
        <f t="shared" si="19"/>
        <v>2758.9344999999998</v>
      </c>
    </row>
    <row r="263" spans="1:24">
      <c r="A263" s="12" t="s">
        <v>855</v>
      </c>
      <c r="B263" s="12" t="s">
        <v>856</v>
      </c>
      <c r="C263" s="12" t="s">
        <v>50</v>
      </c>
      <c r="D263" s="12" t="s">
        <v>213</v>
      </c>
      <c r="E263" s="12" t="s">
        <v>70</v>
      </c>
      <c r="F263" s="13">
        <v>4120.54</v>
      </c>
      <c r="G263" s="13">
        <v>21.69</v>
      </c>
      <c r="H263" s="13">
        <v>3226.7</v>
      </c>
      <c r="I263" s="13">
        <v>4.5999999999999996</v>
      </c>
      <c r="J263" s="13">
        <v>3</v>
      </c>
      <c r="K263" s="13">
        <v>483</v>
      </c>
      <c r="L263" s="12" t="s">
        <v>857</v>
      </c>
      <c r="M263" s="12">
        <v>3.5</v>
      </c>
      <c r="N263" s="14">
        <v>45863</v>
      </c>
      <c r="O263" s="13">
        <v>1</v>
      </c>
      <c r="P263" s="12" t="s">
        <v>117</v>
      </c>
      <c r="Q263" s="12" t="s">
        <v>55</v>
      </c>
      <c r="R263" s="12" t="s">
        <v>86</v>
      </c>
      <c r="S263" s="12" t="b">
        <v>0</v>
      </c>
      <c r="T263" s="12" t="s">
        <v>62</v>
      </c>
      <c r="U263" s="15">
        <f t="shared" si="16"/>
        <v>893.74512600000003</v>
      </c>
      <c r="V263" s="15">
        <f t="shared" si="17"/>
        <v>1648.2159999999999</v>
      </c>
      <c r="W263" s="15">
        <f t="shared" si="18"/>
        <v>484.005</v>
      </c>
      <c r="X263" s="15">
        <f t="shared" si="19"/>
        <v>1094.479</v>
      </c>
    </row>
    <row r="264" spans="1:24">
      <c r="A264" s="12" t="s">
        <v>858</v>
      </c>
      <c r="B264" s="12" t="s">
        <v>859</v>
      </c>
      <c r="C264" s="12" t="s">
        <v>50</v>
      </c>
      <c r="D264" s="12" t="s">
        <v>51</v>
      </c>
      <c r="E264" s="12" t="s">
        <v>92</v>
      </c>
      <c r="F264" s="13">
        <v>2684.46</v>
      </c>
      <c r="G264" s="13">
        <v>33.28</v>
      </c>
      <c r="H264" s="13">
        <v>1791.08</v>
      </c>
      <c r="I264" s="13">
        <v>2.7</v>
      </c>
      <c r="J264" s="13">
        <v>14</v>
      </c>
      <c r="K264" s="13">
        <v>368</v>
      </c>
      <c r="L264" s="12" t="s">
        <v>860</v>
      </c>
      <c r="M264" s="12">
        <v>2.8</v>
      </c>
      <c r="N264" s="14">
        <v>45766</v>
      </c>
      <c r="O264" s="13">
        <v>4</v>
      </c>
      <c r="P264" s="12" t="s">
        <v>30</v>
      </c>
      <c r="Q264" s="12" t="s">
        <v>55</v>
      </c>
      <c r="R264" s="12" t="s">
        <v>47</v>
      </c>
      <c r="S264" s="12" t="b">
        <v>0</v>
      </c>
      <c r="T264" s="12" t="s">
        <v>62</v>
      </c>
      <c r="U264" s="15">
        <f t="shared" si="16"/>
        <v>893.38828799999999</v>
      </c>
      <c r="V264" s="15">
        <f t="shared" si="17"/>
        <v>1073.7840000000001</v>
      </c>
      <c r="W264" s="15">
        <f t="shared" si="18"/>
        <v>268.66199999999998</v>
      </c>
      <c r="X264" s="15">
        <f t="shared" si="19"/>
        <v>448.63400000000001</v>
      </c>
    </row>
    <row r="265" spans="1:24">
      <c r="A265" s="12" t="s">
        <v>861</v>
      </c>
      <c r="B265" s="12" t="s">
        <v>862</v>
      </c>
      <c r="C265" s="12" t="s">
        <v>26</v>
      </c>
      <c r="D265" s="12" t="s">
        <v>27</v>
      </c>
      <c r="E265" s="12" t="s">
        <v>84</v>
      </c>
      <c r="F265" s="13">
        <v>47006.879999999997</v>
      </c>
      <c r="G265" s="13">
        <v>20.71</v>
      </c>
      <c r="H265" s="13">
        <v>37272.47</v>
      </c>
      <c r="I265" s="13">
        <v>4.0999999999999996</v>
      </c>
      <c r="J265" s="13">
        <v>13</v>
      </c>
      <c r="K265" s="13">
        <v>211</v>
      </c>
      <c r="L265" s="12" t="s">
        <v>863</v>
      </c>
      <c r="M265" s="12">
        <v>2.8</v>
      </c>
      <c r="N265" s="14">
        <v>45596</v>
      </c>
      <c r="O265" s="13">
        <v>2</v>
      </c>
      <c r="P265" s="12" t="s">
        <v>40</v>
      </c>
      <c r="Q265" s="12" t="s">
        <v>31</v>
      </c>
      <c r="R265" s="12" t="s">
        <v>47</v>
      </c>
      <c r="S265" s="12" t="b">
        <v>0</v>
      </c>
      <c r="T265" s="12" t="s">
        <v>78</v>
      </c>
      <c r="U265" s="15">
        <f t="shared" si="16"/>
        <v>9735.1248479999995</v>
      </c>
      <c r="V265" s="15">
        <f t="shared" si="17"/>
        <v>18802.752</v>
      </c>
      <c r="W265" s="15">
        <f t="shared" si="18"/>
        <v>5590.8705</v>
      </c>
      <c r="X265" s="15">
        <f t="shared" si="19"/>
        <v>12878.8475</v>
      </c>
    </row>
    <row r="266" spans="1:24">
      <c r="A266" s="12" t="s">
        <v>864</v>
      </c>
      <c r="B266" s="12" t="s">
        <v>865</v>
      </c>
      <c r="C266" s="12" t="s">
        <v>75</v>
      </c>
      <c r="D266" s="12" t="s">
        <v>135</v>
      </c>
      <c r="E266" s="12" t="s">
        <v>70</v>
      </c>
      <c r="F266" s="13">
        <v>4327.12</v>
      </c>
      <c r="G266" s="13">
        <v>18.53</v>
      </c>
      <c r="H266" s="13">
        <v>3525.29</v>
      </c>
      <c r="I266" s="13">
        <v>4.2</v>
      </c>
      <c r="J266" s="13">
        <v>6</v>
      </c>
      <c r="K266" s="13">
        <v>30</v>
      </c>
      <c r="L266" s="12" t="s">
        <v>866</v>
      </c>
      <c r="M266" s="12">
        <v>4.3</v>
      </c>
      <c r="N266" s="14">
        <v>45704</v>
      </c>
      <c r="O266" s="13">
        <v>5</v>
      </c>
      <c r="P266" s="12" t="s">
        <v>45</v>
      </c>
      <c r="Q266" s="12" t="s">
        <v>31</v>
      </c>
      <c r="R266" s="12" t="s">
        <v>86</v>
      </c>
      <c r="S266" s="12" t="b">
        <v>0</v>
      </c>
      <c r="T266" s="12" t="s">
        <v>78</v>
      </c>
      <c r="U266" s="15">
        <f t="shared" si="16"/>
        <v>801.815336</v>
      </c>
      <c r="V266" s="15">
        <f t="shared" si="17"/>
        <v>1730.848</v>
      </c>
      <c r="W266" s="15">
        <f t="shared" si="18"/>
        <v>528.79349999999999</v>
      </c>
      <c r="X266" s="15">
        <f t="shared" si="19"/>
        <v>1265.6485</v>
      </c>
    </row>
    <row r="267" spans="1:24">
      <c r="A267" s="12" t="s">
        <v>867</v>
      </c>
      <c r="B267" s="12" t="s">
        <v>868</v>
      </c>
      <c r="C267" s="12" t="s">
        <v>26</v>
      </c>
      <c r="D267" s="12" t="s">
        <v>148</v>
      </c>
      <c r="E267" s="12" t="s">
        <v>38</v>
      </c>
      <c r="F267" s="13">
        <v>59529.26</v>
      </c>
      <c r="G267" s="13">
        <v>10.71</v>
      </c>
      <c r="H267" s="13">
        <v>53155.92</v>
      </c>
      <c r="I267" s="13">
        <v>4.7</v>
      </c>
      <c r="J267" s="13">
        <v>46</v>
      </c>
      <c r="K267" s="13">
        <v>274</v>
      </c>
      <c r="L267" s="12" t="s">
        <v>869</v>
      </c>
      <c r="M267" s="12">
        <v>4.5</v>
      </c>
      <c r="N267" s="14">
        <v>45717</v>
      </c>
      <c r="O267" s="13">
        <v>1</v>
      </c>
      <c r="P267" s="12" t="s">
        <v>40</v>
      </c>
      <c r="Q267" s="12" t="s">
        <v>46</v>
      </c>
      <c r="R267" s="12" t="s">
        <v>86</v>
      </c>
      <c r="S267" s="12" t="b">
        <v>1</v>
      </c>
      <c r="T267" s="12" t="s">
        <v>33</v>
      </c>
      <c r="U267" s="15">
        <f t="shared" si="16"/>
        <v>6375.5837460000002</v>
      </c>
      <c r="V267" s="15">
        <f t="shared" si="17"/>
        <v>23811.704000000002</v>
      </c>
      <c r="W267" s="15">
        <f t="shared" si="18"/>
        <v>7973.3879999999999</v>
      </c>
      <c r="X267" s="15">
        <f t="shared" si="19"/>
        <v>21370.828000000001</v>
      </c>
    </row>
    <row r="268" spans="1:24">
      <c r="A268" s="12" t="s">
        <v>870</v>
      </c>
      <c r="B268" s="12" t="s">
        <v>871</v>
      </c>
      <c r="C268" s="12" t="s">
        <v>75</v>
      </c>
      <c r="D268" s="12" t="s">
        <v>135</v>
      </c>
      <c r="E268" s="12" t="s">
        <v>84</v>
      </c>
      <c r="F268" s="13">
        <v>4088.96</v>
      </c>
      <c r="G268" s="13">
        <v>43.54</v>
      </c>
      <c r="H268" s="13">
        <v>2308.67</v>
      </c>
      <c r="I268" s="13">
        <v>4.8</v>
      </c>
      <c r="J268" s="13">
        <v>20</v>
      </c>
      <c r="K268" s="13">
        <v>98</v>
      </c>
      <c r="L268" s="12" t="s">
        <v>872</v>
      </c>
      <c r="M268" s="12">
        <v>2.6</v>
      </c>
      <c r="N268" s="14">
        <v>45462</v>
      </c>
      <c r="O268" s="13">
        <v>1</v>
      </c>
      <c r="P268" s="12" t="s">
        <v>45</v>
      </c>
      <c r="Q268" s="12" t="s">
        <v>55</v>
      </c>
      <c r="R268" s="12" t="s">
        <v>72</v>
      </c>
      <c r="S268" s="12" t="b">
        <v>0</v>
      </c>
      <c r="T268" s="12" t="s">
        <v>56</v>
      </c>
      <c r="U268" s="15">
        <f t="shared" si="16"/>
        <v>1780.3331840000001</v>
      </c>
      <c r="V268" s="15">
        <f t="shared" si="17"/>
        <v>1635.5840000000001</v>
      </c>
      <c r="W268" s="15">
        <f t="shared" si="18"/>
        <v>346.3005</v>
      </c>
      <c r="X268" s="15">
        <f t="shared" si="19"/>
        <v>326.78550000000001</v>
      </c>
    </row>
    <row r="269" spans="1:24">
      <c r="A269" s="12" t="s">
        <v>873</v>
      </c>
      <c r="B269" s="12" t="s">
        <v>874</v>
      </c>
      <c r="C269" s="12" t="s">
        <v>50</v>
      </c>
      <c r="D269" s="12" t="s">
        <v>130</v>
      </c>
      <c r="E269" s="12" t="s">
        <v>112</v>
      </c>
      <c r="F269" s="13">
        <v>1060.43</v>
      </c>
      <c r="G269" s="13">
        <v>29.87</v>
      </c>
      <c r="H269" s="13">
        <v>743.66</v>
      </c>
      <c r="I269" s="13">
        <v>3.3</v>
      </c>
      <c r="J269" s="13">
        <v>15</v>
      </c>
      <c r="K269" s="13">
        <v>124</v>
      </c>
      <c r="L269" s="12" t="s">
        <v>875</v>
      </c>
      <c r="M269" s="12">
        <v>4.2</v>
      </c>
      <c r="N269" s="14">
        <v>45827</v>
      </c>
      <c r="O269" s="13">
        <v>2</v>
      </c>
      <c r="P269" s="12" t="s">
        <v>117</v>
      </c>
      <c r="Q269" s="12" t="s">
        <v>55</v>
      </c>
      <c r="R269" s="12" t="s">
        <v>32</v>
      </c>
      <c r="S269" s="12" t="b">
        <v>0</v>
      </c>
      <c r="T269" s="12" t="s">
        <v>62</v>
      </c>
      <c r="U269" s="15">
        <f t="shared" si="16"/>
        <v>316.75044100000002</v>
      </c>
      <c r="V269" s="15">
        <f t="shared" si="17"/>
        <v>424.17200000000003</v>
      </c>
      <c r="W269" s="15">
        <f t="shared" si="18"/>
        <v>111.54900000000001</v>
      </c>
      <c r="X269" s="15">
        <f t="shared" si="19"/>
        <v>207.93899999999999</v>
      </c>
    </row>
    <row r="270" spans="1:24">
      <c r="A270" s="12" t="s">
        <v>876</v>
      </c>
      <c r="B270" s="12" t="s">
        <v>877</v>
      </c>
      <c r="C270" s="12" t="s">
        <v>26</v>
      </c>
      <c r="D270" s="12" t="s">
        <v>27</v>
      </c>
      <c r="E270" s="12" t="s">
        <v>96</v>
      </c>
      <c r="F270" s="13">
        <v>51877.19</v>
      </c>
      <c r="G270" s="13">
        <v>15.95</v>
      </c>
      <c r="H270" s="13">
        <v>43602.67</v>
      </c>
      <c r="I270" s="13">
        <v>4.3</v>
      </c>
      <c r="J270" s="13">
        <v>22</v>
      </c>
      <c r="K270" s="13">
        <v>243</v>
      </c>
      <c r="L270" s="12" t="s">
        <v>878</v>
      </c>
      <c r="M270" s="12">
        <v>2.6</v>
      </c>
      <c r="N270" s="14">
        <v>45402</v>
      </c>
      <c r="O270" s="13">
        <v>4</v>
      </c>
      <c r="P270" s="12" t="s">
        <v>117</v>
      </c>
      <c r="Q270" s="12" t="s">
        <v>31</v>
      </c>
      <c r="R270" s="12" t="s">
        <v>32</v>
      </c>
      <c r="S270" s="12" t="b">
        <v>0</v>
      </c>
      <c r="T270" s="12" t="s">
        <v>62</v>
      </c>
      <c r="U270" s="15">
        <f t="shared" si="16"/>
        <v>8274.4118049999997</v>
      </c>
      <c r="V270" s="15">
        <f t="shared" si="17"/>
        <v>20750.876</v>
      </c>
      <c r="W270" s="15">
        <f t="shared" si="18"/>
        <v>6540.4004999999997</v>
      </c>
      <c r="X270" s="15">
        <f t="shared" si="19"/>
        <v>16311.3935</v>
      </c>
    </row>
    <row r="271" spans="1:24">
      <c r="A271" s="12" t="s">
        <v>879</v>
      </c>
      <c r="B271" s="12" t="s">
        <v>880</v>
      </c>
      <c r="C271" s="12" t="s">
        <v>75</v>
      </c>
      <c r="D271" s="12" t="s">
        <v>135</v>
      </c>
      <c r="E271" s="12" t="s">
        <v>235</v>
      </c>
      <c r="F271" s="13">
        <v>1794.35</v>
      </c>
      <c r="G271" s="13">
        <v>30.04</v>
      </c>
      <c r="H271" s="13">
        <v>1255.27</v>
      </c>
      <c r="I271" s="13">
        <v>3.5</v>
      </c>
      <c r="J271" s="13">
        <v>93</v>
      </c>
      <c r="K271" s="13">
        <v>289</v>
      </c>
      <c r="L271" s="12" t="s">
        <v>881</v>
      </c>
      <c r="M271" s="12">
        <v>3.4</v>
      </c>
      <c r="N271" s="14">
        <v>46091</v>
      </c>
      <c r="O271" s="13">
        <v>6</v>
      </c>
      <c r="P271" s="12" t="s">
        <v>117</v>
      </c>
      <c r="Q271" s="12" t="s">
        <v>31</v>
      </c>
      <c r="R271" s="12" t="s">
        <v>32</v>
      </c>
      <c r="S271" s="12" t="b">
        <v>0</v>
      </c>
      <c r="T271" s="12" t="s">
        <v>78</v>
      </c>
      <c r="U271" s="15">
        <f t="shared" si="16"/>
        <v>539.02274</v>
      </c>
      <c r="V271" s="15">
        <f t="shared" si="17"/>
        <v>717.74</v>
      </c>
      <c r="W271" s="15">
        <f t="shared" si="18"/>
        <v>188.29050000000001</v>
      </c>
      <c r="X271" s="15">
        <f t="shared" si="19"/>
        <v>349.23950000000002</v>
      </c>
    </row>
    <row r="272" spans="1:24">
      <c r="A272" s="12" t="s">
        <v>882</v>
      </c>
      <c r="B272" s="12" t="s">
        <v>883</v>
      </c>
      <c r="C272" s="12" t="s">
        <v>75</v>
      </c>
      <c r="D272" s="12" t="s">
        <v>76</v>
      </c>
      <c r="E272" s="12" t="s">
        <v>65</v>
      </c>
      <c r="F272" s="13">
        <v>2000.58</v>
      </c>
      <c r="G272" s="13">
        <v>32.89</v>
      </c>
      <c r="H272" s="13">
        <v>1342.66</v>
      </c>
      <c r="I272" s="13">
        <v>3.5</v>
      </c>
      <c r="J272" s="13">
        <v>28</v>
      </c>
      <c r="K272" s="13">
        <v>473</v>
      </c>
      <c r="L272" s="12" t="s">
        <v>884</v>
      </c>
      <c r="M272" s="12">
        <v>4</v>
      </c>
      <c r="N272" s="14">
        <v>45493</v>
      </c>
      <c r="O272" s="13">
        <v>3</v>
      </c>
      <c r="P272" s="12" t="s">
        <v>117</v>
      </c>
      <c r="Q272" s="12" t="s">
        <v>31</v>
      </c>
      <c r="R272" s="12" t="s">
        <v>72</v>
      </c>
      <c r="S272" s="12" t="b">
        <v>0</v>
      </c>
      <c r="T272" s="12" t="s">
        <v>62</v>
      </c>
      <c r="U272" s="15">
        <f t="shared" si="16"/>
        <v>657.99076200000002</v>
      </c>
      <c r="V272" s="15">
        <f t="shared" si="17"/>
        <v>800.23199999999997</v>
      </c>
      <c r="W272" s="15">
        <f t="shared" si="18"/>
        <v>201.399</v>
      </c>
      <c r="X272" s="15">
        <f t="shared" si="19"/>
        <v>341.029</v>
      </c>
    </row>
    <row r="273" spans="1:24">
      <c r="A273" s="12" t="s">
        <v>885</v>
      </c>
      <c r="B273" s="12" t="s">
        <v>886</v>
      </c>
      <c r="C273" s="12" t="s">
        <v>36</v>
      </c>
      <c r="D273" s="12" t="s">
        <v>108</v>
      </c>
      <c r="E273" s="12" t="s">
        <v>38</v>
      </c>
      <c r="F273" s="13">
        <v>666.47</v>
      </c>
      <c r="G273" s="13">
        <v>25.26</v>
      </c>
      <c r="H273" s="13">
        <v>498.15</v>
      </c>
      <c r="I273" s="13">
        <v>4</v>
      </c>
      <c r="J273" s="13">
        <v>20</v>
      </c>
      <c r="K273" s="13">
        <v>8</v>
      </c>
      <c r="L273" s="12" t="s">
        <v>887</v>
      </c>
      <c r="M273" s="12">
        <v>4.3</v>
      </c>
      <c r="N273" s="14">
        <v>45542</v>
      </c>
      <c r="O273" s="13">
        <v>1</v>
      </c>
      <c r="P273" s="12" t="s">
        <v>54</v>
      </c>
      <c r="Q273" s="12" t="s">
        <v>31</v>
      </c>
      <c r="R273" s="12" t="s">
        <v>47</v>
      </c>
      <c r="S273" s="12" t="b">
        <v>0</v>
      </c>
      <c r="T273" s="12" t="s">
        <v>62</v>
      </c>
      <c r="U273" s="15">
        <f t="shared" si="16"/>
        <v>168.35032200000001</v>
      </c>
      <c r="V273" s="15">
        <f t="shared" si="17"/>
        <v>266.58800000000002</v>
      </c>
      <c r="W273" s="15">
        <f t="shared" si="18"/>
        <v>74.722499999999997</v>
      </c>
      <c r="X273" s="15">
        <f t="shared" si="19"/>
        <v>156.83949999999999</v>
      </c>
    </row>
    <row r="274" spans="1:24">
      <c r="A274" s="12" t="s">
        <v>888</v>
      </c>
      <c r="B274" s="12" t="s">
        <v>889</v>
      </c>
      <c r="C274" s="12" t="s">
        <v>50</v>
      </c>
      <c r="D274" s="12" t="s">
        <v>130</v>
      </c>
      <c r="E274" s="12" t="s">
        <v>52</v>
      </c>
      <c r="F274" s="13">
        <v>1468.53</v>
      </c>
      <c r="G274" s="13">
        <v>26.74</v>
      </c>
      <c r="H274" s="13">
        <v>1075.8900000000001</v>
      </c>
      <c r="I274" s="13">
        <v>3.4</v>
      </c>
      <c r="J274" s="13">
        <v>7</v>
      </c>
      <c r="K274" s="13">
        <v>290</v>
      </c>
      <c r="L274" s="12" t="s">
        <v>890</v>
      </c>
      <c r="M274" s="12">
        <v>2.9</v>
      </c>
      <c r="N274" s="14">
        <v>45535</v>
      </c>
      <c r="O274" s="13">
        <v>1</v>
      </c>
      <c r="P274" s="12" t="s">
        <v>54</v>
      </c>
      <c r="Q274" s="12" t="s">
        <v>31</v>
      </c>
      <c r="R274" s="12" t="s">
        <v>72</v>
      </c>
      <c r="S274" s="12" t="b">
        <v>0</v>
      </c>
      <c r="T274" s="12" t="s">
        <v>56</v>
      </c>
      <c r="U274" s="15">
        <f t="shared" si="16"/>
        <v>392.68492199999997</v>
      </c>
      <c r="V274" s="15">
        <f t="shared" si="17"/>
        <v>587.41200000000003</v>
      </c>
      <c r="W274" s="15">
        <f t="shared" si="18"/>
        <v>161.3835</v>
      </c>
      <c r="X274" s="15">
        <f t="shared" si="19"/>
        <v>327.09449999999998</v>
      </c>
    </row>
    <row r="275" spans="1:24">
      <c r="A275" s="12" t="s">
        <v>891</v>
      </c>
      <c r="B275" s="12" t="s">
        <v>892</v>
      </c>
      <c r="C275" s="12" t="s">
        <v>75</v>
      </c>
      <c r="D275" s="12" t="s">
        <v>76</v>
      </c>
      <c r="E275" s="12" t="s">
        <v>28</v>
      </c>
      <c r="F275" s="13">
        <v>1274.5</v>
      </c>
      <c r="G275" s="13">
        <v>51.75</v>
      </c>
      <c r="H275" s="13">
        <v>614.97</v>
      </c>
      <c r="I275" s="13">
        <v>3.4</v>
      </c>
      <c r="J275" s="13">
        <v>18</v>
      </c>
      <c r="K275" s="13">
        <v>27</v>
      </c>
      <c r="L275" s="12" t="s">
        <v>893</v>
      </c>
      <c r="M275" s="12">
        <v>2.5</v>
      </c>
      <c r="N275" s="14">
        <v>45766</v>
      </c>
      <c r="O275" s="13">
        <v>1</v>
      </c>
      <c r="P275" s="12" t="s">
        <v>40</v>
      </c>
      <c r="Q275" s="12" t="s">
        <v>55</v>
      </c>
      <c r="R275" s="12" t="s">
        <v>47</v>
      </c>
      <c r="S275" s="12" t="b">
        <v>0</v>
      </c>
      <c r="T275" s="12" t="s">
        <v>78</v>
      </c>
      <c r="U275" s="15">
        <f t="shared" si="16"/>
        <v>659.55375000000004</v>
      </c>
      <c r="V275" s="15">
        <f t="shared" si="17"/>
        <v>509.8</v>
      </c>
      <c r="W275" s="15">
        <f t="shared" si="18"/>
        <v>92.245500000000007</v>
      </c>
      <c r="X275" s="15">
        <f t="shared" si="19"/>
        <v>12.9245</v>
      </c>
    </row>
    <row r="276" spans="1:24">
      <c r="A276" s="12" t="s">
        <v>894</v>
      </c>
      <c r="B276" s="12" t="s">
        <v>895</v>
      </c>
      <c r="C276" s="12" t="s">
        <v>59</v>
      </c>
      <c r="D276" s="12" t="s">
        <v>60</v>
      </c>
      <c r="E276" s="12" t="s">
        <v>65</v>
      </c>
      <c r="F276" s="13">
        <v>13844.5</v>
      </c>
      <c r="G276" s="13">
        <v>19.079999999999998</v>
      </c>
      <c r="H276" s="13">
        <v>11202.85</v>
      </c>
      <c r="I276" s="13">
        <v>4.3</v>
      </c>
      <c r="J276" s="13">
        <v>4</v>
      </c>
      <c r="K276" s="13">
        <v>15</v>
      </c>
      <c r="L276" s="12" t="s">
        <v>896</v>
      </c>
      <c r="M276" s="12">
        <v>2.8</v>
      </c>
      <c r="N276" s="14">
        <v>45817</v>
      </c>
      <c r="O276" s="13">
        <v>5</v>
      </c>
      <c r="P276" s="12" t="s">
        <v>45</v>
      </c>
      <c r="Q276" s="12" t="s">
        <v>55</v>
      </c>
      <c r="R276" s="12" t="s">
        <v>86</v>
      </c>
      <c r="S276" s="12" t="b">
        <v>0</v>
      </c>
      <c r="T276" s="12" t="s">
        <v>78</v>
      </c>
      <c r="U276" s="15">
        <f t="shared" si="16"/>
        <v>2641.5306</v>
      </c>
      <c r="V276" s="15">
        <f t="shared" si="17"/>
        <v>5537.8</v>
      </c>
      <c r="W276" s="15">
        <f t="shared" si="18"/>
        <v>1680.4275</v>
      </c>
      <c r="X276" s="15">
        <f t="shared" si="19"/>
        <v>3984.6224999999999</v>
      </c>
    </row>
    <row r="277" spans="1:24">
      <c r="A277" s="12" t="s">
        <v>897</v>
      </c>
      <c r="B277" s="12" t="s">
        <v>898</v>
      </c>
      <c r="C277" s="12" t="s">
        <v>59</v>
      </c>
      <c r="D277" s="12" t="s">
        <v>60</v>
      </c>
      <c r="E277" s="12" t="s">
        <v>96</v>
      </c>
      <c r="F277" s="13">
        <v>5048.62</v>
      </c>
      <c r="G277" s="13">
        <v>39.75</v>
      </c>
      <c r="H277" s="13">
        <v>3041.61</v>
      </c>
      <c r="I277" s="13">
        <v>3.1</v>
      </c>
      <c r="J277" s="13">
        <v>83</v>
      </c>
      <c r="K277" s="13">
        <v>299</v>
      </c>
      <c r="L277" s="12" t="s">
        <v>899</v>
      </c>
      <c r="M277" s="12">
        <v>2.5</v>
      </c>
      <c r="N277" s="14">
        <v>45961</v>
      </c>
      <c r="O277" s="13">
        <v>5</v>
      </c>
      <c r="P277" s="12" t="s">
        <v>117</v>
      </c>
      <c r="Q277" s="12" t="s">
        <v>46</v>
      </c>
      <c r="R277" s="12" t="s">
        <v>72</v>
      </c>
      <c r="S277" s="12" t="b">
        <v>0</v>
      </c>
      <c r="T277" s="12" t="s">
        <v>78</v>
      </c>
      <c r="U277" s="15">
        <f t="shared" si="16"/>
        <v>2006.82645</v>
      </c>
      <c r="V277" s="15">
        <f t="shared" si="17"/>
        <v>2019.4480000000001</v>
      </c>
      <c r="W277" s="15">
        <f t="shared" si="18"/>
        <v>456.24149999999997</v>
      </c>
      <c r="X277" s="15">
        <f t="shared" si="19"/>
        <v>565.92049999999995</v>
      </c>
    </row>
    <row r="278" spans="1:24">
      <c r="A278" s="12" t="s">
        <v>900</v>
      </c>
      <c r="B278" s="12" t="s">
        <v>901</v>
      </c>
      <c r="C278" s="12" t="s">
        <v>26</v>
      </c>
      <c r="D278" s="12" t="s">
        <v>27</v>
      </c>
      <c r="E278" s="12" t="s">
        <v>52</v>
      </c>
      <c r="F278" s="13">
        <v>48719.45</v>
      </c>
      <c r="G278" s="13">
        <v>34.39</v>
      </c>
      <c r="H278" s="13">
        <v>31963.34</v>
      </c>
      <c r="I278" s="13">
        <v>4.5999999999999996</v>
      </c>
      <c r="J278" s="13">
        <v>7</v>
      </c>
      <c r="K278" s="13">
        <v>78</v>
      </c>
      <c r="L278" s="12" t="s">
        <v>902</v>
      </c>
      <c r="M278" s="12">
        <v>2.5</v>
      </c>
      <c r="N278" s="14">
        <v>45412</v>
      </c>
      <c r="O278" s="13">
        <v>5</v>
      </c>
      <c r="P278" s="12" t="s">
        <v>54</v>
      </c>
      <c r="Q278" s="12" t="s">
        <v>55</v>
      </c>
      <c r="R278" s="12" t="s">
        <v>72</v>
      </c>
      <c r="S278" s="12" t="b">
        <v>0</v>
      </c>
      <c r="T278" s="12" t="s">
        <v>78</v>
      </c>
      <c r="U278" s="15">
        <f t="shared" si="16"/>
        <v>16754.618855000001</v>
      </c>
      <c r="V278" s="15">
        <f t="shared" si="17"/>
        <v>19487.78</v>
      </c>
      <c r="W278" s="15">
        <f t="shared" si="18"/>
        <v>4794.5010000000002</v>
      </c>
      <c r="X278" s="15">
        <f t="shared" si="19"/>
        <v>7681.0590000000002</v>
      </c>
    </row>
    <row r="279" spans="1:24">
      <c r="A279" s="12" t="s">
        <v>903</v>
      </c>
      <c r="B279" s="12" t="s">
        <v>904</v>
      </c>
      <c r="C279" s="12" t="s">
        <v>26</v>
      </c>
      <c r="D279" s="12" t="s">
        <v>27</v>
      </c>
      <c r="E279" s="12" t="s">
        <v>52</v>
      </c>
      <c r="F279" s="13">
        <v>37518.71</v>
      </c>
      <c r="G279" s="13">
        <v>14.05</v>
      </c>
      <c r="H279" s="13">
        <v>32245.49</v>
      </c>
      <c r="I279" s="13">
        <v>5</v>
      </c>
      <c r="J279" s="13">
        <v>12</v>
      </c>
      <c r="K279" s="13">
        <v>52</v>
      </c>
      <c r="L279" s="12" t="s">
        <v>167</v>
      </c>
      <c r="M279" s="12">
        <v>3.1</v>
      </c>
      <c r="N279" s="14">
        <v>45732</v>
      </c>
      <c r="O279" s="13">
        <v>2</v>
      </c>
      <c r="P279" s="12" t="s">
        <v>117</v>
      </c>
      <c r="Q279" s="12" t="s">
        <v>46</v>
      </c>
      <c r="R279" s="12" t="s">
        <v>47</v>
      </c>
      <c r="S279" s="12" t="b">
        <v>0</v>
      </c>
      <c r="T279" s="12" t="s">
        <v>56</v>
      </c>
      <c r="U279" s="15">
        <f t="shared" si="16"/>
        <v>5271.3787549999997</v>
      </c>
      <c r="V279" s="15">
        <f t="shared" si="17"/>
        <v>15007.484</v>
      </c>
      <c r="W279" s="15">
        <f t="shared" si="18"/>
        <v>4836.8235000000004</v>
      </c>
      <c r="X279" s="15">
        <f t="shared" si="19"/>
        <v>12401.182500000001</v>
      </c>
    </row>
    <row r="280" spans="1:24">
      <c r="A280" s="12" t="s">
        <v>905</v>
      </c>
      <c r="B280" s="12" t="s">
        <v>906</v>
      </c>
      <c r="C280" s="12" t="s">
        <v>50</v>
      </c>
      <c r="D280" s="12" t="s">
        <v>213</v>
      </c>
      <c r="E280" s="12" t="s">
        <v>131</v>
      </c>
      <c r="F280" s="13">
        <v>1179.32</v>
      </c>
      <c r="G280" s="13">
        <v>41.83</v>
      </c>
      <c r="H280" s="13">
        <v>686.05</v>
      </c>
      <c r="I280" s="13">
        <v>3.8</v>
      </c>
      <c r="J280" s="13">
        <v>15</v>
      </c>
      <c r="K280" s="13">
        <v>13</v>
      </c>
      <c r="L280" s="12" t="s">
        <v>907</v>
      </c>
      <c r="M280" s="12">
        <v>3.1</v>
      </c>
      <c r="N280" s="14">
        <v>45766</v>
      </c>
      <c r="O280" s="13">
        <v>6</v>
      </c>
      <c r="P280" s="12" t="s">
        <v>45</v>
      </c>
      <c r="Q280" s="12" t="s">
        <v>55</v>
      </c>
      <c r="R280" s="12" t="s">
        <v>32</v>
      </c>
      <c r="S280" s="12" t="b">
        <v>0</v>
      </c>
      <c r="T280" s="12" t="s">
        <v>62</v>
      </c>
      <c r="U280" s="15">
        <f t="shared" si="16"/>
        <v>493.30955599999999</v>
      </c>
      <c r="V280" s="15">
        <f t="shared" si="17"/>
        <v>471.72800000000001</v>
      </c>
      <c r="W280" s="15">
        <f t="shared" si="18"/>
        <v>102.9075</v>
      </c>
      <c r="X280" s="15">
        <f t="shared" si="19"/>
        <v>111.4145</v>
      </c>
    </row>
    <row r="281" spans="1:24">
      <c r="A281" s="12" t="s">
        <v>908</v>
      </c>
      <c r="B281" s="12" t="s">
        <v>909</v>
      </c>
      <c r="C281" s="12" t="s">
        <v>36</v>
      </c>
      <c r="D281" s="12" t="s">
        <v>37</v>
      </c>
      <c r="E281" s="12" t="s">
        <v>96</v>
      </c>
      <c r="F281" s="13">
        <v>10256.64</v>
      </c>
      <c r="G281" s="13">
        <v>8.65</v>
      </c>
      <c r="H281" s="13">
        <v>9369.26</v>
      </c>
      <c r="I281" s="13">
        <v>4.2</v>
      </c>
      <c r="J281" s="13">
        <v>32</v>
      </c>
      <c r="K281" s="13">
        <v>198</v>
      </c>
      <c r="L281" s="12" t="s">
        <v>910</v>
      </c>
      <c r="M281" s="12">
        <v>4.5</v>
      </c>
      <c r="N281" s="14">
        <v>45626</v>
      </c>
      <c r="O281" s="13">
        <v>2</v>
      </c>
      <c r="P281" s="12" t="s">
        <v>40</v>
      </c>
      <c r="Q281" s="12" t="s">
        <v>31</v>
      </c>
      <c r="R281" s="12" t="s">
        <v>47</v>
      </c>
      <c r="S281" s="12" t="b">
        <v>0</v>
      </c>
      <c r="T281" s="12" t="s">
        <v>62</v>
      </c>
      <c r="U281" s="15">
        <f t="shared" si="16"/>
        <v>887.19935999999996</v>
      </c>
      <c r="V281" s="15">
        <f t="shared" si="17"/>
        <v>4102.6559999999999</v>
      </c>
      <c r="W281" s="15">
        <f t="shared" si="18"/>
        <v>1405.3889999999999</v>
      </c>
      <c r="X281" s="15">
        <f t="shared" si="19"/>
        <v>3861.2150000000001</v>
      </c>
    </row>
    <row r="282" spans="1:24">
      <c r="A282" s="12" t="s">
        <v>911</v>
      </c>
      <c r="B282" s="12" t="s">
        <v>912</v>
      </c>
      <c r="C282" s="12" t="s">
        <v>36</v>
      </c>
      <c r="D282" s="12" t="s">
        <v>43</v>
      </c>
      <c r="E282" s="12" t="s">
        <v>100</v>
      </c>
      <c r="F282" s="13">
        <v>4726.6899999999996</v>
      </c>
      <c r="G282" s="13">
        <v>39.68</v>
      </c>
      <c r="H282" s="13">
        <v>2850.98</v>
      </c>
      <c r="I282" s="13">
        <v>3.2</v>
      </c>
      <c r="J282" s="13">
        <v>14</v>
      </c>
      <c r="K282" s="13">
        <v>137</v>
      </c>
      <c r="L282" s="12" t="s">
        <v>913</v>
      </c>
      <c r="M282" s="12">
        <v>3.2</v>
      </c>
      <c r="N282" s="14">
        <v>45844</v>
      </c>
      <c r="O282" s="13">
        <v>3</v>
      </c>
      <c r="P282" s="12" t="s">
        <v>117</v>
      </c>
      <c r="Q282" s="12" t="s">
        <v>55</v>
      </c>
      <c r="R282" s="12" t="s">
        <v>86</v>
      </c>
      <c r="S282" s="12" t="b">
        <v>0</v>
      </c>
      <c r="T282" s="12" t="s">
        <v>78</v>
      </c>
      <c r="U282" s="15">
        <f t="shared" si="16"/>
        <v>1875.5505920000001</v>
      </c>
      <c r="V282" s="15">
        <f t="shared" si="17"/>
        <v>1890.6759999999999</v>
      </c>
      <c r="W282" s="15">
        <f t="shared" si="18"/>
        <v>427.64699999999999</v>
      </c>
      <c r="X282" s="15">
        <f t="shared" si="19"/>
        <v>532.65700000000004</v>
      </c>
    </row>
    <row r="283" spans="1:24">
      <c r="A283" s="12" t="s">
        <v>914</v>
      </c>
      <c r="B283" s="12" t="s">
        <v>915</v>
      </c>
      <c r="C283" s="12" t="s">
        <v>26</v>
      </c>
      <c r="D283" s="12" t="s">
        <v>123</v>
      </c>
      <c r="E283" s="12" t="s">
        <v>96</v>
      </c>
      <c r="F283" s="13">
        <v>32633.67</v>
      </c>
      <c r="G283" s="13">
        <v>27.06</v>
      </c>
      <c r="H283" s="13">
        <v>23803.439999999999</v>
      </c>
      <c r="I283" s="13">
        <v>4.5</v>
      </c>
      <c r="J283" s="13">
        <v>7</v>
      </c>
      <c r="K283" s="13">
        <v>247</v>
      </c>
      <c r="L283" s="12" t="s">
        <v>916</v>
      </c>
      <c r="M283" s="12">
        <v>3.8</v>
      </c>
      <c r="N283" s="14">
        <v>46018</v>
      </c>
      <c r="O283" s="13">
        <v>2</v>
      </c>
      <c r="P283" s="12" t="s">
        <v>30</v>
      </c>
      <c r="Q283" s="12" t="s">
        <v>55</v>
      </c>
      <c r="R283" s="12" t="s">
        <v>72</v>
      </c>
      <c r="S283" s="12" t="b">
        <v>0</v>
      </c>
      <c r="T283" s="12" t="s">
        <v>78</v>
      </c>
      <c r="U283" s="15">
        <f t="shared" si="16"/>
        <v>8830.6711020000002</v>
      </c>
      <c r="V283" s="15">
        <f t="shared" si="17"/>
        <v>13053.468000000001</v>
      </c>
      <c r="W283" s="15">
        <f t="shared" si="18"/>
        <v>3570.5160000000001</v>
      </c>
      <c r="X283" s="15">
        <f t="shared" si="19"/>
        <v>7179.4560000000001</v>
      </c>
    </row>
    <row r="284" spans="1:24">
      <c r="A284" s="12" t="s">
        <v>917</v>
      </c>
      <c r="B284" s="12" t="s">
        <v>918</v>
      </c>
      <c r="C284" s="12" t="s">
        <v>50</v>
      </c>
      <c r="D284" s="12" t="s">
        <v>213</v>
      </c>
      <c r="E284" s="12" t="s">
        <v>65</v>
      </c>
      <c r="F284" s="13">
        <v>2600.38</v>
      </c>
      <c r="G284" s="13">
        <v>31.95</v>
      </c>
      <c r="H284" s="13">
        <v>1769.61</v>
      </c>
      <c r="I284" s="13">
        <v>4</v>
      </c>
      <c r="J284" s="13">
        <v>5</v>
      </c>
      <c r="K284" s="13">
        <v>69</v>
      </c>
      <c r="L284" s="12" t="s">
        <v>919</v>
      </c>
      <c r="M284" s="12">
        <v>2.6</v>
      </c>
      <c r="N284" s="14">
        <v>45649</v>
      </c>
      <c r="O284" s="13">
        <v>4</v>
      </c>
      <c r="P284" s="12" t="s">
        <v>54</v>
      </c>
      <c r="Q284" s="12" t="s">
        <v>46</v>
      </c>
      <c r="R284" s="12" t="s">
        <v>86</v>
      </c>
      <c r="S284" s="12" t="b">
        <v>0</v>
      </c>
      <c r="T284" s="12" t="s">
        <v>56</v>
      </c>
      <c r="U284" s="15">
        <f t="shared" si="16"/>
        <v>830.82141000000001</v>
      </c>
      <c r="V284" s="15">
        <f t="shared" si="17"/>
        <v>1040.152</v>
      </c>
      <c r="W284" s="15">
        <f t="shared" si="18"/>
        <v>265.44150000000002</v>
      </c>
      <c r="X284" s="15">
        <f t="shared" si="19"/>
        <v>464.01650000000001</v>
      </c>
    </row>
    <row r="285" spans="1:24">
      <c r="A285" s="12" t="s">
        <v>920</v>
      </c>
      <c r="B285" s="12" t="s">
        <v>921</v>
      </c>
      <c r="C285" s="12" t="s">
        <v>36</v>
      </c>
      <c r="D285" s="12" t="s">
        <v>37</v>
      </c>
      <c r="E285" s="12" t="s">
        <v>112</v>
      </c>
      <c r="F285" s="13">
        <v>6427.27</v>
      </c>
      <c r="G285" s="13">
        <v>46.58</v>
      </c>
      <c r="H285" s="13">
        <v>3433.37</v>
      </c>
      <c r="I285" s="13">
        <v>3.9</v>
      </c>
      <c r="J285" s="13">
        <v>7</v>
      </c>
      <c r="K285" s="13">
        <v>417</v>
      </c>
      <c r="L285" s="12" t="s">
        <v>922</v>
      </c>
      <c r="M285" s="12">
        <v>4.2</v>
      </c>
      <c r="N285" s="14">
        <v>46034</v>
      </c>
      <c r="O285" s="13">
        <v>1</v>
      </c>
      <c r="P285" s="12" t="s">
        <v>117</v>
      </c>
      <c r="Q285" s="12" t="s">
        <v>55</v>
      </c>
      <c r="R285" s="12" t="s">
        <v>72</v>
      </c>
      <c r="S285" s="12" t="b">
        <v>0</v>
      </c>
      <c r="T285" s="12" t="s">
        <v>62</v>
      </c>
      <c r="U285" s="15">
        <f t="shared" si="16"/>
        <v>2993.8223659999999</v>
      </c>
      <c r="V285" s="15">
        <f t="shared" si="17"/>
        <v>2570.9079999999999</v>
      </c>
      <c r="W285" s="15">
        <f t="shared" si="18"/>
        <v>515.00549999999998</v>
      </c>
      <c r="X285" s="15">
        <f t="shared" si="19"/>
        <v>347.45650000000001</v>
      </c>
    </row>
    <row r="286" spans="1:24">
      <c r="A286" s="12" t="s">
        <v>923</v>
      </c>
      <c r="B286" s="12" t="s">
        <v>924</v>
      </c>
      <c r="C286" s="12" t="s">
        <v>75</v>
      </c>
      <c r="D286" s="12" t="s">
        <v>104</v>
      </c>
      <c r="E286" s="12" t="s">
        <v>112</v>
      </c>
      <c r="F286" s="13">
        <v>4163.57</v>
      </c>
      <c r="G286" s="13">
        <v>28.59</v>
      </c>
      <c r="H286" s="13">
        <v>2973.27</v>
      </c>
      <c r="I286" s="13">
        <v>3.9</v>
      </c>
      <c r="J286" s="13">
        <v>3</v>
      </c>
      <c r="K286" s="13">
        <v>149</v>
      </c>
      <c r="L286" s="12" t="s">
        <v>925</v>
      </c>
      <c r="M286" s="12">
        <v>3.4</v>
      </c>
      <c r="N286" s="14">
        <v>45580</v>
      </c>
      <c r="O286" s="13">
        <v>1</v>
      </c>
      <c r="P286" s="12" t="s">
        <v>54</v>
      </c>
      <c r="Q286" s="12" t="s">
        <v>31</v>
      </c>
      <c r="R286" s="12" t="s">
        <v>47</v>
      </c>
      <c r="S286" s="12" t="b">
        <v>0</v>
      </c>
      <c r="T286" s="12" t="s">
        <v>56</v>
      </c>
      <c r="U286" s="15">
        <f t="shared" si="16"/>
        <v>1190.3646630000001</v>
      </c>
      <c r="V286" s="15">
        <f t="shared" si="17"/>
        <v>1665.4280000000001</v>
      </c>
      <c r="W286" s="15">
        <f t="shared" si="18"/>
        <v>445.9905</v>
      </c>
      <c r="X286" s="15">
        <f t="shared" si="19"/>
        <v>861.85149999999999</v>
      </c>
    </row>
    <row r="287" spans="1:24">
      <c r="A287" s="12" t="s">
        <v>926</v>
      </c>
      <c r="B287" s="12" t="s">
        <v>927</v>
      </c>
      <c r="C287" s="12" t="s">
        <v>50</v>
      </c>
      <c r="D287" s="12" t="s">
        <v>51</v>
      </c>
      <c r="E287" s="12" t="s">
        <v>96</v>
      </c>
      <c r="F287" s="13">
        <v>4586.18</v>
      </c>
      <c r="G287" s="13">
        <v>19.7</v>
      </c>
      <c r="H287" s="13">
        <v>3682.55</v>
      </c>
      <c r="I287" s="13">
        <v>3.9</v>
      </c>
      <c r="J287" s="13">
        <v>2</v>
      </c>
      <c r="K287" s="13">
        <v>102</v>
      </c>
      <c r="L287" s="12" t="s">
        <v>928</v>
      </c>
      <c r="M287" s="12">
        <v>4.8</v>
      </c>
      <c r="N287" s="14">
        <v>45741</v>
      </c>
      <c r="O287" s="13">
        <v>1</v>
      </c>
      <c r="P287" s="12" t="s">
        <v>30</v>
      </c>
      <c r="Q287" s="12" t="s">
        <v>46</v>
      </c>
      <c r="R287" s="12" t="s">
        <v>32</v>
      </c>
      <c r="S287" s="12" t="b">
        <v>0</v>
      </c>
      <c r="T287" s="12" t="s">
        <v>62</v>
      </c>
      <c r="U287" s="15">
        <f t="shared" si="16"/>
        <v>903.47745999999995</v>
      </c>
      <c r="V287" s="15">
        <f t="shared" si="17"/>
        <v>1834.472</v>
      </c>
      <c r="W287" s="15">
        <f t="shared" si="18"/>
        <v>552.38250000000005</v>
      </c>
      <c r="X287" s="15">
        <f t="shared" si="19"/>
        <v>1295.6955</v>
      </c>
    </row>
    <row r="288" spans="1:24">
      <c r="A288" s="12" t="s">
        <v>929</v>
      </c>
      <c r="B288" s="12" t="s">
        <v>930</v>
      </c>
      <c r="C288" s="12" t="s">
        <v>50</v>
      </c>
      <c r="D288" s="12" t="s">
        <v>213</v>
      </c>
      <c r="E288" s="12" t="s">
        <v>70</v>
      </c>
      <c r="F288" s="13">
        <v>2703.68</v>
      </c>
      <c r="G288" s="13">
        <v>44.8</v>
      </c>
      <c r="H288" s="13">
        <v>1492.51</v>
      </c>
      <c r="I288" s="13">
        <v>3.6</v>
      </c>
      <c r="J288" s="13">
        <v>2</v>
      </c>
      <c r="K288" s="13">
        <v>425</v>
      </c>
      <c r="L288" s="12" t="s">
        <v>931</v>
      </c>
      <c r="M288" s="12">
        <v>4</v>
      </c>
      <c r="N288" s="14">
        <v>45525</v>
      </c>
      <c r="O288" s="13">
        <v>6</v>
      </c>
      <c r="P288" s="12" t="s">
        <v>117</v>
      </c>
      <c r="Q288" s="12" t="s">
        <v>55</v>
      </c>
      <c r="R288" s="12" t="s">
        <v>86</v>
      </c>
      <c r="S288" s="12" t="b">
        <v>0</v>
      </c>
      <c r="T288" s="12" t="s">
        <v>78</v>
      </c>
      <c r="U288" s="15">
        <f t="shared" si="16"/>
        <v>1211.24864</v>
      </c>
      <c r="V288" s="15">
        <f t="shared" si="17"/>
        <v>1081.472</v>
      </c>
      <c r="W288" s="15">
        <f t="shared" si="18"/>
        <v>223.87649999999999</v>
      </c>
      <c r="X288" s="15">
        <f t="shared" si="19"/>
        <v>187.16149999999999</v>
      </c>
    </row>
    <row r="289" spans="1:24">
      <c r="A289" s="12" t="s">
        <v>932</v>
      </c>
      <c r="B289" s="12" t="s">
        <v>933</v>
      </c>
      <c r="C289" s="12" t="s">
        <v>59</v>
      </c>
      <c r="D289" s="12" t="s">
        <v>69</v>
      </c>
      <c r="E289" s="12" t="s">
        <v>52</v>
      </c>
      <c r="F289" s="13">
        <v>4405.8100000000004</v>
      </c>
      <c r="G289" s="13">
        <v>10.29</v>
      </c>
      <c r="H289" s="13">
        <v>3952.46</v>
      </c>
      <c r="I289" s="13">
        <v>4.3</v>
      </c>
      <c r="J289" s="13">
        <v>50</v>
      </c>
      <c r="K289" s="13">
        <v>404</v>
      </c>
      <c r="L289" s="12" t="s">
        <v>934</v>
      </c>
      <c r="M289" s="12">
        <v>3.9</v>
      </c>
      <c r="N289" s="14">
        <v>45851</v>
      </c>
      <c r="O289" s="13">
        <v>1</v>
      </c>
      <c r="P289" s="12" t="s">
        <v>54</v>
      </c>
      <c r="Q289" s="12" t="s">
        <v>46</v>
      </c>
      <c r="R289" s="12" t="s">
        <v>86</v>
      </c>
      <c r="S289" s="12" t="b">
        <v>0</v>
      </c>
      <c r="T289" s="12" t="s">
        <v>62</v>
      </c>
      <c r="U289" s="15">
        <f t="shared" si="16"/>
        <v>453.35784899999999</v>
      </c>
      <c r="V289" s="15">
        <f t="shared" si="17"/>
        <v>1762.3240000000001</v>
      </c>
      <c r="W289" s="15">
        <f t="shared" si="18"/>
        <v>592.86900000000003</v>
      </c>
      <c r="X289" s="15">
        <f t="shared" si="19"/>
        <v>1597.2670000000001</v>
      </c>
    </row>
    <row r="290" spans="1:24">
      <c r="A290" s="12" t="s">
        <v>935</v>
      </c>
      <c r="B290" s="12" t="s">
        <v>936</v>
      </c>
      <c r="C290" s="12" t="s">
        <v>50</v>
      </c>
      <c r="D290" s="12" t="s">
        <v>213</v>
      </c>
      <c r="E290" s="12" t="s">
        <v>96</v>
      </c>
      <c r="F290" s="13">
        <v>4431.9799999999996</v>
      </c>
      <c r="G290" s="13">
        <v>33.56</v>
      </c>
      <c r="H290" s="13">
        <v>2944.66</v>
      </c>
      <c r="I290" s="13">
        <v>3.4</v>
      </c>
      <c r="J290" s="13">
        <v>24</v>
      </c>
      <c r="K290" s="13">
        <v>278</v>
      </c>
      <c r="L290" s="12" t="s">
        <v>937</v>
      </c>
      <c r="M290" s="12">
        <v>3.1</v>
      </c>
      <c r="N290" s="14">
        <v>45826</v>
      </c>
      <c r="O290" s="13">
        <v>2</v>
      </c>
      <c r="P290" s="12" t="s">
        <v>45</v>
      </c>
      <c r="Q290" s="12" t="s">
        <v>55</v>
      </c>
      <c r="R290" s="12" t="s">
        <v>32</v>
      </c>
      <c r="S290" s="12" t="b">
        <v>0</v>
      </c>
      <c r="T290" s="12" t="s">
        <v>78</v>
      </c>
      <c r="U290" s="15">
        <f t="shared" si="16"/>
        <v>1487.372488</v>
      </c>
      <c r="V290" s="15">
        <f t="shared" si="17"/>
        <v>1772.7919999999999</v>
      </c>
      <c r="W290" s="15">
        <f t="shared" si="18"/>
        <v>441.69900000000001</v>
      </c>
      <c r="X290" s="15">
        <f t="shared" si="19"/>
        <v>730.16899999999998</v>
      </c>
    </row>
    <row r="291" spans="1:24">
      <c r="A291" s="12" t="s">
        <v>938</v>
      </c>
      <c r="B291" s="12" t="s">
        <v>939</v>
      </c>
      <c r="C291" s="12" t="s">
        <v>75</v>
      </c>
      <c r="D291" s="12" t="s">
        <v>76</v>
      </c>
      <c r="E291" s="12" t="s">
        <v>100</v>
      </c>
      <c r="F291" s="13">
        <v>2259.65</v>
      </c>
      <c r="G291" s="13">
        <v>46.98</v>
      </c>
      <c r="H291" s="13">
        <v>1198.1099999999999</v>
      </c>
      <c r="I291" s="13">
        <v>2.8</v>
      </c>
      <c r="J291" s="13">
        <v>82</v>
      </c>
      <c r="K291" s="13">
        <v>313</v>
      </c>
      <c r="L291" s="12" t="s">
        <v>940</v>
      </c>
      <c r="M291" s="12">
        <v>4.2</v>
      </c>
      <c r="N291" s="14">
        <v>46013</v>
      </c>
      <c r="O291" s="13">
        <v>6</v>
      </c>
      <c r="P291" s="12" t="s">
        <v>30</v>
      </c>
      <c r="Q291" s="12" t="s">
        <v>31</v>
      </c>
      <c r="R291" s="12" t="s">
        <v>86</v>
      </c>
      <c r="S291" s="12" t="b">
        <v>0</v>
      </c>
      <c r="T291" s="12" t="s">
        <v>56</v>
      </c>
      <c r="U291" s="15">
        <f t="shared" si="16"/>
        <v>1061.58357</v>
      </c>
      <c r="V291" s="15">
        <f t="shared" si="17"/>
        <v>903.86</v>
      </c>
      <c r="W291" s="15">
        <f t="shared" si="18"/>
        <v>179.7165</v>
      </c>
      <c r="X291" s="15">
        <f t="shared" si="19"/>
        <v>114.5335</v>
      </c>
    </row>
    <row r="292" spans="1:24">
      <c r="A292" s="12" t="s">
        <v>941</v>
      </c>
      <c r="B292" s="12" t="s">
        <v>942</v>
      </c>
      <c r="C292" s="12" t="s">
        <v>50</v>
      </c>
      <c r="D292" s="12" t="s">
        <v>130</v>
      </c>
      <c r="E292" s="12" t="s">
        <v>38</v>
      </c>
      <c r="F292" s="13">
        <v>1772.25</v>
      </c>
      <c r="G292" s="13">
        <v>30.89</v>
      </c>
      <c r="H292" s="13">
        <v>1224.74</v>
      </c>
      <c r="I292" s="13">
        <v>3.8</v>
      </c>
      <c r="J292" s="13">
        <v>138</v>
      </c>
      <c r="K292" s="13">
        <v>261</v>
      </c>
      <c r="L292" s="12" t="s">
        <v>943</v>
      </c>
      <c r="M292" s="12">
        <v>2.9</v>
      </c>
      <c r="N292" s="14">
        <v>45693</v>
      </c>
      <c r="O292" s="13">
        <v>4</v>
      </c>
      <c r="P292" s="12" t="s">
        <v>40</v>
      </c>
      <c r="Q292" s="12" t="s">
        <v>31</v>
      </c>
      <c r="R292" s="12" t="s">
        <v>47</v>
      </c>
      <c r="S292" s="12" t="b">
        <v>0</v>
      </c>
      <c r="T292" s="12" t="s">
        <v>56</v>
      </c>
      <c r="U292" s="15">
        <f t="shared" si="16"/>
        <v>547.44802500000003</v>
      </c>
      <c r="V292" s="15">
        <f t="shared" si="17"/>
        <v>708.9</v>
      </c>
      <c r="W292" s="15">
        <f t="shared" si="18"/>
        <v>183.71100000000001</v>
      </c>
      <c r="X292" s="15">
        <f t="shared" si="19"/>
        <v>332.12900000000002</v>
      </c>
    </row>
    <row r="293" spans="1:24">
      <c r="A293" s="12" t="s">
        <v>944</v>
      </c>
      <c r="B293" s="12" t="s">
        <v>945</v>
      </c>
      <c r="C293" s="12" t="s">
        <v>59</v>
      </c>
      <c r="D293" s="12" t="s">
        <v>170</v>
      </c>
      <c r="E293" s="12" t="s">
        <v>235</v>
      </c>
      <c r="F293" s="13">
        <v>8445.33</v>
      </c>
      <c r="G293" s="13">
        <v>27.85</v>
      </c>
      <c r="H293" s="13">
        <v>6093.2</v>
      </c>
      <c r="I293" s="13">
        <v>3.7</v>
      </c>
      <c r="J293" s="13">
        <v>19</v>
      </c>
      <c r="K293" s="13">
        <v>77</v>
      </c>
      <c r="L293" s="12" t="s">
        <v>946</v>
      </c>
      <c r="M293" s="12">
        <v>4.2</v>
      </c>
      <c r="N293" s="14">
        <v>45426</v>
      </c>
      <c r="O293" s="13">
        <v>1</v>
      </c>
      <c r="P293" s="12" t="s">
        <v>45</v>
      </c>
      <c r="Q293" s="12" t="s">
        <v>46</v>
      </c>
      <c r="R293" s="12" t="s">
        <v>86</v>
      </c>
      <c r="S293" s="12" t="b">
        <v>0</v>
      </c>
      <c r="T293" s="12" t="s">
        <v>78</v>
      </c>
      <c r="U293" s="15">
        <f t="shared" si="16"/>
        <v>2352.0244050000001</v>
      </c>
      <c r="V293" s="15">
        <f t="shared" si="17"/>
        <v>3378.1320000000001</v>
      </c>
      <c r="W293" s="15">
        <f t="shared" si="18"/>
        <v>913.98</v>
      </c>
      <c r="X293" s="15">
        <f t="shared" si="19"/>
        <v>1801.088</v>
      </c>
    </row>
    <row r="294" spans="1:24">
      <c r="A294" s="12" t="s">
        <v>947</v>
      </c>
      <c r="B294" s="12" t="s">
        <v>948</v>
      </c>
      <c r="C294" s="12" t="s">
        <v>59</v>
      </c>
      <c r="D294" s="12" t="s">
        <v>170</v>
      </c>
      <c r="E294" s="12" t="s">
        <v>84</v>
      </c>
      <c r="F294" s="13">
        <v>5216.1099999999997</v>
      </c>
      <c r="G294" s="13">
        <v>37.909999999999997</v>
      </c>
      <c r="H294" s="13">
        <v>3238.72</v>
      </c>
      <c r="I294" s="13">
        <v>4.4000000000000004</v>
      </c>
      <c r="J294" s="13">
        <v>45</v>
      </c>
      <c r="K294" s="13">
        <v>178</v>
      </c>
      <c r="L294" s="12" t="s">
        <v>949</v>
      </c>
      <c r="M294" s="12">
        <v>4.5999999999999996</v>
      </c>
      <c r="N294" s="14">
        <v>45639</v>
      </c>
      <c r="O294" s="13">
        <v>4</v>
      </c>
      <c r="P294" s="12" t="s">
        <v>40</v>
      </c>
      <c r="Q294" s="12" t="s">
        <v>55</v>
      </c>
      <c r="R294" s="12" t="s">
        <v>86</v>
      </c>
      <c r="S294" s="12" t="b">
        <v>0</v>
      </c>
      <c r="T294" s="12" t="s">
        <v>78</v>
      </c>
      <c r="U294" s="15">
        <f t="shared" si="16"/>
        <v>1977.4273009999999</v>
      </c>
      <c r="V294" s="15">
        <f t="shared" si="17"/>
        <v>2086.444</v>
      </c>
      <c r="W294" s="15">
        <f t="shared" si="18"/>
        <v>485.80799999999999</v>
      </c>
      <c r="X294" s="15">
        <f t="shared" si="19"/>
        <v>666.46799999999996</v>
      </c>
    </row>
    <row r="295" spans="1:24">
      <c r="A295" s="12" t="s">
        <v>950</v>
      </c>
      <c r="B295" s="12" t="s">
        <v>951</v>
      </c>
      <c r="C295" s="12" t="s">
        <v>36</v>
      </c>
      <c r="D295" s="12" t="s">
        <v>37</v>
      </c>
      <c r="E295" s="12" t="s">
        <v>112</v>
      </c>
      <c r="F295" s="13">
        <v>3159.91</v>
      </c>
      <c r="G295" s="13">
        <v>43.47</v>
      </c>
      <c r="H295" s="13">
        <v>1786.18</v>
      </c>
      <c r="I295" s="13">
        <v>3.8</v>
      </c>
      <c r="J295" s="13">
        <v>55</v>
      </c>
      <c r="K295" s="13">
        <v>369</v>
      </c>
      <c r="L295" s="12" t="s">
        <v>952</v>
      </c>
      <c r="M295" s="12">
        <v>4.0999999999999996</v>
      </c>
      <c r="N295" s="14">
        <v>45685</v>
      </c>
      <c r="O295" s="13">
        <v>5</v>
      </c>
      <c r="P295" s="12" t="s">
        <v>117</v>
      </c>
      <c r="Q295" s="12" t="s">
        <v>55</v>
      </c>
      <c r="R295" s="12" t="s">
        <v>32</v>
      </c>
      <c r="S295" s="12" t="b">
        <v>0</v>
      </c>
      <c r="T295" s="12" t="s">
        <v>56</v>
      </c>
      <c r="U295" s="15">
        <f t="shared" si="16"/>
        <v>1373.612877</v>
      </c>
      <c r="V295" s="15">
        <f t="shared" si="17"/>
        <v>1263.9639999999999</v>
      </c>
      <c r="W295" s="15">
        <f t="shared" si="18"/>
        <v>267.92700000000002</v>
      </c>
      <c r="X295" s="15">
        <f t="shared" si="19"/>
        <v>254.28899999999999</v>
      </c>
    </row>
    <row r="296" spans="1:24">
      <c r="A296" s="12" t="s">
        <v>953</v>
      </c>
      <c r="B296" s="12" t="s">
        <v>954</v>
      </c>
      <c r="C296" s="12" t="s">
        <v>26</v>
      </c>
      <c r="D296" s="12" t="s">
        <v>27</v>
      </c>
      <c r="E296" s="12" t="s">
        <v>38</v>
      </c>
      <c r="F296" s="13">
        <v>6163.12</v>
      </c>
      <c r="G296" s="13">
        <v>11.36</v>
      </c>
      <c r="H296" s="13">
        <v>5462.97</v>
      </c>
      <c r="I296" s="13">
        <v>4.2</v>
      </c>
      <c r="J296" s="13">
        <v>31</v>
      </c>
      <c r="K296" s="13">
        <v>346</v>
      </c>
      <c r="L296" s="12" t="s">
        <v>955</v>
      </c>
      <c r="M296" s="12">
        <v>2.7</v>
      </c>
      <c r="N296" s="14">
        <v>45480</v>
      </c>
      <c r="O296" s="13">
        <v>4</v>
      </c>
      <c r="P296" s="12" t="s">
        <v>30</v>
      </c>
      <c r="Q296" s="12" t="s">
        <v>31</v>
      </c>
      <c r="R296" s="12" t="s">
        <v>47</v>
      </c>
      <c r="S296" s="12" t="b">
        <v>0</v>
      </c>
      <c r="T296" s="12" t="s">
        <v>62</v>
      </c>
      <c r="U296" s="15">
        <f t="shared" si="16"/>
        <v>700.13043200000004</v>
      </c>
      <c r="V296" s="15">
        <f t="shared" si="17"/>
        <v>2465.248</v>
      </c>
      <c r="W296" s="15">
        <f t="shared" si="18"/>
        <v>819.44550000000004</v>
      </c>
      <c r="X296" s="15">
        <f t="shared" si="19"/>
        <v>2178.2764999999999</v>
      </c>
    </row>
    <row r="297" spans="1:24">
      <c r="A297" s="12" t="s">
        <v>956</v>
      </c>
      <c r="B297" s="12" t="s">
        <v>957</v>
      </c>
      <c r="C297" s="12" t="s">
        <v>75</v>
      </c>
      <c r="D297" s="12" t="s">
        <v>76</v>
      </c>
      <c r="E297" s="12" t="s">
        <v>92</v>
      </c>
      <c r="F297" s="13">
        <v>4117.17</v>
      </c>
      <c r="G297" s="13">
        <v>29.27</v>
      </c>
      <c r="H297" s="13">
        <v>2912.09</v>
      </c>
      <c r="I297" s="13">
        <v>3.5</v>
      </c>
      <c r="J297" s="13">
        <v>6</v>
      </c>
      <c r="K297" s="13">
        <v>490</v>
      </c>
      <c r="L297" s="12" t="s">
        <v>958</v>
      </c>
      <c r="M297" s="12">
        <v>3.4</v>
      </c>
      <c r="N297" s="14">
        <v>45749</v>
      </c>
      <c r="O297" s="13">
        <v>3</v>
      </c>
      <c r="P297" s="12" t="s">
        <v>30</v>
      </c>
      <c r="Q297" s="12" t="s">
        <v>46</v>
      </c>
      <c r="R297" s="12" t="s">
        <v>86</v>
      </c>
      <c r="S297" s="12" t="b">
        <v>0</v>
      </c>
      <c r="T297" s="12" t="s">
        <v>62</v>
      </c>
      <c r="U297" s="15">
        <f t="shared" si="16"/>
        <v>1205.0956590000001</v>
      </c>
      <c r="V297" s="15">
        <f t="shared" si="17"/>
        <v>1646.8679999999999</v>
      </c>
      <c r="W297" s="15">
        <f t="shared" si="18"/>
        <v>436.81349999999998</v>
      </c>
      <c r="X297" s="15">
        <f t="shared" si="19"/>
        <v>828.4085</v>
      </c>
    </row>
    <row r="298" spans="1:24">
      <c r="A298" s="12" t="s">
        <v>959</v>
      </c>
      <c r="B298" s="12" t="s">
        <v>960</v>
      </c>
      <c r="C298" s="12" t="s">
        <v>75</v>
      </c>
      <c r="D298" s="12" t="s">
        <v>135</v>
      </c>
      <c r="E298" s="12" t="s">
        <v>100</v>
      </c>
      <c r="F298" s="13">
        <v>703.94</v>
      </c>
      <c r="G298" s="13">
        <v>59.88</v>
      </c>
      <c r="H298" s="13">
        <v>282.41000000000003</v>
      </c>
      <c r="I298" s="13">
        <v>3.6</v>
      </c>
      <c r="J298" s="13">
        <v>57</v>
      </c>
      <c r="K298" s="13">
        <v>377</v>
      </c>
      <c r="L298" s="12" t="s">
        <v>961</v>
      </c>
      <c r="M298" s="12">
        <v>2.8</v>
      </c>
      <c r="N298" s="14">
        <v>45735</v>
      </c>
      <c r="O298" s="13">
        <v>4</v>
      </c>
      <c r="P298" s="12" t="s">
        <v>117</v>
      </c>
      <c r="Q298" s="12" t="s">
        <v>55</v>
      </c>
      <c r="R298" s="12" t="s">
        <v>86</v>
      </c>
      <c r="S298" s="12" t="b">
        <v>1</v>
      </c>
      <c r="T298" s="12" t="s">
        <v>33</v>
      </c>
      <c r="U298" s="15">
        <f t="shared" si="16"/>
        <v>421.519272</v>
      </c>
      <c r="V298" s="15">
        <f t="shared" si="17"/>
        <v>281.57600000000002</v>
      </c>
      <c r="W298" s="15">
        <f t="shared" si="18"/>
        <v>42.361499999999999</v>
      </c>
      <c r="X298" s="15">
        <f t="shared" si="19"/>
        <v>-41.527500000000003</v>
      </c>
    </row>
    <row r="299" spans="1:24">
      <c r="A299" s="12" t="s">
        <v>962</v>
      </c>
      <c r="B299" s="12" t="s">
        <v>963</v>
      </c>
      <c r="C299" s="12" t="s">
        <v>50</v>
      </c>
      <c r="D299" s="12" t="s">
        <v>130</v>
      </c>
      <c r="E299" s="12" t="s">
        <v>28</v>
      </c>
      <c r="F299" s="13">
        <v>2830.56</v>
      </c>
      <c r="G299" s="13">
        <v>20.76</v>
      </c>
      <c r="H299" s="13">
        <v>2242.96</v>
      </c>
      <c r="I299" s="13">
        <v>4.4000000000000004</v>
      </c>
      <c r="J299" s="13">
        <v>43</v>
      </c>
      <c r="K299" s="13">
        <v>385</v>
      </c>
      <c r="L299" s="12" t="s">
        <v>964</v>
      </c>
      <c r="M299" s="12">
        <v>4.0999999999999996</v>
      </c>
      <c r="N299" s="14">
        <v>45610</v>
      </c>
      <c r="O299" s="13">
        <v>2</v>
      </c>
      <c r="P299" s="12" t="s">
        <v>54</v>
      </c>
      <c r="Q299" s="12" t="s">
        <v>31</v>
      </c>
      <c r="R299" s="12" t="s">
        <v>32</v>
      </c>
      <c r="S299" s="12" t="b">
        <v>0</v>
      </c>
      <c r="T299" s="12" t="s">
        <v>62</v>
      </c>
      <c r="U299" s="15">
        <f t="shared" si="16"/>
        <v>587.62425599999995</v>
      </c>
      <c r="V299" s="15">
        <f t="shared" si="17"/>
        <v>1132.2239999999999</v>
      </c>
      <c r="W299" s="15">
        <f t="shared" si="18"/>
        <v>336.44400000000002</v>
      </c>
      <c r="X299" s="15">
        <f t="shared" si="19"/>
        <v>774.29200000000003</v>
      </c>
    </row>
    <row r="300" spans="1:24">
      <c r="A300" s="12" t="s">
        <v>965</v>
      </c>
      <c r="B300" s="12" t="s">
        <v>966</v>
      </c>
      <c r="C300" s="12" t="s">
        <v>75</v>
      </c>
      <c r="D300" s="12" t="s">
        <v>104</v>
      </c>
      <c r="E300" s="12" t="s">
        <v>112</v>
      </c>
      <c r="F300" s="13">
        <v>1264.46</v>
      </c>
      <c r="G300" s="13">
        <v>64.489999999999995</v>
      </c>
      <c r="H300" s="13">
        <v>448.96</v>
      </c>
      <c r="I300" s="13">
        <v>4.0999999999999996</v>
      </c>
      <c r="J300" s="13">
        <v>84</v>
      </c>
      <c r="K300" s="13">
        <v>134</v>
      </c>
      <c r="L300" s="12" t="s">
        <v>967</v>
      </c>
      <c r="M300" s="12">
        <v>3.9</v>
      </c>
      <c r="N300" s="14">
        <v>45962</v>
      </c>
      <c r="O300" s="13">
        <v>1</v>
      </c>
      <c r="P300" s="12" t="s">
        <v>54</v>
      </c>
      <c r="Q300" s="12" t="s">
        <v>31</v>
      </c>
      <c r="R300" s="12" t="s">
        <v>72</v>
      </c>
      <c r="S300" s="12" t="b">
        <v>0</v>
      </c>
      <c r="T300" s="12" t="s">
        <v>62</v>
      </c>
      <c r="U300" s="15">
        <f t="shared" si="16"/>
        <v>815.45025399999997</v>
      </c>
      <c r="V300" s="15">
        <f t="shared" si="17"/>
        <v>505.78399999999999</v>
      </c>
      <c r="W300" s="15">
        <f t="shared" si="18"/>
        <v>67.343999999999994</v>
      </c>
      <c r="X300" s="15">
        <f t="shared" si="19"/>
        <v>-124.16800000000001</v>
      </c>
    </row>
    <row r="301" spans="1:24">
      <c r="A301" s="12" t="s">
        <v>968</v>
      </c>
      <c r="B301" s="12" t="s">
        <v>969</v>
      </c>
      <c r="C301" s="12" t="s">
        <v>50</v>
      </c>
      <c r="D301" s="12" t="s">
        <v>213</v>
      </c>
      <c r="E301" s="12" t="s">
        <v>96</v>
      </c>
      <c r="F301" s="13">
        <v>3638.71</v>
      </c>
      <c r="G301" s="13">
        <v>14.1</v>
      </c>
      <c r="H301" s="13">
        <v>3125.6</v>
      </c>
      <c r="I301" s="13">
        <v>3.3</v>
      </c>
      <c r="J301" s="13">
        <v>9</v>
      </c>
      <c r="K301" s="13">
        <v>180</v>
      </c>
      <c r="L301" s="12" t="s">
        <v>970</v>
      </c>
      <c r="M301" s="12">
        <v>4.7</v>
      </c>
      <c r="N301" s="14">
        <v>45858</v>
      </c>
      <c r="O301" s="13">
        <v>3</v>
      </c>
      <c r="P301" s="12" t="s">
        <v>45</v>
      </c>
      <c r="Q301" s="12" t="s">
        <v>31</v>
      </c>
      <c r="R301" s="12" t="s">
        <v>47</v>
      </c>
      <c r="S301" s="12" t="b">
        <v>0</v>
      </c>
      <c r="T301" s="12" t="s">
        <v>62</v>
      </c>
      <c r="U301" s="15">
        <f t="shared" si="16"/>
        <v>513.05811000000006</v>
      </c>
      <c r="V301" s="15">
        <f t="shared" si="17"/>
        <v>1455.4839999999999</v>
      </c>
      <c r="W301" s="15">
        <f t="shared" si="18"/>
        <v>468.84</v>
      </c>
      <c r="X301" s="15">
        <f t="shared" si="19"/>
        <v>1201.2760000000001</v>
      </c>
    </row>
    <row r="302" spans="1:24">
      <c r="A302" s="12" t="s">
        <v>971</v>
      </c>
      <c r="B302" s="12" t="s">
        <v>972</v>
      </c>
      <c r="C302" s="12" t="s">
        <v>59</v>
      </c>
      <c r="D302" s="12" t="s">
        <v>60</v>
      </c>
      <c r="E302" s="12" t="s">
        <v>65</v>
      </c>
      <c r="F302" s="13">
        <v>11600.62</v>
      </c>
      <c r="G302" s="13">
        <v>24.97</v>
      </c>
      <c r="H302" s="13">
        <v>8703.52</v>
      </c>
      <c r="I302" s="13">
        <v>4.2</v>
      </c>
      <c r="J302" s="13">
        <v>18</v>
      </c>
      <c r="K302" s="13">
        <v>160</v>
      </c>
      <c r="L302" s="12" t="s">
        <v>973</v>
      </c>
      <c r="M302" s="12">
        <v>4.2</v>
      </c>
      <c r="N302" s="14">
        <v>45500</v>
      </c>
      <c r="O302" s="13">
        <v>1</v>
      </c>
      <c r="P302" s="12" t="s">
        <v>40</v>
      </c>
      <c r="Q302" s="12" t="s">
        <v>46</v>
      </c>
      <c r="R302" s="12" t="s">
        <v>72</v>
      </c>
      <c r="S302" s="12" t="b">
        <v>0</v>
      </c>
      <c r="T302" s="12" t="s">
        <v>78</v>
      </c>
      <c r="U302" s="15">
        <f t="shared" si="16"/>
        <v>2896.674814</v>
      </c>
      <c r="V302" s="15">
        <f t="shared" si="17"/>
        <v>4640.2479999999996</v>
      </c>
      <c r="W302" s="15">
        <f t="shared" si="18"/>
        <v>1305.528</v>
      </c>
      <c r="X302" s="15">
        <f t="shared" si="19"/>
        <v>2757.7440000000001</v>
      </c>
    </row>
    <row r="303" spans="1:24">
      <c r="A303" s="12" t="s">
        <v>974</v>
      </c>
      <c r="B303" s="12" t="s">
        <v>975</v>
      </c>
      <c r="C303" s="12" t="s">
        <v>75</v>
      </c>
      <c r="D303" s="12" t="s">
        <v>104</v>
      </c>
      <c r="E303" s="12" t="s">
        <v>28</v>
      </c>
      <c r="F303" s="13">
        <v>4725.8100000000004</v>
      </c>
      <c r="G303" s="13">
        <v>21.46</v>
      </c>
      <c r="H303" s="13">
        <v>3711.86</v>
      </c>
      <c r="I303" s="13">
        <v>3.3</v>
      </c>
      <c r="J303" s="13">
        <v>40</v>
      </c>
      <c r="K303" s="13">
        <v>214</v>
      </c>
      <c r="L303" s="12" t="s">
        <v>976</v>
      </c>
      <c r="M303" s="12">
        <v>2.7</v>
      </c>
      <c r="N303" s="14">
        <v>46004</v>
      </c>
      <c r="O303" s="13">
        <v>3</v>
      </c>
      <c r="P303" s="12" t="s">
        <v>54</v>
      </c>
      <c r="Q303" s="12" t="s">
        <v>31</v>
      </c>
      <c r="R303" s="12" t="s">
        <v>86</v>
      </c>
      <c r="S303" s="12" t="b">
        <v>0</v>
      </c>
      <c r="T303" s="12" t="s">
        <v>56</v>
      </c>
      <c r="U303" s="15">
        <f t="shared" si="16"/>
        <v>1014.158826</v>
      </c>
      <c r="V303" s="15">
        <f t="shared" si="17"/>
        <v>1890.3240000000001</v>
      </c>
      <c r="W303" s="15">
        <f t="shared" si="18"/>
        <v>556.779</v>
      </c>
      <c r="X303" s="15">
        <f t="shared" si="19"/>
        <v>1264.7570000000001</v>
      </c>
    </row>
    <row r="304" spans="1:24">
      <c r="A304" s="12" t="s">
        <v>977</v>
      </c>
      <c r="B304" s="12" t="s">
        <v>978</v>
      </c>
      <c r="C304" s="12" t="s">
        <v>75</v>
      </c>
      <c r="D304" s="12" t="s">
        <v>104</v>
      </c>
      <c r="E304" s="12" t="s">
        <v>100</v>
      </c>
      <c r="F304" s="13">
        <v>4197.42</v>
      </c>
      <c r="G304" s="13">
        <v>56.42</v>
      </c>
      <c r="H304" s="13">
        <v>1829.25</v>
      </c>
      <c r="I304" s="13">
        <v>3.5</v>
      </c>
      <c r="J304" s="13">
        <v>31</v>
      </c>
      <c r="K304" s="13">
        <v>476</v>
      </c>
      <c r="L304" s="12" t="s">
        <v>979</v>
      </c>
      <c r="M304" s="12">
        <v>3.2</v>
      </c>
      <c r="N304" s="14">
        <v>45909</v>
      </c>
      <c r="O304" s="13">
        <v>1</v>
      </c>
      <c r="P304" s="12" t="s">
        <v>45</v>
      </c>
      <c r="Q304" s="12" t="s">
        <v>31</v>
      </c>
      <c r="R304" s="12" t="s">
        <v>47</v>
      </c>
      <c r="S304" s="12" t="b">
        <v>0</v>
      </c>
      <c r="T304" s="12" t="s">
        <v>56</v>
      </c>
      <c r="U304" s="15">
        <f t="shared" si="16"/>
        <v>2368.1843640000002</v>
      </c>
      <c r="V304" s="15">
        <f t="shared" si="17"/>
        <v>1678.9680000000001</v>
      </c>
      <c r="W304" s="15">
        <f t="shared" si="18"/>
        <v>274.38749999999999</v>
      </c>
      <c r="X304" s="15">
        <f t="shared" si="19"/>
        <v>-124.10550000000001</v>
      </c>
    </row>
    <row r="305" spans="1:24">
      <c r="A305" s="12" t="s">
        <v>980</v>
      </c>
      <c r="B305" s="12" t="s">
        <v>981</v>
      </c>
      <c r="C305" s="12" t="s">
        <v>59</v>
      </c>
      <c r="D305" s="12" t="s">
        <v>69</v>
      </c>
      <c r="E305" s="12" t="s">
        <v>92</v>
      </c>
      <c r="F305" s="13">
        <v>16662.21</v>
      </c>
      <c r="G305" s="13">
        <v>40.270000000000003</v>
      </c>
      <c r="H305" s="13">
        <v>9952.3799999999992</v>
      </c>
      <c r="I305" s="13">
        <v>3.3</v>
      </c>
      <c r="J305" s="13">
        <v>14</v>
      </c>
      <c r="K305" s="13">
        <v>317</v>
      </c>
      <c r="L305" s="12" t="s">
        <v>982</v>
      </c>
      <c r="M305" s="12">
        <v>4.2</v>
      </c>
      <c r="N305" s="14">
        <v>46016</v>
      </c>
      <c r="O305" s="13">
        <v>5</v>
      </c>
      <c r="P305" s="12" t="s">
        <v>30</v>
      </c>
      <c r="Q305" s="12" t="s">
        <v>55</v>
      </c>
      <c r="R305" s="12" t="s">
        <v>32</v>
      </c>
      <c r="S305" s="12" t="b">
        <v>0</v>
      </c>
      <c r="T305" s="12" t="s">
        <v>56</v>
      </c>
      <c r="U305" s="15">
        <f t="shared" si="16"/>
        <v>6709.871967</v>
      </c>
      <c r="V305" s="15">
        <f t="shared" si="17"/>
        <v>6664.884</v>
      </c>
      <c r="W305" s="15">
        <f t="shared" si="18"/>
        <v>1492.857</v>
      </c>
      <c r="X305" s="15">
        <f t="shared" si="19"/>
        <v>1794.6389999999999</v>
      </c>
    </row>
    <row r="306" spans="1:24">
      <c r="A306" s="12" t="s">
        <v>983</v>
      </c>
      <c r="B306" s="12" t="s">
        <v>984</v>
      </c>
      <c r="C306" s="12" t="s">
        <v>75</v>
      </c>
      <c r="D306" s="12" t="s">
        <v>135</v>
      </c>
      <c r="E306" s="12" t="s">
        <v>96</v>
      </c>
      <c r="F306" s="13">
        <v>3866.02</v>
      </c>
      <c r="G306" s="13">
        <v>59.6</v>
      </c>
      <c r="H306" s="13">
        <v>1561.91</v>
      </c>
      <c r="I306" s="13">
        <v>4.0999999999999996</v>
      </c>
      <c r="J306" s="13">
        <v>56</v>
      </c>
      <c r="K306" s="13">
        <v>253</v>
      </c>
      <c r="L306" s="12" t="s">
        <v>985</v>
      </c>
      <c r="M306" s="12">
        <v>3.1</v>
      </c>
      <c r="N306" s="14">
        <v>45716</v>
      </c>
      <c r="O306" s="13">
        <v>3</v>
      </c>
      <c r="P306" s="12" t="s">
        <v>45</v>
      </c>
      <c r="Q306" s="12" t="s">
        <v>31</v>
      </c>
      <c r="R306" s="12" t="s">
        <v>86</v>
      </c>
      <c r="S306" s="12" t="b">
        <v>0</v>
      </c>
      <c r="T306" s="12" t="s">
        <v>56</v>
      </c>
      <c r="U306" s="15">
        <f t="shared" si="16"/>
        <v>2304.1479199999999</v>
      </c>
      <c r="V306" s="15">
        <f t="shared" si="17"/>
        <v>1546.4079999999999</v>
      </c>
      <c r="W306" s="15">
        <f t="shared" si="18"/>
        <v>234.28649999999999</v>
      </c>
      <c r="X306" s="15">
        <f t="shared" si="19"/>
        <v>-218.78450000000001</v>
      </c>
    </row>
    <row r="307" spans="1:24">
      <c r="A307" s="12" t="s">
        <v>986</v>
      </c>
      <c r="B307" s="12" t="s">
        <v>987</v>
      </c>
      <c r="C307" s="12" t="s">
        <v>50</v>
      </c>
      <c r="D307" s="12" t="s">
        <v>51</v>
      </c>
      <c r="E307" s="12" t="s">
        <v>92</v>
      </c>
      <c r="F307" s="13">
        <v>307.64</v>
      </c>
      <c r="G307" s="13">
        <v>40.270000000000003</v>
      </c>
      <c r="H307" s="13">
        <v>183.76</v>
      </c>
      <c r="I307" s="13">
        <v>2.9</v>
      </c>
      <c r="J307" s="13">
        <v>38</v>
      </c>
      <c r="K307" s="13">
        <v>407</v>
      </c>
      <c r="L307" s="12" t="s">
        <v>988</v>
      </c>
      <c r="M307" s="12">
        <v>2.5</v>
      </c>
      <c r="N307" s="14">
        <v>45973</v>
      </c>
      <c r="O307" s="13">
        <v>4</v>
      </c>
      <c r="P307" s="12" t="s">
        <v>40</v>
      </c>
      <c r="Q307" s="12" t="s">
        <v>55</v>
      </c>
      <c r="R307" s="12" t="s">
        <v>32</v>
      </c>
      <c r="S307" s="12" t="b">
        <v>1</v>
      </c>
      <c r="T307" s="12" t="s">
        <v>33</v>
      </c>
      <c r="U307" s="15">
        <f t="shared" si="16"/>
        <v>123.886628</v>
      </c>
      <c r="V307" s="15">
        <f t="shared" si="17"/>
        <v>123.056</v>
      </c>
      <c r="W307" s="15">
        <f t="shared" si="18"/>
        <v>27.564</v>
      </c>
      <c r="X307" s="15">
        <f t="shared" si="19"/>
        <v>33.14</v>
      </c>
    </row>
    <row r="308" spans="1:24">
      <c r="A308" s="12" t="s">
        <v>989</v>
      </c>
      <c r="B308" s="12" t="s">
        <v>990</v>
      </c>
      <c r="C308" s="12" t="s">
        <v>59</v>
      </c>
      <c r="D308" s="12" t="s">
        <v>69</v>
      </c>
      <c r="E308" s="12" t="s">
        <v>131</v>
      </c>
      <c r="F308" s="13">
        <v>15483.75</v>
      </c>
      <c r="G308" s="13">
        <v>32.880000000000003</v>
      </c>
      <c r="H308" s="13">
        <v>10392.9</v>
      </c>
      <c r="I308" s="13">
        <v>5</v>
      </c>
      <c r="J308" s="13">
        <v>55</v>
      </c>
      <c r="K308" s="13">
        <v>289</v>
      </c>
      <c r="L308" s="12" t="s">
        <v>991</v>
      </c>
      <c r="M308" s="12">
        <v>3.5</v>
      </c>
      <c r="N308" s="14">
        <v>46000</v>
      </c>
      <c r="O308" s="13">
        <v>5</v>
      </c>
      <c r="P308" s="12" t="s">
        <v>30</v>
      </c>
      <c r="Q308" s="12" t="s">
        <v>31</v>
      </c>
      <c r="R308" s="12" t="s">
        <v>32</v>
      </c>
      <c r="S308" s="12" t="b">
        <v>0</v>
      </c>
      <c r="T308" s="12" t="s">
        <v>62</v>
      </c>
      <c r="U308" s="15">
        <f t="shared" si="16"/>
        <v>5091.0569999999998</v>
      </c>
      <c r="V308" s="15">
        <f t="shared" si="17"/>
        <v>6193.5</v>
      </c>
      <c r="W308" s="15">
        <f t="shared" si="18"/>
        <v>1558.9349999999999</v>
      </c>
      <c r="X308" s="15">
        <f t="shared" si="19"/>
        <v>2640.4650000000001</v>
      </c>
    </row>
    <row r="309" spans="1:24">
      <c r="A309" s="12" t="s">
        <v>992</v>
      </c>
      <c r="B309" s="12" t="s">
        <v>993</v>
      </c>
      <c r="C309" s="12" t="s">
        <v>26</v>
      </c>
      <c r="D309" s="12" t="s">
        <v>313</v>
      </c>
      <c r="E309" s="12" t="s">
        <v>131</v>
      </c>
      <c r="F309" s="13">
        <v>10199.620000000001</v>
      </c>
      <c r="G309" s="13">
        <v>25.26</v>
      </c>
      <c r="H309" s="13">
        <v>7623.26</v>
      </c>
      <c r="I309" s="13">
        <v>4.4000000000000004</v>
      </c>
      <c r="J309" s="13">
        <v>24</v>
      </c>
      <c r="K309" s="13">
        <v>389</v>
      </c>
      <c r="L309" s="12" t="s">
        <v>994</v>
      </c>
      <c r="M309" s="12">
        <v>3.4</v>
      </c>
      <c r="N309" s="14">
        <v>45384</v>
      </c>
      <c r="O309" s="13">
        <v>3</v>
      </c>
      <c r="P309" s="12" t="s">
        <v>30</v>
      </c>
      <c r="Q309" s="12" t="s">
        <v>31</v>
      </c>
      <c r="R309" s="12" t="s">
        <v>47</v>
      </c>
      <c r="S309" s="12" t="b">
        <v>0</v>
      </c>
      <c r="T309" s="12" t="s">
        <v>56</v>
      </c>
      <c r="U309" s="15">
        <f t="shared" si="16"/>
        <v>2576.4240119999999</v>
      </c>
      <c r="V309" s="15">
        <f t="shared" si="17"/>
        <v>4079.848</v>
      </c>
      <c r="W309" s="15">
        <f t="shared" si="18"/>
        <v>1143.489</v>
      </c>
      <c r="X309" s="15">
        <f t="shared" si="19"/>
        <v>2399.9229999999998</v>
      </c>
    </row>
    <row r="310" spans="1:24">
      <c r="A310" s="12" t="s">
        <v>995</v>
      </c>
      <c r="B310" s="12" t="s">
        <v>996</v>
      </c>
      <c r="C310" s="12" t="s">
        <v>26</v>
      </c>
      <c r="D310" s="12" t="s">
        <v>123</v>
      </c>
      <c r="E310" s="12" t="s">
        <v>52</v>
      </c>
      <c r="F310" s="13">
        <v>44575.81</v>
      </c>
      <c r="G310" s="13">
        <v>33.15</v>
      </c>
      <c r="H310" s="13">
        <v>29796.93</v>
      </c>
      <c r="I310" s="13">
        <v>4.5999999999999996</v>
      </c>
      <c r="J310" s="13">
        <v>99</v>
      </c>
      <c r="K310" s="13">
        <v>178</v>
      </c>
      <c r="L310" s="12" t="s">
        <v>997</v>
      </c>
      <c r="M310" s="12">
        <v>4.5999999999999996</v>
      </c>
      <c r="N310" s="14">
        <v>45933</v>
      </c>
      <c r="O310" s="13">
        <v>2</v>
      </c>
      <c r="P310" s="12" t="s">
        <v>40</v>
      </c>
      <c r="Q310" s="12" t="s">
        <v>55</v>
      </c>
      <c r="R310" s="12" t="s">
        <v>32</v>
      </c>
      <c r="S310" s="12" t="b">
        <v>0</v>
      </c>
      <c r="T310" s="12" t="s">
        <v>78</v>
      </c>
      <c r="U310" s="15">
        <f t="shared" si="16"/>
        <v>14776.881015000001</v>
      </c>
      <c r="V310" s="15">
        <f t="shared" si="17"/>
        <v>17830.324000000001</v>
      </c>
      <c r="W310" s="15">
        <f t="shared" si="18"/>
        <v>4469.5394999999999</v>
      </c>
      <c r="X310" s="15">
        <f t="shared" si="19"/>
        <v>7497.0664999999999</v>
      </c>
    </row>
    <row r="311" spans="1:24">
      <c r="A311" s="12" t="s">
        <v>998</v>
      </c>
      <c r="B311" s="12" t="s">
        <v>999</v>
      </c>
      <c r="C311" s="12" t="s">
        <v>75</v>
      </c>
      <c r="D311" s="12" t="s">
        <v>76</v>
      </c>
      <c r="E311" s="12" t="s">
        <v>65</v>
      </c>
      <c r="F311" s="13">
        <v>4386.3900000000003</v>
      </c>
      <c r="G311" s="13">
        <v>13.26</v>
      </c>
      <c r="H311" s="13">
        <v>3804.6</v>
      </c>
      <c r="I311" s="13">
        <v>3.9</v>
      </c>
      <c r="J311" s="13">
        <v>21</v>
      </c>
      <c r="K311" s="13">
        <v>323</v>
      </c>
      <c r="L311" s="12" t="s">
        <v>1000</v>
      </c>
      <c r="M311" s="12">
        <v>2.9</v>
      </c>
      <c r="N311" s="14">
        <v>45454</v>
      </c>
      <c r="O311" s="13">
        <v>6</v>
      </c>
      <c r="P311" s="12" t="s">
        <v>30</v>
      </c>
      <c r="Q311" s="12" t="s">
        <v>46</v>
      </c>
      <c r="R311" s="12" t="s">
        <v>47</v>
      </c>
      <c r="S311" s="12" t="b">
        <v>0</v>
      </c>
      <c r="T311" s="12" t="s">
        <v>78</v>
      </c>
      <c r="U311" s="15">
        <f t="shared" si="16"/>
        <v>581.63531399999999</v>
      </c>
      <c r="V311" s="15">
        <f t="shared" si="17"/>
        <v>1754.556</v>
      </c>
      <c r="W311" s="15">
        <f t="shared" si="18"/>
        <v>570.69000000000005</v>
      </c>
      <c r="X311" s="15">
        <f t="shared" si="19"/>
        <v>1479.354</v>
      </c>
    </row>
    <row r="312" spans="1:24">
      <c r="A312" s="12" t="s">
        <v>1001</v>
      </c>
      <c r="B312" s="12" t="s">
        <v>1002</v>
      </c>
      <c r="C312" s="12" t="s">
        <v>75</v>
      </c>
      <c r="D312" s="12" t="s">
        <v>135</v>
      </c>
      <c r="E312" s="12" t="s">
        <v>65</v>
      </c>
      <c r="F312" s="13">
        <v>3196.86</v>
      </c>
      <c r="G312" s="13">
        <v>50.07</v>
      </c>
      <c r="H312" s="13">
        <v>1596.33</v>
      </c>
      <c r="I312" s="13">
        <v>3.7</v>
      </c>
      <c r="J312" s="13">
        <v>28</v>
      </c>
      <c r="K312" s="13">
        <v>305</v>
      </c>
      <c r="L312" s="12" t="s">
        <v>1003</v>
      </c>
      <c r="M312" s="12">
        <v>2.6</v>
      </c>
      <c r="N312" s="14">
        <v>45593</v>
      </c>
      <c r="O312" s="13">
        <v>4</v>
      </c>
      <c r="P312" s="12" t="s">
        <v>30</v>
      </c>
      <c r="Q312" s="12" t="s">
        <v>46</v>
      </c>
      <c r="R312" s="12" t="s">
        <v>72</v>
      </c>
      <c r="S312" s="12" t="b">
        <v>0</v>
      </c>
      <c r="T312" s="12" t="s">
        <v>62</v>
      </c>
      <c r="U312" s="15">
        <f t="shared" si="16"/>
        <v>1600.6678019999999</v>
      </c>
      <c r="V312" s="15">
        <f t="shared" si="17"/>
        <v>1278.7439999999999</v>
      </c>
      <c r="W312" s="15">
        <f t="shared" si="18"/>
        <v>239.4495</v>
      </c>
      <c r="X312" s="15">
        <f t="shared" si="19"/>
        <v>78.136499999999799</v>
      </c>
    </row>
    <row r="313" spans="1:24">
      <c r="A313" s="12" t="s">
        <v>1004</v>
      </c>
      <c r="B313" s="12" t="s">
        <v>1005</v>
      </c>
      <c r="C313" s="12" t="s">
        <v>59</v>
      </c>
      <c r="D313" s="12" t="s">
        <v>170</v>
      </c>
      <c r="E313" s="12" t="s">
        <v>65</v>
      </c>
      <c r="F313" s="13">
        <v>9642.58</v>
      </c>
      <c r="G313" s="13">
        <v>33.76</v>
      </c>
      <c r="H313" s="13">
        <v>6387.59</v>
      </c>
      <c r="I313" s="13">
        <v>4.5</v>
      </c>
      <c r="J313" s="13">
        <v>27</v>
      </c>
      <c r="K313" s="13">
        <v>460</v>
      </c>
      <c r="L313" s="12" t="s">
        <v>1006</v>
      </c>
      <c r="M313" s="12">
        <v>4</v>
      </c>
      <c r="N313" s="14">
        <v>45618</v>
      </c>
      <c r="O313" s="13">
        <v>2</v>
      </c>
      <c r="P313" s="12" t="s">
        <v>30</v>
      </c>
      <c r="Q313" s="12" t="s">
        <v>46</v>
      </c>
      <c r="R313" s="12" t="s">
        <v>86</v>
      </c>
      <c r="S313" s="12" t="b">
        <v>0</v>
      </c>
      <c r="T313" s="12" t="s">
        <v>78</v>
      </c>
      <c r="U313" s="15">
        <f t="shared" si="16"/>
        <v>3255.335008</v>
      </c>
      <c r="V313" s="15">
        <f t="shared" si="17"/>
        <v>3857.0320000000002</v>
      </c>
      <c r="W313" s="15">
        <f t="shared" si="18"/>
        <v>958.13850000000002</v>
      </c>
      <c r="X313" s="15">
        <f t="shared" si="19"/>
        <v>1572.4195</v>
      </c>
    </row>
    <row r="314" spans="1:24">
      <c r="A314" s="12" t="s">
        <v>1007</v>
      </c>
      <c r="B314" s="12" t="s">
        <v>1008</v>
      </c>
      <c r="C314" s="12" t="s">
        <v>59</v>
      </c>
      <c r="D314" s="12" t="s">
        <v>60</v>
      </c>
      <c r="E314" s="12" t="s">
        <v>92</v>
      </c>
      <c r="F314" s="13">
        <v>1987.8</v>
      </c>
      <c r="G314" s="13">
        <v>8.81</v>
      </c>
      <c r="H314" s="13">
        <v>1812.77</v>
      </c>
      <c r="I314" s="13">
        <v>4.3</v>
      </c>
      <c r="J314" s="13">
        <v>26</v>
      </c>
      <c r="K314" s="13">
        <v>364</v>
      </c>
      <c r="L314" s="12" t="s">
        <v>1009</v>
      </c>
      <c r="M314" s="12">
        <v>3</v>
      </c>
      <c r="N314" s="14">
        <v>45822</v>
      </c>
      <c r="O314" s="13">
        <v>5</v>
      </c>
      <c r="P314" s="12" t="s">
        <v>54</v>
      </c>
      <c r="Q314" s="12" t="s">
        <v>46</v>
      </c>
      <c r="R314" s="12" t="s">
        <v>86</v>
      </c>
      <c r="S314" s="12" t="b">
        <v>0</v>
      </c>
      <c r="T314" s="12" t="s">
        <v>56</v>
      </c>
      <c r="U314" s="15">
        <f t="shared" si="16"/>
        <v>175.12518</v>
      </c>
      <c r="V314" s="15">
        <f t="shared" si="17"/>
        <v>795.12</v>
      </c>
      <c r="W314" s="15">
        <f t="shared" si="18"/>
        <v>271.91550000000001</v>
      </c>
      <c r="X314" s="15">
        <f t="shared" si="19"/>
        <v>745.73450000000003</v>
      </c>
    </row>
    <row r="315" spans="1:24">
      <c r="A315" s="12" t="s">
        <v>1010</v>
      </c>
      <c r="B315" s="12" t="s">
        <v>1011</v>
      </c>
      <c r="C315" s="12" t="s">
        <v>75</v>
      </c>
      <c r="D315" s="12" t="s">
        <v>76</v>
      </c>
      <c r="E315" s="12" t="s">
        <v>100</v>
      </c>
      <c r="F315" s="13">
        <v>4487.42</v>
      </c>
      <c r="G315" s="13">
        <v>58.16</v>
      </c>
      <c r="H315" s="13">
        <v>1877.61</v>
      </c>
      <c r="I315" s="13">
        <v>4</v>
      </c>
      <c r="J315" s="13">
        <v>45</v>
      </c>
      <c r="K315" s="13">
        <v>192</v>
      </c>
      <c r="L315" s="12" t="s">
        <v>1012</v>
      </c>
      <c r="M315" s="12">
        <v>4.5999999999999996</v>
      </c>
      <c r="N315" s="14">
        <v>45552</v>
      </c>
      <c r="O315" s="13">
        <v>1</v>
      </c>
      <c r="P315" s="12" t="s">
        <v>30</v>
      </c>
      <c r="Q315" s="12" t="s">
        <v>46</v>
      </c>
      <c r="R315" s="12" t="s">
        <v>32</v>
      </c>
      <c r="S315" s="12" t="b">
        <v>0</v>
      </c>
      <c r="T315" s="12" t="s">
        <v>56</v>
      </c>
      <c r="U315" s="15">
        <f t="shared" si="16"/>
        <v>2609.883472</v>
      </c>
      <c r="V315" s="15">
        <f t="shared" si="17"/>
        <v>1794.9680000000001</v>
      </c>
      <c r="W315" s="15">
        <f t="shared" si="18"/>
        <v>281.64150000000001</v>
      </c>
      <c r="X315" s="15">
        <f t="shared" si="19"/>
        <v>-198.99950000000001</v>
      </c>
    </row>
    <row r="316" spans="1:24">
      <c r="A316" s="12" t="s">
        <v>1013</v>
      </c>
      <c r="B316" s="12" t="s">
        <v>1014</v>
      </c>
      <c r="C316" s="12" t="s">
        <v>36</v>
      </c>
      <c r="D316" s="12" t="s">
        <v>108</v>
      </c>
      <c r="E316" s="12" t="s">
        <v>52</v>
      </c>
      <c r="F316" s="13">
        <v>12346.12</v>
      </c>
      <c r="G316" s="13">
        <v>43.36</v>
      </c>
      <c r="H316" s="13">
        <v>6992.27</v>
      </c>
      <c r="I316" s="13">
        <v>3.6</v>
      </c>
      <c r="J316" s="13">
        <v>16</v>
      </c>
      <c r="K316" s="13">
        <v>167</v>
      </c>
      <c r="L316" s="12" t="s">
        <v>1015</v>
      </c>
      <c r="M316" s="12">
        <v>3.7</v>
      </c>
      <c r="N316" s="14">
        <v>45428</v>
      </c>
      <c r="O316" s="13">
        <v>4</v>
      </c>
      <c r="P316" s="12" t="s">
        <v>30</v>
      </c>
      <c r="Q316" s="12" t="s">
        <v>31</v>
      </c>
      <c r="R316" s="12" t="s">
        <v>32</v>
      </c>
      <c r="S316" s="12" t="b">
        <v>0</v>
      </c>
      <c r="T316" s="12" t="s">
        <v>62</v>
      </c>
      <c r="U316" s="15">
        <f t="shared" si="16"/>
        <v>5353.2776320000003</v>
      </c>
      <c r="V316" s="15">
        <f t="shared" si="17"/>
        <v>4938.4480000000003</v>
      </c>
      <c r="W316" s="15">
        <f t="shared" si="18"/>
        <v>1048.8405</v>
      </c>
      <c r="X316" s="15">
        <f t="shared" si="19"/>
        <v>1004.9815</v>
      </c>
    </row>
    <row r="317" spans="1:24">
      <c r="A317" s="12" t="s">
        <v>1016</v>
      </c>
      <c r="B317" s="12" t="s">
        <v>1017</v>
      </c>
      <c r="C317" s="12" t="s">
        <v>50</v>
      </c>
      <c r="D317" s="12" t="s">
        <v>213</v>
      </c>
      <c r="E317" s="12" t="s">
        <v>100</v>
      </c>
      <c r="F317" s="13">
        <v>2304.59</v>
      </c>
      <c r="G317" s="13">
        <v>49.34</v>
      </c>
      <c r="H317" s="13">
        <v>1167.54</v>
      </c>
      <c r="I317" s="13">
        <v>4.0999999999999996</v>
      </c>
      <c r="J317" s="13">
        <v>5</v>
      </c>
      <c r="K317" s="13">
        <v>407</v>
      </c>
      <c r="L317" s="12" t="s">
        <v>1018</v>
      </c>
      <c r="M317" s="12">
        <v>2.8</v>
      </c>
      <c r="N317" s="14">
        <v>45963</v>
      </c>
      <c r="O317" s="13">
        <v>5</v>
      </c>
      <c r="P317" s="12" t="s">
        <v>30</v>
      </c>
      <c r="Q317" s="12" t="s">
        <v>55</v>
      </c>
      <c r="R317" s="12" t="s">
        <v>47</v>
      </c>
      <c r="S317" s="12" t="b">
        <v>0</v>
      </c>
      <c r="T317" s="12" t="s">
        <v>56</v>
      </c>
      <c r="U317" s="15">
        <f t="shared" si="16"/>
        <v>1137.0847060000001</v>
      </c>
      <c r="V317" s="15">
        <f t="shared" si="17"/>
        <v>921.83600000000001</v>
      </c>
      <c r="W317" s="15">
        <f t="shared" si="18"/>
        <v>175.131</v>
      </c>
      <c r="X317" s="15">
        <f t="shared" si="19"/>
        <v>70.572999999999794</v>
      </c>
    </row>
    <row r="318" spans="1:24">
      <c r="A318" s="12" t="s">
        <v>1019</v>
      </c>
      <c r="B318" s="12" t="s">
        <v>1020</v>
      </c>
      <c r="C318" s="12" t="s">
        <v>75</v>
      </c>
      <c r="D318" s="12" t="s">
        <v>104</v>
      </c>
      <c r="E318" s="12" t="s">
        <v>52</v>
      </c>
      <c r="F318" s="13">
        <v>2098.94</v>
      </c>
      <c r="G318" s="13">
        <v>58.54</v>
      </c>
      <c r="H318" s="13">
        <v>870.19</v>
      </c>
      <c r="I318" s="13">
        <v>3.6</v>
      </c>
      <c r="J318" s="13">
        <v>7</v>
      </c>
      <c r="K318" s="13">
        <v>172</v>
      </c>
      <c r="L318" s="12" t="s">
        <v>1021</v>
      </c>
      <c r="M318" s="12">
        <v>3.3</v>
      </c>
      <c r="N318" s="14">
        <v>46014</v>
      </c>
      <c r="O318" s="13">
        <v>6</v>
      </c>
      <c r="P318" s="12" t="s">
        <v>30</v>
      </c>
      <c r="Q318" s="12" t="s">
        <v>31</v>
      </c>
      <c r="R318" s="12" t="s">
        <v>47</v>
      </c>
      <c r="S318" s="12" t="b">
        <v>0</v>
      </c>
      <c r="T318" s="12" t="s">
        <v>62</v>
      </c>
      <c r="U318" s="15">
        <f t="shared" si="16"/>
        <v>1228.719476</v>
      </c>
      <c r="V318" s="15">
        <f t="shared" si="17"/>
        <v>839.57600000000002</v>
      </c>
      <c r="W318" s="15">
        <f t="shared" si="18"/>
        <v>130.52850000000001</v>
      </c>
      <c r="X318" s="15">
        <f t="shared" si="19"/>
        <v>-99.914500000000004</v>
      </c>
    </row>
    <row r="319" spans="1:24">
      <c r="A319" s="12" t="s">
        <v>1022</v>
      </c>
      <c r="B319" s="12" t="s">
        <v>1023</v>
      </c>
      <c r="C319" s="12" t="s">
        <v>50</v>
      </c>
      <c r="D319" s="12" t="s">
        <v>51</v>
      </c>
      <c r="E319" s="12" t="s">
        <v>100</v>
      </c>
      <c r="F319" s="13">
        <v>2987.36</v>
      </c>
      <c r="G319" s="13">
        <v>11.48</v>
      </c>
      <c r="H319" s="13">
        <v>2644.31</v>
      </c>
      <c r="I319" s="13">
        <v>3.1</v>
      </c>
      <c r="J319" s="13">
        <v>43</v>
      </c>
      <c r="K319" s="13">
        <v>320</v>
      </c>
      <c r="L319" s="12" t="s">
        <v>1024</v>
      </c>
      <c r="M319" s="12">
        <v>3.6</v>
      </c>
      <c r="N319" s="14">
        <v>45444</v>
      </c>
      <c r="O319" s="13">
        <v>5</v>
      </c>
      <c r="P319" s="12" t="s">
        <v>40</v>
      </c>
      <c r="Q319" s="12" t="s">
        <v>46</v>
      </c>
      <c r="R319" s="12" t="s">
        <v>32</v>
      </c>
      <c r="S319" s="12" t="b">
        <v>0</v>
      </c>
      <c r="T319" s="12" t="s">
        <v>78</v>
      </c>
      <c r="U319" s="15">
        <f t="shared" si="16"/>
        <v>342.94892800000002</v>
      </c>
      <c r="V319" s="15">
        <f t="shared" si="17"/>
        <v>1194.944</v>
      </c>
      <c r="W319" s="15">
        <f t="shared" si="18"/>
        <v>396.6465</v>
      </c>
      <c r="X319" s="15">
        <f t="shared" si="19"/>
        <v>1052.7194999999999</v>
      </c>
    </row>
    <row r="320" spans="1:24">
      <c r="A320" s="12" t="s">
        <v>1025</v>
      </c>
      <c r="B320" s="12" t="s">
        <v>1026</v>
      </c>
      <c r="C320" s="12" t="s">
        <v>50</v>
      </c>
      <c r="D320" s="12" t="s">
        <v>51</v>
      </c>
      <c r="E320" s="12" t="s">
        <v>38</v>
      </c>
      <c r="F320" s="13">
        <v>1553.21</v>
      </c>
      <c r="G320" s="13">
        <v>13.58</v>
      </c>
      <c r="H320" s="13">
        <v>1342.24</v>
      </c>
      <c r="I320" s="13">
        <v>4.0999999999999996</v>
      </c>
      <c r="J320" s="13">
        <v>2</v>
      </c>
      <c r="K320" s="13">
        <v>451</v>
      </c>
      <c r="L320" s="12" t="s">
        <v>1027</v>
      </c>
      <c r="M320" s="12">
        <v>4.7</v>
      </c>
      <c r="N320" s="14">
        <v>45917</v>
      </c>
      <c r="O320" s="13">
        <v>4</v>
      </c>
      <c r="P320" s="12" t="s">
        <v>117</v>
      </c>
      <c r="Q320" s="12" t="s">
        <v>46</v>
      </c>
      <c r="R320" s="12" t="s">
        <v>72</v>
      </c>
      <c r="S320" s="12" t="b">
        <v>0</v>
      </c>
      <c r="T320" s="12" t="s">
        <v>78</v>
      </c>
      <c r="U320" s="15">
        <f t="shared" si="16"/>
        <v>210.925918</v>
      </c>
      <c r="V320" s="15">
        <f t="shared" si="17"/>
        <v>621.28399999999999</v>
      </c>
      <c r="W320" s="15">
        <f t="shared" si="18"/>
        <v>201.33600000000001</v>
      </c>
      <c r="X320" s="15">
        <f t="shared" si="19"/>
        <v>519.62</v>
      </c>
    </row>
    <row r="321" spans="1:24">
      <c r="A321" s="12" t="s">
        <v>1028</v>
      </c>
      <c r="B321" s="12" t="s">
        <v>1029</v>
      </c>
      <c r="C321" s="12" t="s">
        <v>59</v>
      </c>
      <c r="D321" s="12" t="s">
        <v>170</v>
      </c>
      <c r="E321" s="12" t="s">
        <v>84</v>
      </c>
      <c r="F321" s="13">
        <v>16962.05</v>
      </c>
      <c r="G321" s="13">
        <v>21.72</v>
      </c>
      <c r="H321" s="13">
        <v>13278.57</v>
      </c>
      <c r="I321" s="13">
        <v>3.9</v>
      </c>
      <c r="J321" s="13">
        <v>4</v>
      </c>
      <c r="K321" s="13">
        <v>84</v>
      </c>
      <c r="L321" s="12" t="s">
        <v>1030</v>
      </c>
      <c r="M321" s="12">
        <v>3.7</v>
      </c>
      <c r="N321" s="14">
        <v>46026</v>
      </c>
      <c r="O321" s="13">
        <v>1</v>
      </c>
      <c r="P321" s="12" t="s">
        <v>30</v>
      </c>
      <c r="Q321" s="12" t="s">
        <v>55</v>
      </c>
      <c r="R321" s="12" t="s">
        <v>72</v>
      </c>
      <c r="S321" s="12" t="b">
        <v>0</v>
      </c>
      <c r="T321" s="12" t="s">
        <v>62</v>
      </c>
      <c r="U321" s="15">
        <f t="shared" si="16"/>
        <v>3684.15726</v>
      </c>
      <c r="V321" s="15">
        <f t="shared" si="17"/>
        <v>6784.82</v>
      </c>
      <c r="W321" s="15">
        <f t="shared" si="18"/>
        <v>1991.7855</v>
      </c>
      <c r="X321" s="15">
        <f t="shared" si="19"/>
        <v>4501.9645</v>
      </c>
    </row>
    <row r="322" spans="1:24">
      <c r="A322" s="12" t="s">
        <v>1031</v>
      </c>
      <c r="B322" s="12" t="s">
        <v>1032</v>
      </c>
      <c r="C322" s="12" t="s">
        <v>75</v>
      </c>
      <c r="D322" s="12" t="s">
        <v>104</v>
      </c>
      <c r="E322" s="12" t="s">
        <v>100</v>
      </c>
      <c r="F322" s="13">
        <v>2126.3200000000002</v>
      </c>
      <c r="G322" s="13">
        <v>37.24</v>
      </c>
      <c r="H322" s="13">
        <v>1334.49</v>
      </c>
      <c r="I322" s="13">
        <v>3.6</v>
      </c>
      <c r="J322" s="13">
        <v>28</v>
      </c>
      <c r="K322" s="13">
        <v>0</v>
      </c>
      <c r="L322" s="12" t="s">
        <v>1033</v>
      </c>
      <c r="M322" s="12">
        <v>4.5</v>
      </c>
      <c r="N322" s="14">
        <v>45747</v>
      </c>
      <c r="O322" s="13">
        <v>4</v>
      </c>
      <c r="P322" s="12" t="s">
        <v>40</v>
      </c>
      <c r="Q322" s="12" t="s">
        <v>55</v>
      </c>
      <c r="R322" s="12" t="s">
        <v>32</v>
      </c>
      <c r="S322" s="12" t="b">
        <v>0</v>
      </c>
      <c r="T322" s="12" t="s">
        <v>78</v>
      </c>
      <c r="U322" s="15">
        <f t="shared" si="16"/>
        <v>791.84156800000005</v>
      </c>
      <c r="V322" s="15">
        <f t="shared" si="17"/>
        <v>850.52800000000002</v>
      </c>
      <c r="W322" s="15">
        <f t="shared" si="18"/>
        <v>200.17349999999999</v>
      </c>
      <c r="X322" s="15">
        <f t="shared" si="19"/>
        <v>283.7885</v>
      </c>
    </row>
    <row r="323" spans="1:24">
      <c r="A323" s="12" t="s">
        <v>1034</v>
      </c>
      <c r="B323" s="12" t="s">
        <v>1035</v>
      </c>
      <c r="C323" s="12" t="s">
        <v>36</v>
      </c>
      <c r="D323" s="12" t="s">
        <v>43</v>
      </c>
      <c r="E323" s="12" t="s">
        <v>131</v>
      </c>
      <c r="F323" s="13">
        <v>6340.25</v>
      </c>
      <c r="G323" s="13">
        <v>48.66</v>
      </c>
      <c r="H323" s="13">
        <v>3255.05</v>
      </c>
      <c r="I323" s="13">
        <v>3.9</v>
      </c>
      <c r="J323" s="13">
        <v>23</v>
      </c>
      <c r="K323" s="13">
        <v>356</v>
      </c>
      <c r="L323" s="12" t="s">
        <v>1036</v>
      </c>
      <c r="M323" s="12">
        <v>3.9</v>
      </c>
      <c r="N323" s="14">
        <v>45992</v>
      </c>
      <c r="O323" s="13">
        <v>3</v>
      </c>
      <c r="P323" s="12" t="s">
        <v>117</v>
      </c>
      <c r="Q323" s="12" t="s">
        <v>46</v>
      </c>
      <c r="R323" s="12" t="s">
        <v>86</v>
      </c>
      <c r="S323" s="12" t="b">
        <v>0</v>
      </c>
      <c r="T323" s="12" t="s">
        <v>62</v>
      </c>
      <c r="U323" s="15">
        <f t="shared" ref="U323:U386" si="20">F323*(G323/100)</f>
        <v>3085.1656499999999</v>
      </c>
      <c r="V323" s="15">
        <f t="shared" ref="V323:V386" si="21">F323*0.4</f>
        <v>2536.1</v>
      </c>
      <c r="W323" s="15">
        <f t="shared" ref="W323:W386" si="22">H323*0.15</f>
        <v>488.25749999999999</v>
      </c>
      <c r="X323" s="15">
        <f t="shared" ref="X323:X386" si="23">H323-V323-W323</f>
        <v>230.6925</v>
      </c>
    </row>
    <row r="324" spans="1:24">
      <c r="A324" s="12" t="s">
        <v>1037</v>
      </c>
      <c r="B324" s="12" t="s">
        <v>1038</v>
      </c>
      <c r="C324" s="12" t="s">
        <v>75</v>
      </c>
      <c r="D324" s="12" t="s">
        <v>104</v>
      </c>
      <c r="E324" s="12" t="s">
        <v>84</v>
      </c>
      <c r="F324" s="13">
        <v>1753.89</v>
      </c>
      <c r="G324" s="13">
        <v>27.14</v>
      </c>
      <c r="H324" s="13">
        <v>1277.8399999999999</v>
      </c>
      <c r="I324" s="13">
        <v>3.3</v>
      </c>
      <c r="J324" s="13">
        <v>25</v>
      </c>
      <c r="K324" s="13">
        <v>374</v>
      </c>
      <c r="L324" s="12" t="s">
        <v>1039</v>
      </c>
      <c r="M324" s="12">
        <v>4.8</v>
      </c>
      <c r="N324" s="14">
        <v>45585</v>
      </c>
      <c r="O324" s="13">
        <v>5</v>
      </c>
      <c r="P324" s="12" t="s">
        <v>54</v>
      </c>
      <c r="Q324" s="12" t="s">
        <v>46</v>
      </c>
      <c r="R324" s="12" t="s">
        <v>72</v>
      </c>
      <c r="S324" s="12" t="b">
        <v>0</v>
      </c>
      <c r="T324" s="12" t="s">
        <v>56</v>
      </c>
      <c r="U324" s="15">
        <f t="shared" si="20"/>
        <v>476.00574599999999</v>
      </c>
      <c r="V324" s="15">
        <f t="shared" si="21"/>
        <v>701.55600000000004</v>
      </c>
      <c r="W324" s="15">
        <f t="shared" si="22"/>
        <v>191.67599999999999</v>
      </c>
      <c r="X324" s="15">
        <f t="shared" si="23"/>
        <v>384.608</v>
      </c>
    </row>
    <row r="325" spans="1:24">
      <c r="A325" s="12" t="s">
        <v>1040</v>
      </c>
      <c r="B325" s="12" t="s">
        <v>1041</v>
      </c>
      <c r="C325" s="12" t="s">
        <v>59</v>
      </c>
      <c r="D325" s="12" t="s">
        <v>69</v>
      </c>
      <c r="E325" s="12" t="s">
        <v>96</v>
      </c>
      <c r="F325" s="13">
        <v>14859.81</v>
      </c>
      <c r="G325" s="13">
        <v>49.48</v>
      </c>
      <c r="H325" s="13">
        <v>7506.66</v>
      </c>
      <c r="I325" s="13">
        <v>5</v>
      </c>
      <c r="J325" s="13">
        <v>193</v>
      </c>
      <c r="K325" s="13">
        <v>73</v>
      </c>
      <c r="L325" s="12" t="s">
        <v>1042</v>
      </c>
      <c r="M325" s="12">
        <v>4.0999999999999996</v>
      </c>
      <c r="N325" s="14">
        <v>46025</v>
      </c>
      <c r="O325" s="13">
        <v>5</v>
      </c>
      <c r="P325" s="12" t="s">
        <v>54</v>
      </c>
      <c r="Q325" s="12" t="s">
        <v>31</v>
      </c>
      <c r="R325" s="12" t="s">
        <v>32</v>
      </c>
      <c r="S325" s="12" t="b">
        <v>0</v>
      </c>
      <c r="T325" s="12" t="s">
        <v>62</v>
      </c>
      <c r="U325" s="15">
        <f t="shared" si="20"/>
        <v>7352.6339879999996</v>
      </c>
      <c r="V325" s="15">
        <f t="shared" si="21"/>
        <v>5943.924</v>
      </c>
      <c r="W325" s="15">
        <f t="shared" si="22"/>
        <v>1125.999</v>
      </c>
      <c r="X325" s="15">
        <f t="shared" si="23"/>
        <v>436.73700000000002</v>
      </c>
    </row>
    <row r="326" spans="1:24">
      <c r="A326" s="12" t="s">
        <v>1043</v>
      </c>
      <c r="B326" s="12" t="s">
        <v>1044</v>
      </c>
      <c r="C326" s="12" t="s">
        <v>75</v>
      </c>
      <c r="D326" s="12" t="s">
        <v>104</v>
      </c>
      <c r="E326" s="12" t="s">
        <v>112</v>
      </c>
      <c r="F326" s="13">
        <v>740.82</v>
      </c>
      <c r="G326" s="13">
        <v>43.26</v>
      </c>
      <c r="H326" s="13">
        <v>420.34</v>
      </c>
      <c r="I326" s="13">
        <v>3.5</v>
      </c>
      <c r="J326" s="13">
        <v>7</v>
      </c>
      <c r="K326" s="13">
        <v>470</v>
      </c>
      <c r="L326" s="12" t="s">
        <v>1045</v>
      </c>
      <c r="M326" s="12">
        <v>4.9000000000000004</v>
      </c>
      <c r="N326" s="14">
        <v>45946</v>
      </c>
      <c r="O326" s="13">
        <v>1</v>
      </c>
      <c r="P326" s="12" t="s">
        <v>54</v>
      </c>
      <c r="Q326" s="12" t="s">
        <v>31</v>
      </c>
      <c r="R326" s="12" t="s">
        <v>86</v>
      </c>
      <c r="S326" s="12" t="b">
        <v>0</v>
      </c>
      <c r="T326" s="12" t="s">
        <v>78</v>
      </c>
      <c r="U326" s="15">
        <f t="shared" si="20"/>
        <v>320.47873199999998</v>
      </c>
      <c r="V326" s="15">
        <f t="shared" si="21"/>
        <v>296.32799999999997</v>
      </c>
      <c r="W326" s="15">
        <f t="shared" si="22"/>
        <v>63.051000000000002</v>
      </c>
      <c r="X326" s="15">
        <f t="shared" si="23"/>
        <v>60.960999999999899</v>
      </c>
    </row>
    <row r="327" spans="1:24">
      <c r="A327" s="12" t="s">
        <v>1046</v>
      </c>
      <c r="B327" s="12" t="s">
        <v>1047</v>
      </c>
      <c r="C327" s="12" t="s">
        <v>26</v>
      </c>
      <c r="D327" s="12" t="s">
        <v>27</v>
      </c>
      <c r="E327" s="12" t="s">
        <v>92</v>
      </c>
      <c r="F327" s="13">
        <v>50745.62</v>
      </c>
      <c r="G327" s="13">
        <v>32.04</v>
      </c>
      <c r="H327" s="13">
        <v>34487.699999999997</v>
      </c>
      <c r="I327" s="13">
        <v>4.7</v>
      </c>
      <c r="J327" s="13">
        <v>91</v>
      </c>
      <c r="K327" s="13">
        <v>179</v>
      </c>
      <c r="L327" s="12" t="s">
        <v>1048</v>
      </c>
      <c r="M327" s="12">
        <v>4</v>
      </c>
      <c r="N327" s="14">
        <v>45797</v>
      </c>
      <c r="O327" s="13">
        <v>5</v>
      </c>
      <c r="P327" s="12" t="s">
        <v>40</v>
      </c>
      <c r="Q327" s="12" t="s">
        <v>55</v>
      </c>
      <c r="R327" s="12" t="s">
        <v>47</v>
      </c>
      <c r="S327" s="12" t="b">
        <v>0</v>
      </c>
      <c r="T327" s="12" t="s">
        <v>78</v>
      </c>
      <c r="U327" s="15">
        <f t="shared" si="20"/>
        <v>16258.896648</v>
      </c>
      <c r="V327" s="15">
        <f t="shared" si="21"/>
        <v>20298.248</v>
      </c>
      <c r="W327" s="15">
        <f t="shared" si="22"/>
        <v>5173.1549999999997</v>
      </c>
      <c r="X327" s="15">
        <f t="shared" si="23"/>
        <v>9016.2969999999896</v>
      </c>
    </row>
    <row r="328" spans="1:24">
      <c r="A328" s="12" t="s">
        <v>1049</v>
      </c>
      <c r="B328" s="12" t="s">
        <v>1050</v>
      </c>
      <c r="C328" s="12" t="s">
        <v>59</v>
      </c>
      <c r="D328" s="12" t="s">
        <v>60</v>
      </c>
      <c r="E328" s="12" t="s">
        <v>84</v>
      </c>
      <c r="F328" s="13">
        <v>8559.4500000000007</v>
      </c>
      <c r="G328" s="13">
        <v>6.37</v>
      </c>
      <c r="H328" s="13">
        <v>8014.14</v>
      </c>
      <c r="I328" s="13">
        <v>3.6</v>
      </c>
      <c r="J328" s="13">
        <v>6</v>
      </c>
      <c r="K328" s="13">
        <v>307</v>
      </c>
      <c r="L328" s="12" t="s">
        <v>1051</v>
      </c>
      <c r="M328" s="12">
        <v>4.8</v>
      </c>
      <c r="N328" s="14">
        <v>46015</v>
      </c>
      <c r="O328" s="13">
        <v>2</v>
      </c>
      <c r="P328" s="12" t="s">
        <v>54</v>
      </c>
      <c r="Q328" s="12" t="s">
        <v>31</v>
      </c>
      <c r="R328" s="12" t="s">
        <v>32</v>
      </c>
      <c r="S328" s="12" t="b">
        <v>0</v>
      </c>
      <c r="T328" s="12" t="s">
        <v>62</v>
      </c>
      <c r="U328" s="15">
        <f t="shared" si="20"/>
        <v>545.23696500000005</v>
      </c>
      <c r="V328" s="15">
        <f t="shared" si="21"/>
        <v>3423.78</v>
      </c>
      <c r="W328" s="15">
        <f t="shared" si="22"/>
        <v>1202.1210000000001</v>
      </c>
      <c r="X328" s="15">
        <f t="shared" si="23"/>
        <v>3388.239</v>
      </c>
    </row>
    <row r="329" spans="1:24">
      <c r="A329" s="12" t="s">
        <v>1052</v>
      </c>
      <c r="B329" s="12" t="s">
        <v>1053</v>
      </c>
      <c r="C329" s="12" t="s">
        <v>59</v>
      </c>
      <c r="D329" s="12" t="s">
        <v>69</v>
      </c>
      <c r="E329" s="12" t="s">
        <v>131</v>
      </c>
      <c r="F329" s="13">
        <v>1954.62</v>
      </c>
      <c r="G329" s="13">
        <v>24.72</v>
      </c>
      <c r="H329" s="13">
        <v>1471.48</v>
      </c>
      <c r="I329" s="13">
        <v>3.7</v>
      </c>
      <c r="J329" s="13">
        <v>26</v>
      </c>
      <c r="K329" s="13">
        <v>382</v>
      </c>
      <c r="L329" s="12" t="s">
        <v>1054</v>
      </c>
      <c r="M329" s="12">
        <v>3</v>
      </c>
      <c r="N329" s="14">
        <v>45612</v>
      </c>
      <c r="O329" s="13">
        <v>3</v>
      </c>
      <c r="P329" s="12" t="s">
        <v>45</v>
      </c>
      <c r="Q329" s="12" t="s">
        <v>55</v>
      </c>
      <c r="R329" s="12" t="s">
        <v>32</v>
      </c>
      <c r="S329" s="12" t="b">
        <v>0</v>
      </c>
      <c r="T329" s="12" t="s">
        <v>78</v>
      </c>
      <c r="U329" s="15">
        <f t="shared" si="20"/>
        <v>483.18206400000003</v>
      </c>
      <c r="V329" s="15">
        <f t="shared" si="21"/>
        <v>781.84799999999996</v>
      </c>
      <c r="W329" s="15">
        <f t="shared" si="22"/>
        <v>220.72200000000001</v>
      </c>
      <c r="X329" s="15">
        <f t="shared" si="23"/>
        <v>468.91</v>
      </c>
    </row>
    <row r="330" spans="1:24">
      <c r="A330" s="12" t="s">
        <v>1055</v>
      </c>
      <c r="B330" s="12" t="s">
        <v>1056</v>
      </c>
      <c r="C330" s="12" t="s">
        <v>50</v>
      </c>
      <c r="D330" s="12" t="s">
        <v>51</v>
      </c>
      <c r="E330" s="12" t="s">
        <v>84</v>
      </c>
      <c r="F330" s="13">
        <v>4591.84</v>
      </c>
      <c r="G330" s="13">
        <v>46.51</v>
      </c>
      <c r="H330" s="13">
        <v>2456.33</v>
      </c>
      <c r="I330" s="13">
        <v>4.3</v>
      </c>
      <c r="J330" s="13">
        <v>95</v>
      </c>
      <c r="K330" s="13">
        <v>304</v>
      </c>
      <c r="L330" s="12" t="s">
        <v>1057</v>
      </c>
      <c r="M330" s="12">
        <v>4.4000000000000004</v>
      </c>
      <c r="N330" s="14">
        <v>46098</v>
      </c>
      <c r="O330" s="13">
        <v>1</v>
      </c>
      <c r="P330" s="12" t="s">
        <v>54</v>
      </c>
      <c r="Q330" s="12" t="s">
        <v>31</v>
      </c>
      <c r="R330" s="12" t="s">
        <v>32</v>
      </c>
      <c r="S330" s="12" t="b">
        <v>0</v>
      </c>
      <c r="T330" s="12" t="s">
        <v>56</v>
      </c>
      <c r="U330" s="15">
        <f t="shared" si="20"/>
        <v>2135.6647840000001</v>
      </c>
      <c r="V330" s="15">
        <f t="shared" si="21"/>
        <v>1836.7360000000001</v>
      </c>
      <c r="W330" s="15">
        <f t="shared" si="22"/>
        <v>368.4495</v>
      </c>
      <c r="X330" s="15">
        <f t="shared" si="23"/>
        <v>251.14449999999999</v>
      </c>
    </row>
    <row r="331" spans="1:24">
      <c r="A331" s="12" t="s">
        <v>1058</v>
      </c>
      <c r="B331" s="12" t="s">
        <v>1059</v>
      </c>
      <c r="C331" s="12" t="s">
        <v>59</v>
      </c>
      <c r="D331" s="12" t="s">
        <v>69</v>
      </c>
      <c r="E331" s="12" t="s">
        <v>96</v>
      </c>
      <c r="F331" s="13">
        <v>5501.73</v>
      </c>
      <c r="G331" s="13">
        <v>46.81</v>
      </c>
      <c r="H331" s="13">
        <v>2926.29</v>
      </c>
      <c r="I331" s="13">
        <v>3.5</v>
      </c>
      <c r="J331" s="13">
        <v>17</v>
      </c>
      <c r="K331" s="13">
        <v>279</v>
      </c>
      <c r="L331" s="12" t="s">
        <v>1060</v>
      </c>
      <c r="M331" s="12">
        <v>3.6</v>
      </c>
      <c r="N331" s="14">
        <v>45552</v>
      </c>
      <c r="O331" s="13">
        <v>5</v>
      </c>
      <c r="P331" s="12" t="s">
        <v>45</v>
      </c>
      <c r="Q331" s="12" t="s">
        <v>55</v>
      </c>
      <c r="R331" s="12" t="s">
        <v>32</v>
      </c>
      <c r="S331" s="12" t="b">
        <v>0</v>
      </c>
      <c r="T331" s="12" t="s">
        <v>78</v>
      </c>
      <c r="U331" s="15">
        <f t="shared" si="20"/>
        <v>2575.359813</v>
      </c>
      <c r="V331" s="15">
        <f t="shared" si="21"/>
        <v>2200.692</v>
      </c>
      <c r="W331" s="15">
        <f t="shared" si="22"/>
        <v>438.94349999999997</v>
      </c>
      <c r="X331" s="15">
        <f t="shared" si="23"/>
        <v>286.65449999999998</v>
      </c>
    </row>
    <row r="332" spans="1:24">
      <c r="A332" s="12" t="s">
        <v>1061</v>
      </c>
      <c r="B332" s="12" t="s">
        <v>1062</v>
      </c>
      <c r="C332" s="12" t="s">
        <v>36</v>
      </c>
      <c r="D332" s="12" t="s">
        <v>43</v>
      </c>
      <c r="E332" s="12" t="s">
        <v>38</v>
      </c>
      <c r="F332" s="13">
        <v>5316.98</v>
      </c>
      <c r="G332" s="13">
        <v>18.22</v>
      </c>
      <c r="H332" s="13">
        <v>4348.2299999999996</v>
      </c>
      <c r="I332" s="13">
        <v>3.9</v>
      </c>
      <c r="J332" s="13">
        <v>13</v>
      </c>
      <c r="K332" s="13">
        <v>472</v>
      </c>
      <c r="L332" s="12" t="s">
        <v>1063</v>
      </c>
      <c r="M332" s="12">
        <v>4.2</v>
      </c>
      <c r="N332" s="14">
        <v>45890</v>
      </c>
      <c r="O332" s="13">
        <v>3</v>
      </c>
      <c r="P332" s="12" t="s">
        <v>30</v>
      </c>
      <c r="Q332" s="12" t="s">
        <v>55</v>
      </c>
      <c r="R332" s="12" t="s">
        <v>72</v>
      </c>
      <c r="S332" s="12" t="b">
        <v>0</v>
      </c>
      <c r="T332" s="12" t="s">
        <v>62</v>
      </c>
      <c r="U332" s="15">
        <f t="shared" si="20"/>
        <v>968.75375599999995</v>
      </c>
      <c r="V332" s="15">
        <f t="shared" si="21"/>
        <v>2126.7919999999999</v>
      </c>
      <c r="W332" s="15">
        <f t="shared" si="22"/>
        <v>652.23450000000003</v>
      </c>
      <c r="X332" s="15">
        <f t="shared" si="23"/>
        <v>1569.2035000000001</v>
      </c>
    </row>
    <row r="333" spans="1:24">
      <c r="A333" s="12" t="s">
        <v>1064</v>
      </c>
      <c r="B333" s="12" t="s">
        <v>1065</v>
      </c>
      <c r="C333" s="12" t="s">
        <v>36</v>
      </c>
      <c r="D333" s="12" t="s">
        <v>37</v>
      </c>
      <c r="E333" s="12" t="s">
        <v>96</v>
      </c>
      <c r="F333" s="13">
        <v>11216.47</v>
      </c>
      <c r="G333" s="13">
        <v>17.489999999999998</v>
      </c>
      <c r="H333" s="13">
        <v>9255.17</v>
      </c>
      <c r="I333" s="13">
        <v>4.4000000000000004</v>
      </c>
      <c r="J333" s="13">
        <v>87</v>
      </c>
      <c r="K333" s="13">
        <v>274</v>
      </c>
      <c r="L333" s="12" t="s">
        <v>1066</v>
      </c>
      <c r="M333" s="12">
        <v>3.2</v>
      </c>
      <c r="N333" s="14">
        <v>45456</v>
      </c>
      <c r="O333" s="13">
        <v>6</v>
      </c>
      <c r="P333" s="12" t="s">
        <v>117</v>
      </c>
      <c r="Q333" s="12" t="s">
        <v>31</v>
      </c>
      <c r="R333" s="12" t="s">
        <v>47</v>
      </c>
      <c r="S333" s="12" t="b">
        <v>0</v>
      </c>
      <c r="T333" s="12" t="s">
        <v>56</v>
      </c>
      <c r="U333" s="15">
        <f t="shared" si="20"/>
        <v>1961.7606029999999</v>
      </c>
      <c r="V333" s="15">
        <f t="shared" si="21"/>
        <v>4486.5879999999997</v>
      </c>
      <c r="W333" s="15">
        <f t="shared" si="22"/>
        <v>1388.2755</v>
      </c>
      <c r="X333" s="15">
        <f t="shared" si="23"/>
        <v>3380.3065000000001</v>
      </c>
    </row>
    <row r="334" spans="1:24">
      <c r="A334" s="12" t="s">
        <v>1067</v>
      </c>
      <c r="B334" s="12" t="s">
        <v>1068</v>
      </c>
      <c r="C334" s="12" t="s">
        <v>26</v>
      </c>
      <c r="D334" s="12" t="s">
        <v>313</v>
      </c>
      <c r="E334" s="12" t="s">
        <v>84</v>
      </c>
      <c r="F334" s="13">
        <v>15669.14</v>
      </c>
      <c r="G334" s="13">
        <v>23.94</v>
      </c>
      <c r="H334" s="13">
        <v>11918.72</v>
      </c>
      <c r="I334" s="13">
        <v>3.3</v>
      </c>
      <c r="J334" s="13">
        <v>16</v>
      </c>
      <c r="K334" s="13">
        <v>274</v>
      </c>
      <c r="L334" s="12" t="s">
        <v>1069</v>
      </c>
      <c r="M334" s="12">
        <v>2.9</v>
      </c>
      <c r="N334" s="14">
        <v>46053</v>
      </c>
      <c r="O334" s="13">
        <v>3</v>
      </c>
      <c r="P334" s="12" t="s">
        <v>45</v>
      </c>
      <c r="Q334" s="12" t="s">
        <v>55</v>
      </c>
      <c r="R334" s="12" t="s">
        <v>32</v>
      </c>
      <c r="S334" s="12" t="b">
        <v>1</v>
      </c>
      <c r="T334" s="12" t="s">
        <v>33</v>
      </c>
      <c r="U334" s="15">
        <f t="shared" si="20"/>
        <v>3751.1921160000002</v>
      </c>
      <c r="V334" s="15">
        <f t="shared" si="21"/>
        <v>6267.6559999999999</v>
      </c>
      <c r="W334" s="15">
        <f t="shared" si="22"/>
        <v>1787.808</v>
      </c>
      <c r="X334" s="15">
        <f t="shared" si="23"/>
        <v>3863.2559999999999</v>
      </c>
    </row>
    <row r="335" spans="1:24">
      <c r="A335" s="12" t="s">
        <v>1070</v>
      </c>
      <c r="B335" s="12" t="s">
        <v>1071</v>
      </c>
      <c r="C335" s="12" t="s">
        <v>59</v>
      </c>
      <c r="D335" s="12" t="s">
        <v>60</v>
      </c>
      <c r="E335" s="12" t="s">
        <v>96</v>
      </c>
      <c r="F335" s="13">
        <v>19393.45</v>
      </c>
      <c r="G335" s="13">
        <v>16.100000000000001</v>
      </c>
      <c r="H335" s="13">
        <v>16271.17</v>
      </c>
      <c r="I335" s="13">
        <v>5</v>
      </c>
      <c r="J335" s="13">
        <v>13</v>
      </c>
      <c r="K335" s="13">
        <v>44</v>
      </c>
      <c r="L335" s="12" t="s">
        <v>1072</v>
      </c>
      <c r="M335" s="12">
        <v>3.2</v>
      </c>
      <c r="N335" s="14">
        <v>45410</v>
      </c>
      <c r="O335" s="13">
        <v>1</v>
      </c>
      <c r="P335" s="12" t="s">
        <v>54</v>
      </c>
      <c r="Q335" s="12" t="s">
        <v>46</v>
      </c>
      <c r="R335" s="12" t="s">
        <v>86</v>
      </c>
      <c r="S335" s="12" t="b">
        <v>0</v>
      </c>
      <c r="T335" s="12" t="s">
        <v>62</v>
      </c>
      <c r="U335" s="15">
        <f t="shared" si="20"/>
        <v>3122.3454499999998</v>
      </c>
      <c r="V335" s="15">
        <f t="shared" si="21"/>
        <v>7757.38</v>
      </c>
      <c r="W335" s="15">
        <f t="shared" si="22"/>
        <v>2440.6754999999998</v>
      </c>
      <c r="X335" s="15">
        <f t="shared" si="23"/>
        <v>6073.1144999999997</v>
      </c>
    </row>
    <row r="336" spans="1:24">
      <c r="A336" s="12" t="s">
        <v>1073</v>
      </c>
      <c r="B336" s="12" t="s">
        <v>1074</v>
      </c>
      <c r="C336" s="12" t="s">
        <v>36</v>
      </c>
      <c r="D336" s="12" t="s">
        <v>43</v>
      </c>
      <c r="E336" s="12" t="s">
        <v>52</v>
      </c>
      <c r="F336" s="13">
        <v>11870.99</v>
      </c>
      <c r="G336" s="13">
        <v>25.81</v>
      </c>
      <c r="H336" s="13">
        <v>8807.3700000000008</v>
      </c>
      <c r="I336" s="13">
        <v>3.7</v>
      </c>
      <c r="J336" s="13">
        <v>35</v>
      </c>
      <c r="K336" s="13">
        <v>362</v>
      </c>
      <c r="L336" s="12" t="s">
        <v>1075</v>
      </c>
      <c r="M336" s="12">
        <v>3.4</v>
      </c>
      <c r="N336" s="14">
        <v>45482</v>
      </c>
      <c r="O336" s="13">
        <v>1</v>
      </c>
      <c r="P336" s="12" t="s">
        <v>54</v>
      </c>
      <c r="Q336" s="12" t="s">
        <v>31</v>
      </c>
      <c r="R336" s="12" t="s">
        <v>32</v>
      </c>
      <c r="S336" s="12" t="b">
        <v>0</v>
      </c>
      <c r="T336" s="12" t="s">
        <v>78</v>
      </c>
      <c r="U336" s="15">
        <f t="shared" si="20"/>
        <v>3063.9025190000002</v>
      </c>
      <c r="V336" s="15">
        <f t="shared" si="21"/>
        <v>4748.3959999999997</v>
      </c>
      <c r="W336" s="15">
        <f t="shared" si="22"/>
        <v>1321.1054999999999</v>
      </c>
      <c r="X336" s="15">
        <f t="shared" si="23"/>
        <v>2737.8685</v>
      </c>
    </row>
    <row r="337" spans="1:24">
      <c r="A337" s="12" t="s">
        <v>1076</v>
      </c>
      <c r="B337" s="12" t="s">
        <v>1077</v>
      </c>
      <c r="C337" s="12" t="s">
        <v>50</v>
      </c>
      <c r="D337" s="12" t="s">
        <v>51</v>
      </c>
      <c r="E337" s="12" t="s">
        <v>131</v>
      </c>
      <c r="F337" s="13">
        <v>713.87</v>
      </c>
      <c r="G337" s="13">
        <v>37.840000000000003</v>
      </c>
      <c r="H337" s="13">
        <v>443.76</v>
      </c>
      <c r="I337" s="13">
        <v>3.9</v>
      </c>
      <c r="J337" s="13">
        <v>37</v>
      </c>
      <c r="K337" s="13">
        <v>85</v>
      </c>
      <c r="L337" s="12" t="s">
        <v>1078</v>
      </c>
      <c r="M337" s="12">
        <v>2.8</v>
      </c>
      <c r="N337" s="14">
        <v>45620</v>
      </c>
      <c r="O337" s="13">
        <v>4</v>
      </c>
      <c r="P337" s="12" t="s">
        <v>45</v>
      </c>
      <c r="Q337" s="12" t="s">
        <v>46</v>
      </c>
      <c r="R337" s="12" t="s">
        <v>72</v>
      </c>
      <c r="S337" s="12" t="b">
        <v>0</v>
      </c>
      <c r="T337" s="12" t="s">
        <v>62</v>
      </c>
      <c r="U337" s="15">
        <f t="shared" si="20"/>
        <v>270.12840799999998</v>
      </c>
      <c r="V337" s="15">
        <f t="shared" si="21"/>
        <v>285.548</v>
      </c>
      <c r="W337" s="15">
        <f t="shared" si="22"/>
        <v>66.563999999999993</v>
      </c>
      <c r="X337" s="15">
        <f t="shared" si="23"/>
        <v>91.647999999999996</v>
      </c>
    </row>
    <row r="338" spans="1:24">
      <c r="A338" s="12" t="s">
        <v>1079</v>
      </c>
      <c r="B338" s="12" t="s">
        <v>1080</v>
      </c>
      <c r="C338" s="12" t="s">
        <v>26</v>
      </c>
      <c r="D338" s="12" t="s">
        <v>27</v>
      </c>
      <c r="E338" s="12" t="s">
        <v>112</v>
      </c>
      <c r="F338" s="13">
        <v>60119.44</v>
      </c>
      <c r="G338" s="13">
        <v>25.86</v>
      </c>
      <c r="H338" s="13">
        <v>44570.83</v>
      </c>
      <c r="I338" s="13">
        <v>3.8</v>
      </c>
      <c r="J338" s="13">
        <v>15</v>
      </c>
      <c r="K338" s="13">
        <v>32</v>
      </c>
      <c r="L338" s="12" t="s">
        <v>1081</v>
      </c>
      <c r="M338" s="12">
        <v>3.4</v>
      </c>
      <c r="N338" s="14">
        <v>45692</v>
      </c>
      <c r="O338" s="13">
        <v>1</v>
      </c>
      <c r="P338" s="12" t="s">
        <v>117</v>
      </c>
      <c r="Q338" s="12" t="s">
        <v>31</v>
      </c>
      <c r="R338" s="12" t="s">
        <v>32</v>
      </c>
      <c r="S338" s="12" t="b">
        <v>0</v>
      </c>
      <c r="T338" s="12" t="s">
        <v>56</v>
      </c>
      <c r="U338" s="15">
        <f t="shared" si="20"/>
        <v>15546.887183999999</v>
      </c>
      <c r="V338" s="15">
        <f t="shared" si="21"/>
        <v>24047.776000000002</v>
      </c>
      <c r="W338" s="15">
        <f t="shared" si="22"/>
        <v>6685.6244999999999</v>
      </c>
      <c r="X338" s="15">
        <f t="shared" si="23"/>
        <v>13837.4295</v>
      </c>
    </row>
    <row r="339" spans="1:24">
      <c r="A339" s="12" t="s">
        <v>1082</v>
      </c>
      <c r="B339" s="12" t="s">
        <v>1083</v>
      </c>
      <c r="C339" s="12" t="s">
        <v>50</v>
      </c>
      <c r="D339" s="12" t="s">
        <v>213</v>
      </c>
      <c r="E339" s="12" t="s">
        <v>112</v>
      </c>
      <c r="F339" s="13">
        <v>2990.8</v>
      </c>
      <c r="G339" s="13">
        <v>44.29</v>
      </c>
      <c r="H339" s="13">
        <v>1666.3</v>
      </c>
      <c r="I339" s="13">
        <v>4.8</v>
      </c>
      <c r="J339" s="13">
        <v>25</v>
      </c>
      <c r="K339" s="13">
        <v>85</v>
      </c>
      <c r="L339" s="12" t="s">
        <v>1084</v>
      </c>
      <c r="M339" s="12">
        <v>4.9000000000000004</v>
      </c>
      <c r="N339" s="14">
        <v>45810</v>
      </c>
      <c r="O339" s="13">
        <v>1</v>
      </c>
      <c r="P339" s="12" t="s">
        <v>40</v>
      </c>
      <c r="Q339" s="12" t="s">
        <v>46</v>
      </c>
      <c r="R339" s="12" t="s">
        <v>72</v>
      </c>
      <c r="S339" s="12" t="b">
        <v>0</v>
      </c>
      <c r="T339" s="12" t="s">
        <v>78</v>
      </c>
      <c r="U339" s="15">
        <f t="shared" si="20"/>
        <v>1324.6253200000001</v>
      </c>
      <c r="V339" s="15">
        <f t="shared" si="21"/>
        <v>1196.32</v>
      </c>
      <c r="W339" s="15">
        <f t="shared" si="22"/>
        <v>249.94499999999999</v>
      </c>
      <c r="X339" s="15">
        <f t="shared" si="23"/>
        <v>220.035</v>
      </c>
    </row>
    <row r="340" spans="1:24">
      <c r="A340" s="12" t="s">
        <v>1085</v>
      </c>
      <c r="B340" s="12" t="s">
        <v>1086</v>
      </c>
      <c r="C340" s="12" t="s">
        <v>36</v>
      </c>
      <c r="D340" s="12" t="s">
        <v>108</v>
      </c>
      <c r="E340" s="12" t="s">
        <v>28</v>
      </c>
      <c r="F340" s="13">
        <v>1597.09</v>
      </c>
      <c r="G340" s="13">
        <v>21.27</v>
      </c>
      <c r="H340" s="13">
        <v>1257.4000000000001</v>
      </c>
      <c r="I340" s="13">
        <v>3.9</v>
      </c>
      <c r="J340" s="13">
        <v>8</v>
      </c>
      <c r="K340" s="13">
        <v>1</v>
      </c>
      <c r="L340" s="12" t="s">
        <v>1087</v>
      </c>
      <c r="M340" s="12">
        <v>4</v>
      </c>
      <c r="N340" s="14">
        <v>45885</v>
      </c>
      <c r="O340" s="13">
        <v>4</v>
      </c>
      <c r="P340" s="12" t="s">
        <v>40</v>
      </c>
      <c r="Q340" s="12" t="s">
        <v>46</v>
      </c>
      <c r="R340" s="12" t="s">
        <v>47</v>
      </c>
      <c r="S340" s="12" t="b">
        <v>1</v>
      </c>
      <c r="T340" s="12" t="s">
        <v>33</v>
      </c>
      <c r="U340" s="15">
        <f t="shared" si="20"/>
        <v>339.70104300000003</v>
      </c>
      <c r="V340" s="15">
        <f t="shared" si="21"/>
        <v>638.83600000000001</v>
      </c>
      <c r="W340" s="15">
        <f t="shared" si="22"/>
        <v>188.61</v>
      </c>
      <c r="X340" s="15">
        <f t="shared" si="23"/>
        <v>429.95400000000001</v>
      </c>
    </row>
    <row r="341" spans="1:24">
      <c r="A341" s="12" t="s">
        <v>1088</v>
      </c>
      <c r="B341" s="12" t="s">
        <v>1089</v>
      </c>
      <c r="C341" s="12" t="s">
        <v>26</v>
      </c>
      <c r="D341" s="12" t="s">
        <v>148</v>
      </c>
      <c r="E341" s="12" t="s">
        <v>112</v>
      </c>
      <c r="F341" s="13">
        <v>60415</v>
      </c>
      <c r="G341" s="13">
        <v>11.04</v>
      </c>
      <c r="H341" s="13">
        <v>53746.19</v>
      </c>
      <c r="I341" s="13">
        <v>3.5</v>
      </c>
      <c r="J341" s="13">
        <v>35</v>
      </c>
      <c r="K341" s="13">
        <v>476</v>
      </c>
      <c r="L341" s="12" t="s">
        <v>1090</v>
      </c>
      <c r="M341" s="12">
        <v>3.6</v>
      </c>
      <c r="N341" s="14">
        <v>45776</v>
      </c>
      <c r="O341" s="13">
        <v>5</v>
      </c>
      <c r="P341" s="12" t="s">
        <v>117</v>
      </c>
      <c r="Q341" s="12" t="s">
        <v>31</v>
      </c>
      <c r="R341" s="12" t="s">
        <v>86</v>
      </c>
      <c r="S341" s="12" t="b">
        <v>0</v>
      </c>
      <c r="T341" s="12" t="s">
        <v>78</v>
      </c>
      <c r="U341" s="15">
        <f t="shared" si="20"/>
        <v>6669.8159999999998</v>
      </c>
      <c r="V341" s="15">
        <f t="shared" si="21"/>
        <v>24166</v>
      </c>
      <c r="W341" s="15">
        <f t="shared" si="22"/>
        <v>8061.9285</v>
      </c>
      <c r="X341" s="15">
        <f t="shared" si="23"/>
        <v>21518.261500000001</v>
      </c>
    </row>
    <row r="342" spans="1:24">
      <c r="A342" s="12" t="s">
        <v>1091</v>
      </c>
      <c r="B342" s="12" t="s">
        <v>1092</v>
      </c>
      <c r="C342" s="12" t="s">
        <v>59</v>
      </c>
      <c r="D342" s="12" t="s">
        <v>69</v>
      </c>
      <c r="E342" s="12" t="s">
        <v>96</v>
      </c>
      <c r="F342" s="13">
        <v>15858.96</v>
      </c>
      <c r="G342" s="13">
        <v>10.210000000000001</v>
      </c>
      <c r="H342" s="13">
        <v>14240.31</v>
      </c>
      <c r="I342" s="13">
        <v>4</v>
      </c>
      <c r="J342" s="13">
        <v>12</v>
      </c>
      <c r="K342" s="13">
        <v>292</v>
      </c>
      <c r="L342" s="12" t="s">
        <v>1093</v>
      </c>
      <c r="M342" s="12">
        <v>4</v>
      </c>
      <c r="N342" s="14">
        <v>45862</v>
      </c>
      <c r="O342" s="13">
        <v>6</v>
      </c>
      <c r="P342" s="12" t="s">
        <v>30</v>
      </c>
      <c r="Q342" s="12" t="s">
        <v>46</v>
      </c>
      <c r="R342" s="12" t="s">
        <v>32</v>
      </c>
      <c r="S342" s="12" t="b">
        <v>0</v>
      </c>
      <c r="T342" s="12" t="s">
        <v>78</v>
      </c>
      <c r="U342" s="15">
        <f t="shared" si="20"/>
        <v>1619.1998160000001</v>
      </c>
      <c r="V342" s="15">
        <f t="shared" si="21"/>
        <v>6343.5839999999998</v>
      </c>
      <c r="W342" s="15">
        <f t="shared" si="22"/>
        <v>2136.0464999999999</v>
      </c>
      <c r="X342" s="15">
        <f t="shared" si="23"/>
        <v>5760.6795000000002</v>
      </c>
    </row>
    <row r="343" spans="1:24">
      <c r="A343" s="12" t="s">
        <v>1094</v>
      </c>
      <c r="B343" s="12" t="s">
        <v>1095</v>
      </c>
      <c r="C343" s="12" t="s">
        <v>75</v>
      </c>
      <c r="D343" s="12" t="s">
        <v>76</v>
      </c>
      <c r="E343" s="12" t="s">
        <v>38</v>
      </c>
      <c r="F343" s="13">
        <v>3099.34</v>
      </c>
      <c r="G343" s="13">
        <v>38.64</v>
      </c>
      <c r="H343" s="13">
        <v>1901.72</v>
      </c>
      <c r="I343" s="13">
        <v>3.2</v>
      </c>
      <c r="J343" s="13">
        <v>4</v>
      </c>
      <c r="K343" s="13">
        <v>443</v>
      </c>
      <c r="L343" s="12" t="s">
        <v>1096</v>
      </c>
      <c r="M343" s="12">
        <v>3</v>
      </c>
      <c r="N343" s="14">
        <v>45643</v>
      </c>
      <c r="O343" s="13">
        <v>1</v>
      </c>
      <c r="P343" s="12" t="s">
        <v>117</v>
      </c>
      <c r="Q343" s="12" t="s">
        <v>55</v>
      </c>
      <c r="R343" s="12" t="s">
        <v>72</v>
      </c>
      <c r="S343" s="12" t="b">
        <v>0</v>
      </c>
      <c r="T343" s="12" t="s">
        <v>78</v>
      </c>
      <c r="U343" s="15">
        <f t="shared" si="20"/>
        <v>1197.5849760000001</v>
      </c>
      <c r="V343" s="15">
        <f t="shared" si="21"/>
        <v>1239.7360000000001</v>
      </c>
      <c r="W343" s="15">
        <f t="shared" si="22"/>
        <v>285.25799999999998</v>
      </c>
      <c r="X343" s="15">
        <f t="shared" si="23"/>
        <v>376.726</v>
      </c>
    </row>
    <row r="344" spans="1:24">
      <c r="A344" s="12" t="s">
        <v>1097</v>
      </c>
      <c r="B344" s="12" t="s">
        <v>1098</v>
      </c>
      <c r="C344" s="12" t="s">
        <v>36</v>
      </c>
      <c r="D344" s="12" t="s">
        <v>37</v>
      </c>
      <c r="E344" s="12" t="s">
        <v>38</v>
      </c>
      <c r="F344" s="13">
        <v>3707.96</v>
      </c>
      <c r="G344" s="13">
        <v>22.14</v>
      </c>
      <c r="H344" s="13">
        <v>2886.85</v>
      </c>
      <c r="I344" s="13">
        <v>4.0999999999999996</v>
      </c>
      <c r="J344" s="13">
        <v>31</v>
      </c>
      <c r="K344" s="13">
        <v>288</v>
      </c>
      <c r="L344" s="12" t="s">
        <v>1099</v>
      </c>
      <c r="M344" s="12">
        <v>3.2</v>
      </c>
      <c r="N344" s="14">
        <v>45625</v>
      </c>
      <c r="O344" s="13">
        <v>3</v>
      </c>
      <c r="P344" s="12" t="s">
        <v>30</v>
      </c>
      <c r="Q344" s="12" t="s">
        <v>31</v>
      </c>
      <c r="R344" s="12" t="s">
        <v>47</v>
      </c>
      <c r="S344" s="12" t="b">
        <v>0</v>
      </c>
      <c r="T344" s="12" t="s">
        <v>56</v>
      </c>
      <c r="U344" s="15">
        <f t="shared" si="20"/>
        <v>820.94234400000005</v>
      </c>
      <c r="V344" s="15">
        <f t="shared" si="21"/>
        <v>1483.184</v>
      </c>
      <c r="W344" s="15">
        <f t="shared" si="22"/>
        <v>433.02749999999997</v>
      </c>
      <c r="X344" s="15">
        <f t="shared" si="23"/>
        <v>970.63850000000002</v>
      </c>
    </row>
    <row r="345" spans="1:24">
      <c r="A345" s="12" t="s">
        <v>1100</v>
      </c>
      <c r="B345" s="12" t="s">
        <v>1101</v>
      </c>
      <c r="C345" s="12" t="s">
        <v>59</v>
      </c>
      <c r="D345" s="12" t="s">
        <v>60</v>
      </c>
      <c r="E345" s="12" t="s">
        <v>235</v>
      </c>
      <c r="F345" s="13">
        <v>13904.78</v>
      </c>
      <c r="G345" s="13">
        <v>32.08</v>
      </c>
      <c r="H345" s="13">
        <v>9444.7199999999993</v>
      </c>
      <c r="I345" s="13">
        <v>3.9</v>
      </c>
      <c r="J345" s="13">
        <v>30</v>
      </c>
      <c r="K345" s="13">
        <v>389</v>
      </c>
      <c r="L345" s="12" t="s">
        <v>1102</v>
      </c>
      <c r="M345" s="12">
        <v>4.0999999999999996</v>
      </c>
      <c r="N345" s="14">
        <v>45586</v>
      </c>
      <c r="O345" s="13">
        <v>5</v>
      </c>
      <c r="P345" s="12" t="s">
        <v>54</v>
      </c>
      <c r="Q345" s="12" t="s">
        <v>46</v>
      </c>
      <c r="R345" s="12" t="s">
        <v>32</v>
      </c>
      <c r="S345" s="12" t="b">
        <v>0</v>
      </c>
      <c r="T345" s="12" t="s">
        <v>56</v>
      </c>
      <c r="U345" s="15">
        <f t="shared" si="20"/>
        <v>4460.6534240000001</v>
      </c>
      <c r="V345" s="15">
        <f t="shared" si="21"/>
        <v>5561.9120000000003</v>
      </c>
      <c r="W345" s="15">
        <f t="shared" si="22"/>
        <v>1416.7080000000001</v>
      </c>
      <c r="X345" s="15">
        <f t="shared" si="23"/>
        <v>2466.1</v>
      </c>
    </row>
    <row r="346" spans="1:24">
      <c r="A346" s="12" t="s">
        <v>1103</v>
      </c>
      <c r="B346" s="12" t="s">
        <v>1104</v>
      </c>
      <c r="C346" s="12" t="s">
        <v>26</v>
      </c>
      <c r="D346" s="12" t="s">
        <v>123</v>
      </c>
      <c r="E346" s="12" t="s">
        <v>131</v>
      </c>
      <c r="F346" s="13">
        <v>77836.320000000007</v>
      </c>
      <c r="G346" s="13">
        <v>9.07</v>
      </c>
      <c r="H346" s="13">
        <v>70774.58</v>
      </c>
      <c r="I346" s="13">
        <v>4.9000000000000004</v>
      </c>
      <c r="J346" s="13">
        <v>23</v>
      </c>
      <c r="K346" s="13">
        <v>486</v>
      </c>
      <c r="L346" s="12" t="s">
        <v>1105</v>
      </c>
      <c r="M346" s="12">
        <v>4.0999999999999996</v>
      </c>
      <c r="N346" s="14">
        <v>45940</v>
      </c>
      <c r="O346" s="13">
        <v>4</v>
      </c>
      <c r="P346" s="12" t="s">
        <v>30</v>
      </c>
      <c r="Q346" s="12" t="s">
        <v>46</v>
      </c>
      <c r="R346" s="12" t="s">
        <v>86</v>
      </c>
      <c r="S346" s="12" t="b">
        <v>0</v>
      </c>
      <c r="T346" s="12" t="s">
        <v>62</v>
      </c>
      <c r="U346" s="15">
        <f t="shared" si="20"/>
        <v>7059.7542240000002</v>
      </c>
      <c r="V346" s="15">
        <f t="shared" si="21"/>
        <v>31134.527999999998</v>
      </c>
      <c r="W346" s="15">
        <f t="shared" si="22"/>
        <v>10616.187</v>
      </c>
      <c r="X346" s="15">
        <f t="shared" si="23"/>
        <v>29023.865000000002</v>
      </c>
    </row>
    <row r="347" spans="1:24">
      <c r="A347" s="12" t="s">
        <v>1106</v>
      </c>
      <c r="B347" s="12" t="s">
        <v>1107</v>
      </c>
      <c r="C347" s="12" t="s">
        <v>59</v>
      </c>
      <c r="D347" s="12" t="s">
        <v>69</v>
      </c>
      <c r="E347" s="12" t="s">
        <v>70</v>
      </c>
      <c r="F347" s="13">
        <v>18863.48</v>
      </c>
      <c r="G347" s="13">
        <v>24.72</v>
      </c>
      <c r="H347" s="13">
        <v>14200.81</v>
      </c>
      <c r="I347" s="13">
        <v>4.8</v>
      </c>
      <c r="J347" s="13">
        <v>14</v>
      </c>
      <c r="K347" s="13">
        <v>251</v>
      </c>
      <c r="L347" s="12" t="s">
        <v>1108</v>
      </c>
      <c r="M347" s="12">
        <v>4.0999999999999996</v>
      </c>
      <c r="N347" s="14">
        <v>45836</v>
      </c>
      <c r="O347" s="13">
        <v>6</v>
      </c>
      <c r="P347" s="12" t="s">
        <v>45</v>
      </c>
      <c r="Q347" s="12" t="s">
        <v>46</v>
      </c>
      <c r="R347" s="12" t="s">
        <v>72</v>
      </c>
      <c r="S347" s="12" t="b">
        <v>0</v>
      </c>
      <c r="T347" s="12" t="s">
        <v>78</v>
      </c>
      <c r="U347" s="15">
        <f t="shared" si="20"/>
        <v>4663.0522559999999</v>
      </c>
      <c r="V347" s="15">
        <f t="shared" si="21"/>
        <v>7545.3919999999998</v>
      </c>
      <c r="W347" s="15">
        <f t="shared" si="22"/>
        <v>2130.1215000000002</v>
      </c>
      <c r="X347" s="15">
        <f t="shared" si="23"/>
        <v>4525.2965000000004</v>
      </c>
    </row>
    <row r="348" spans="1:24">
      <c r="A348" s="12" t="s">
        <v>1109</v>
      </c>
      <c r="B348" s="12" t="s">
        <v>1110</v>
      </c>
      <c r="C348" s="12" t="s">
        <v>26</v>
      </c>
      <c r="D348" s="12" t="s">
        <v>123</v>
      </c>
      <c r="E348" s="12" t="s">
        <v>131</v>
      </c>
      <c r="F348" s="13">
        <v>10258.11</v>
      </c>
      <c r="G348" s="13">
        <v>6.47</v>
      </c>
      <c r="H348" s="13">
        <v>9594.7099999999991</v>
      </c>
      <c r="I348" s="13">
        <v>3.3</v>
      </c>
      <c r="J348" s="13">
        <v>14</v>
      </c>
      <c r="K348" s="13">
        <v>234</v>
      </c>
      <c r="L348" s="12" t="s">
        <v>500</v>
      </c>
      <c r="M348" s="12">
        <v>2.7</v>
      </c>
      <c r="N348" s="14">
        <v>45961</v>
      </c>
      <c r="O348" s="13">
        <v>5</v>
      </c>
      <c r="P348" s="12" t="s">
        <v>117</v>
      </c>
      <c r="Q348" s="12" t="s">
        <v>31</v>
      </c>
      <c r="R348" s="12" t="s">
        <v>32</v>
      </c>
      <c r="S348" s="12" t="b">
        <v>0</v>
      </c>
      <c r="T348" s="12" t="s">
        <v>62</v>
      </c>
      <c r="U348" s="15">
        <f t="shared" si="20"/>
        <v>663.69971699999996</v>
      </c>
      <c r="V348" s="15">
        <f t="shared" si="21"/>
        <v>4103.2439999999997</v>
      </c>
      <c r="W348" s="15">
        <f t="shared" si="22"/>
        <v>1439.2065</v>
      </c>
      <c r="X348" s="15">
        <f t="shared" si="23"/>
        <v>4052.2595000000001</v>
      </c>
    </row>
    <row r="349" spans="1:24">
      <c r="A349" s="12" t="s">
        <v>1111</v>
      </c>
      <c r="B349" s="12" t="s">
        <v>1112</v>
      </c>
      <c r="C349" s="12" t="s">
        <v>75</v>
      </c>
      <c r="D349" s="12" t="s">
        <v>76</v>
      </c>
      <c r="E349" s="12" t="s">
        <v>96</v>
      </c>
      <c r="F349" s="13">
        <v>4859.04</v>
      </c>
      <c r="G349" s="13">
        <v>13.01</v>
      </c>
      <c r="H349" s="13">
        <v>4226.74</v>
      </c>
      <c r="I349" s="13">
        <v>2.7</v>
      </c>
      <c r="J349" s="13">
        <v>10</v>
      </c>
      <c r="K349" s="13">
        <v>31</v>
      </c>
      <c r="L349" s="12" t="s">
        <v>1113</v>
      </c>
      <c r="M349" s="12">
        <v>3.5</v>
      </c>
      <c r="N349" s="14">
        <v>45537</v>
      </c>
      <c r="O349" s="13">
        <v>4</v>
      </c>
      <c r="P349" s="12" t="s">
        <v>40</v>
      </c>
      <c r="Q349" s="12" t="s">
        <v>31</v>
      </c>
      <c r="R349" s="12" t="s">
        <v>47</v>
      </c>
      <c r="S349" s="12" t="b">
        <v>0</v>
      </c>
      <c r="T349" s="12" t="s">
        <v>78</v>
      </c>
      <c r="U349" s="15">
        <f t="shared" si="20"/>
        <v>632.16110400000002</v>
      </c>
      <c r="V349" s="15">
        <f t="shared" si="21"/>
        <v>1943.616</v>
      </c>
      <c r="W349" s="15">
        <f t="shared" si="22"/>
        <v>634.01099999999997</v>
      </c>
      <c r="X349" s="15">
        <f t="shared" si="23"/>
        <v>1649.1130000000001</v>
      </c>
    </row>
    <row r="350" spans="1:24">
      <c r="A350" s="12" t="s">
        <v>1114</v>
      </c>
      <c r="B350" s="12" t="s">
        <v>1115</v>
      </c>
      <c r="C350" s="12" t="s">
        <v>59</v>
      </c>
      <c r="D350" s="12" t="s">
        <v>170</v>
      </c>
      <c r="E350" s="12" t="s">
        <v>112</v>
      </c>
      <c r="F350" s="13">
        <v>13871.32</v>
      </c>
      <c r="G350" s="13">
        <v>42.1</v>
      </c>
      <c r="H350" s="13">
        <v>8031.33</v>
      </c>
      <c r="I350" s="13">
        <v>4.0999999999999996</v>
      </c>
      <c r="J350" s="13">
        <v>15</v>
      </c>
      <c r="K350" s="13">
        <v>162</v>
      </c>
      <c r="L350" s="12" t="s">
        <v>1116</v>
      </c>
      <c r="M350" s="12">
        <v>3.1</v>
      </c>
      <c r="N350" s="14">
        <v>45429</v>
      </c>
      <c r="O350" s="13">
        <v>6</v>
      </c>
      <c r="P350" s="12" t="s">
        <v>117</v>
      </c>
      <c r="Q350" s="12" t="s">
        <v>55</v>
      </c>
      <c r="R350" s="12" t="s">
        <v>47</v>
      </c>
      <c r="S350" s="12" t="b">
        <v>0</v>
      </c>
      <c r="T350" s="12" t="s">
        <v>78</v>
      </c>
      <c r="U350" s="15">
        <f t="shared" si="20"/>
        <v>5839.8257199999998</v>
      </c>
      <c r="V350" s="15">
        <f t="shared" si="21"/>
        <v>5548.5280000000002</v>
      </c>
      <c r="W350" s="15">
        <f t="shared" si="22"/>
        <v>1204.6994999999999</v>
      </c>
      <c r="X350" s="15">
        <f t="shared" si="23"/>
        <v>1278.1025</v>
      </c>
    </row>
    <row r="351" spans="1:24">
      <c r="A351" s="12" t="s">
        <v>1117</v>
      </c>
      <c r="B351" s="12" t="s">
        <v>1118</v>
      </c>
      <c r="C351" s="12" t="s">
        <v>75</v>
      </c>
      <c r="D351" s="12" t="s">
        <v>135</v>
      </c>
      <c r="E351" s="12" t="s">
        <v>65</v>
      </c>
      <c r="F351" s="13">
        <v>3956.58</v>
      </c>
      <c r="G351" s="13">
        <v>42.85</v>
      </c>
      <c r="H351" s="13">
        <v>2261.25</v>
      </c>
      <c r="I351" s="13">
        <v>4.0999999999999996</v>
      </c>
      <c r="J351" s="13">
        <v>15</v>
      </c>
      <c r="K351" s="13">
        <v>84</v>
      </c>
      <c r="L351" s="12" t="s">
        <v>1119</v>
      </c>
      <c r="M351" s="12">
        <v>2.6</v>
      </c>
      <c r="N351" s="14">
        <v>45404</v>
      </c>
      <c r="O351" s="13">
        <v>5</v>
      </c>
      <c r="P351" s="12" t="s">
        <v>40</v>
      </c>
      <c r="Q351" s="12" t="s">
        <v>55</v>
      </c>
      <c r="R351" s="12" t="s">
        <v>72</v>
      </c>
      <c r="S351" s="12" t="b">
        <v>0</v>
      </c>
      <c r="T351" s="12" t="s">
        <v>56</v>
      </c>
      <c r="U351" s="15">
        <f t="shared" si="20"/>
        <v>1695.39453</v>
      </c>
      <c r="V351" s="15">
        <f t="shared" si="21"/>
        <v>1582.6320000000001</v>
      </c>
      <c r="W351" s="15">
        <f t="shared" si="22"/>
        <v>339.1875</v>
      </c>
      <c r="X351" s="15">
        <f t="shared" si="23"/>
        <v>339.43049999999999</v>
      </c>
    </row>
    <row r="352" spans="1:24">
      <c r="A352" s="12" t="s">
        <v>1120</v>
      </c>
      <c r="B352" s="12" t="s">
        <v>1121</v>
      </c>
      <c r="C352" s="12" t="s">
        <v>26</v>
      </c>
      <c r="D352" s="12" t="s">
        <v>313</v>
      </c>
      <c r="E352" s="12" t="s">
        <v>70</v>
      </c>
      <c r="F352" s="13">
        <v>25399.9</v>
      </c>
      <c r="G352" s="13">
        <v>30.49</v>
      </c>
      <c r="H352" s="13">
        <v>17654.71</v>
      </c>
      <c r="I352" s="13">
        <v>4.7</v>
      </c>
      <c r="J352" s="13">
        <v>6</v>
      </c>
      <c r="K352" s="13">
        <v>135</v>
      </c>
      <c r="L352" s="12" t="s">
        <v>1122</v>
      </c>
      <c r="M352" s="12">
        <v>2.8</v>
      </c>
      <c r="N352" s="14">
        <v>45798</v>
      </c>
      <c r="O352" s="13">
        <v>6</v>
      </c>
      <c r="P352" s="12" t="s">
        <v>117</v>
      </c>
      <c r="Q352" s="12" t="s">
        <v>46</v>
      </c>
      <c r="R352" s="12" t="s">
        <v>47</v>
      </c>
      <c r="S352" s="12" t="b">
        <v>0</v>
      </c>
      <c r="T352" s="12" t="s">
        <v>62</v>
      </c>
      <c r="U352" s="15">
        <f t="shared" si="20"/>
        <v>7744.4295099999999</v>
      </c>
      <c r="V352" s="15">
        <f t="shared" si="21"/>
        <v>10159.959999999999</v>
      </c>
      <c r="W352" s="15">
        <f t="shared" si="22"/>
        <v>2648.2064999999998</v>
      </c>
      <c r="X352" s="15">
        <f t="shared" si="23"/>
        <v>4846.5434999999998</v>
      </c>
    </row>
    <row r="353" spans="1:24">
      <c r="A353" s="12" t="s">
        <v>1123</v>
      </c>
      <c r="B353" s="12" t="s">
        <v>1124</v>
      </c>
      <c r="C353" s="12" t="s">
        <v>59</v>
      </c>
      <c r="D353" s="12" t="s">
        <v>60</v>
      </c>
      <c r="E353" s="12" t="s">
        <v>28</v>
      </c>
      <c r="F353" s="13">
        <v>9633.66</v>
      </c>
      <c r="G353" s="13">
        <v>13.6</v>
      </c>
      <c r="H353" s="13">
        <v>8323.39</v>
      </c>
      <c r="I353" s="13">
        <v>2.7</v>
      </c>
      <c r="J353" s="13">
        <v>5</v>
      </c>
      <c r="K353" s="13">
        <v>427</v>
      </c>
      <c r="L353" s="12" t="s">
        <v>1125</v>
      </c>
      <c r="M353" s="12">
        <v>3</v>
      </c>
      <c r="N353" s="14">
        <v>46049</v>
      </c>
      <c r="O353" s="13">
        <v>3</v>
      </c>
      <c r="P353" s="12" t="s">
        <v>45</v>
      </c>
      <c r="Q353" s="12" t="s">
        <v>46</v>
      </c>
      <c r="R353" s="12" t="s">
        <v>32</v>
      </c>
      <c r="S353" s="12" t="b">
        <v>0</v>
      </c>
      <c r="T353" s="12" t="s">
        <v>62</v>
      </c>
      <c r="U353" s="15">
        <f t="shared" si="20"/>
        <v>1310.17776</v>
      </c>
      <c r="V353" s="15">
        <f t="shared" si="21"/>
        <v>3853.4639999999999</v>
      </c>
      <c r="W353" s="15">
        <f t="shared" si="22"/>
        <v>1248.5084999999999</v>
      </c>
      <c r="X353" s="15">
        <f t="shared" si="23"/>
        <v>3221.4175</v>
      </c>
    </row>
    <row r="354" spans="1:24">
      <c r="A354" s="12" t="s">
        <v>1126</v>
      </c>
      <c r="B354" s="12" t="s">
        <v>1127</v>
      </c>
      <c r="C354" s="12" t="s">
        <v>75</v>
      </c>
      <c r="D354" s="12" t="s">
        <v>104</v>
      </c>
      <c r="E354" s="12" t="s">
        <v>96</v>
      </c>
      <c r="F354" s="13">
        <v>1502.04</v>
      </c>
      <c r="G354" s="13">
        <v>19.61</v>
      </c>
      <c r="H354" s="13">
        <v>1207.44</v>
      </c>
      <c r="I354" s="13">
        <v>3.7</v>
      </c>
      <c r="J354" s="13">
        <v>5</v>
      </c>
      <c r="K354" s="13">
        <v>153</v>
      </c>
      <c r="L354" s="12" t="s">
        <v>1128</v>
      </c>
      <c r="M354" s="12">
        <v>4.3</v>
      </c>
      <c r="N354" s="14">
        <v>45442</v>
      </c>
      <c r="O354" s="13">
        <v>1</v>
      </c>
      <c r="P354" s="12" t="s">
        <v>45</v>
      </c>
      <c r="Q354" s="12" t="s">
        <v>46</v>
      </c>
      <c r="R354" s="12" t="s">
        <v>32</v>
      </c>
      <c r="S354" s="12" t="b">
        <v>0</v>
      </c>
      <c r="T354" s="12" t="s">
        <v>56</v>
      </c>
      <c r="U354" s="15">
        <f t="shared" si="20"/>
        <v>294.55004400000001</v>
      </c>
      <c r="V354" s="15">
        <f t="shared" si="21"/>
        <v>600.81600000000003</v>
      </c>
      <c r="W354" s="15">
        <f t="shared" si="22"/>
        <v>181.11600000000001</v>
      </c>
      <c r="X354" s="15">
        <f t="shared" si="23"/>
        <v>425.50799999999998</v>
      </c>
    </row>
    <row r="355" spans="1:24">
      <c r="A355" s="12" t="s">
        <v>1129</v>
      </c>
      <c r="B355" s="12" t="s">
        <v>1130</v>
      </c>
      <c r="C355" s="12" t="s">
        <v>50</v>
      </c>
      <c r="D355" s="12" t="s">
        <v>213</v>
      </c>
      <c r="E355" s="12" t="s">
        <v>28</v>
      </c>
      <c r="F355" s="13">
        <v>451.48</v>
      </c>
      <c r="G355" s="13">
        <v>20.100000000000001</v>
      </c>
      <c r="H355" s="13">
        <v>360.72</v>
      </c>
      <c r="I355" s="13">
        <v>3.8</v>
      </c>
      <c r="J355" s="13">
        <v>18</v>
      </c>
      <c r="K355" s="13">
        <v>236</v>
      </c>
      <c r="L355" s="12" t="s">
        <v>1131</v>
      </c>
      <c r="M355" s="12">
        <v>4.9000000000000004</v>
      </c>
      <c r="N355" s="14">
        <v>45386</v>
      </c>
      <c r="O355" s="13">
        <v>5</v>
      </c>
      <c r="P355" s="12" t="s">
        <v>45</v>
      </c>
      <c r="Q355" s="12" t="s">
        <v>46</v>
      </c>
      <c r="R355" s="12" t="s">
        <v>32</v>
      </c>
      <c r="S355" s="12" t="b">
        <v>0</v>
      </c>
      <c r="T355" s="12" t="s">
        <v>78</v>
      </c>
      <c r="U355" s="15">
        <f t="shared" si="20"/>
        <v>90.747479999999996</v>
      </c>
      <c r="V355" s="15">
        <f t="shared" si="21"/>
        <v>180.59200000000001</v>
      </c>
      <c r="W355" s="15">
        <f t="shared" si="22"/>
        <v>54.107999999999997</v>
      </c>
      <c r="X355" s="15">
        <f t="shared" si="23"/>
        <v>126.02</v>
      </c>
    </row>
    <row r="356" spans="1:24">
      <c r="A356" s="12" t="s">
        <v>1132</v>
      </c>
      <c r="B356" s="12" t="s">
        <v>1133</v>
      </c>
      <c r="C356" s="12" t="s">
        <v>26</v>
      </c>
      <c r="D356" s="12" t="s">
        <v>123</v>
      </c>
      <c r="E356" s="12" t="s">
        <v>92</v>
      </c>
      <c r="F356" s="13">
        <v>15159.47</v>
      </c>
      <c r="G356" s="13">
        <v>6.77</v>
      </c>
      <c r="H356" s="13">
        <v>14132.9</v>
      </c>
      <c r="I356" s="13">
        <v>4</v>
      </c>
      <c r="J356" s="13">
        <v>11</v>
      </c>
      <c r="K356" s="13">
        <v>190</v>
      </c>
      <c r="L356" s="12" t="s">
        <v>1134</v>
      </c>
      <c r="M356" s="12">
        <v>4.3</v>
      </c>
      <c r="N356" s="14">
        <v>46044</v>
      </c>
      <c r="O356" s="13">
        <v>1</v>
      </c>
      <c r="P356" s="12" t="s">
        <v>54</v>
      </c>
      <c r="Q356" s="12" t="s">
        <v>31</v>
      </c>
      <c r="R356" s="12" t="s">
        <v>72</v>
      </c>
      <c r="S356" s="12" t="b">
        <v>0</v>
      </c>
      <c r="T356" s="12" t="s">
        <v>78</v>
      </c>
      <c r="U356" s="15">
        <f t="shared" si="20"/>
        <v>1026.2961190000001</v>
      </c>
      <c r="V356" s="15">
        <f t="shared" si="21"/>
        <v>6063.7879999999996</v>
      </c>
      <c r="W356" s="15">
        <f t="shared" si="22"/>
        <v>2119.9349999999999</v>
      </c>
      <c r="X356" s="15">
        <f t="shared" si="23"/>
        <v>5949.1769999999997</v>
      </c>
    </row>
    <row r="357" spans="1:24">
      <c r="A357" s="12" t="s">
        <v>1135</v>
      </c>
      <c r="B357" s="12" t="s">
        <v>1136</v>
      </c>
      <c r="C357" s="12" t="s">
        <v>26</v>
      </c>
      <c r="D357" s="12" t="s">
        <v>27</v>
      </c>
      <c r="E357" s="12" t="s">
        <v>70</v>
      </c>
      <c r="F357" s="13">
        <v>76006.7</v>
      </c>
      <c r="G357" s="13">
        <v>17.739999999999998</v>
      </c>
      <c r="H357" s="13">
        <v>62520.11</v>
      </c>
      <c r="I357" s="13">
        <v>4.5</v>
      </c>
      <c r="J357" s="13">
        <v>20</v>
      </c>
      <c r="K357" s="13">
        <v>47</v>
      </c>
      <c r="L357" s="12" t="s">
        <v>1137</v>
      </c>
      <c r="M357" s="12">
        <v>4.3</v>
      </c>
      <c r="N357" s="14">
        <v>45977</v>
      </c>
      <c r="O357" s="13">
        <v>2</v>
      </c>
      <c r="P357" s="12" t="s">
        <v>117</v>
      </c>
      <c r="Q357" s="12" t="s">
        <v>46</v>
      </c>
      <c r="R357" s="12" t="s">
        <v>32</v>
      </c>
      <c r="S357" s="12" t="b">
        <v>0</v>
      </c>
      <c r="T357" s="12" t="s">
        <v>56</v>
      </c>
      <c r="U357" s="15">
        <f t="shared" si="20"/>
        <v>13483.58858</v>
      </c>
      <c r="V357" s="15">
        <f t="shared" si="21"/>
        <v>30402.68</v>
      </c>
      <c r="W357" s="15">
        <f t="shared" si="22"/>
        <v>9378.0164999999997</v>
      </c>
      <c r="X357" s="15">
        <f t="shared" si="23"/>
        <v>22739.413499999999</v>
      </c>
    </row>
    <row r="358" spans="1:24">
      <c r="A358" s="12" t="s">
        <v>1138</v>
      </c>
      <c r="B358" s="12" t="s">
        <v>1139</v>
      </c>
      <c r="C358" s="12" t="s">
        <v>26</v>
      </c>
      <c r="D358" s="12" t="s">
        <v>123</v>
      </c>
      <c r="E358" s="12" t="s">
        <v>65</v>
      </c>
      <c r="F358" s="13">
        <v>25361.9</v>
      </c>
      <c r="G358" s="13">
        <v>19.91</v>
      </c>
      <c r="H358" s="13">
        <v>20311.27</v>
      </c>
      <c r="I358" s="13">
        <v>4.3</v>
      </c>
      <c r="J358" s="13">
        <v>32</v>
      </c>
      <c r="K358" s="13">
        <v>254</v>
      </c>
      <c r="L358" s="12" t="s">
        <v>1140</v>
      </c>
      <c r="M358" s="12">
        <v>3.1</v>
      </c>
      <c r="N358" s="14">
        <v>45504</v>
      </c>
      <c r="O358" s="13">
        <v>5</v>
      </c>
      <c r="P358" s="12" t="s">
        <v>117</v>
      </c>
      <c r="Q358" s="12" t="s">
        <v>55</v>
      </c>
      <c r="R358" s="12" t="s">
        <v>86</v>
      </c>
      <c r="S358" s="12" t="b">
        <v>0</v>
      </c>
      <c r="T358" s="12" t="s">
        <v>78</v>
      </c>
      <c r="U358" s="15">
        <f t="shared" si="20"/>
        <v>5049.55429</v>
      </c>
      <c r="V358" s="15">
        <f t="shared" si="21"/>
        <v>10144.76</v>
      </c>
      <c r="W358" s="15">
        <f t="shared" si="22"/>
        <v>3046.6905000000002</v>
      </c>
      <c r="X358" s="15">
        <f t="shared" si="23"/>
        <v>7119.8194999999996</v>
      </c>
    </row>
    <row r="359" spans="1:24">
      <c r="A359" s="12" t="s">
        <v>1141</v>
      </c>
      <c r="B359" s="12" t="s">
        <v>1142</v>
      </c>
      <c r="C359" s="12" t="s">
        <v>59</v>
      </c>
      <c r="D359" s="12" t="s">
        <v>69</v>
      </c>
      <c r="E359" s="12" t="s">
        <v>92</v>
      </c>
      <c r="F359" s="13">
        <v>4671.74</v>
      </c>
      <c r="G359" s="13">
        <v>17.93</v>
      </c>
      <c r="H359" s="13">
        <v>3834.11</v>
      </c>
      <c r="I359" s="13">
        <v>3.4</v>
      </c>
      <c r="J359" s="13">
        <v>5</v>
      </c>
      <c r="K359" s="13">
        <v>452</v>
      </c>
      <c r="L359" s="12" t="s">
        <v>1143</v>
      </c>
      <c r="M359" s="12">
        <v>4.4000000000000004</v>
      </c>
      <c r="N359" s="14">
        <v>46080</v>
      </c>
      <c r="O359" s="13">
        <v>5</v>
      </c>
      <c r="P359" s="12" t="s">
        <v>30</v>
      </c>
      <c r="Q359" s="12" t="s">
        <v>46</v>
      </c>
      <c r="R359" s="12" t="s">
        <v>47</v>
      </c>
      <c r="S359" s="12" t="b">
        <v>0</v>
      </c>
      <c r="T359" s="12" t="s">
        <v>62</v>
      </c>
      <c r="U359" s="15">
        <f t="shared" si="20"/>
        <v>837.64298199999996</v>
      </c>
      <c r="V359" s="15">
        <f t="shared" si="21"/>
        <v>1868.6959999999999</v>
      </c>
      <c r="W359" s="15">
        <f t="shared" si="22"/>
        <v>575.11649999999997</v>
      </c>
      <c r="X359" s="15">
        <f t="shared" si="23"/>
        <v>1390.2974999999999</v>
      </c>
    </row>
    <row r="360" spans="1:24">
      <c r="A360" s="12" t="s">
        <v>1144</v>
      </c>
      <c r="B360" s="12" t="s">
        <v>1145</v>
      </c>
      <c r="C360" s="12" t="s">
        <v>59</v>
      </c>
      <c r="D360" s="12" t="s">
        <v>170</v>
      </c>
      <c r="E360" s="12" t="s">
        <v>96</v>
      </c>
      <c r="F360" s="13">
        <v>14182.31</v>
      </c>
      <c r="G360" s="13">
        <v>14.39</v>
      </c>
      <c r="H360" s="13">
        <v>12141.98</v>
      </c>
      <c r="I360" s="13">
        <v>4.2</v>
      </c>
      <c r="J360" s="13">
        <v>15</v>
      </c>
      <c r="K360" s="13">
        <v>44</v>
      </c>
      <c r="L360" s="12" t="s">
        <v>1146</v>
      </c>
      <c r="M360" s="12">
        <v>3.2</v>
      </c>
      <c r="N360" s="14">
        <v>45412</v>
      </c>
      <c r="O360" s="13">
        <v>5</v>
      </c>
      <c r="P360" s="12" t="s">
        <v>45</v>
      </c>
      <c r="Q360" s="12" t="s">
        <v>55</v>
      </c>
      <c r="R360" s="12" t="s">
        <v>47</v>
      </c>
      <c r="S360" s="12" t="b">
        <v>0</v>
      </c>
      <c r="T360" s="12" t="s">
        <v>56</v>
      </c>
      <c r="U360" s="15">
        <f t="shared" si="20"/>
        <v>2040.8344090000001</v>
      </c>
      <c r="V360" s="15">
        <f t="shared" si="21"/>
        <v>5672.924</v>
      </c>
      <c r="W360" s="15">
        <f t="shared" si="22"/>
        <v>1821.297</v>
      </c>
      <c r="X360" s="15">
        <f t="shared" si="23"/>
        <v>4647.759</v>
      </c>
    </row>
    <row r="361" spans="1:24">
      <c r="A361" s="12" t="s">
        <v>1147</v>
      </c>
      <c r="B361" s="12" t="s">
        <v>1148</v>
      </c>
      <c r="C361" s="12" t="s">
        <v>75</v>
      </c>
      <c r="D361" s="12" t="s">
        <v>76</v>
      </c>
      <c r="E361" s="12" t="s">
        <v>131</v>
      </c>
      <c r="F361" s="13">
        <v>2338.0500000000002</v>
      </c>
      <c r="G361" s="13">
        <v>33.51</v>
      </c>
      <c r="H361" s="13">
        <v>1554.46</v>
      </c>
      <c r="I361" s="13">
        <v>3.4</v>
      </c>
      <c r="J361" s="13">
        <v>36</v>
      </c>
      <c r="K361" s="13">
        <v>406</v>
      </c>
      <c r="L361" s="12" t="s">
        <v>1149</v>
      </c>
      <c r="M361" s="12">
        <v>3.4</v>
      </c>
      <c r="N361" s="14">
        <v>46112</v>
      </c>
      <c r="O361" s="13">
        <v>5</v>
      </c>
      <c r="P361" s="12" t="s">
        <v>54</v>
      </c>
      <c r="Q361" s="12" t="s">
        <v>55</v>
      </c>
      <c r="R361" s="12" t="s">
        <v>72</v>
      </c>
      <c r="S361" s="12" t="b">
        <v>0</v>
      </c>
      <c r="T361" s="12" t="s">
        <v>56</v>
      </c>
      <c r="U361" s="15">
        <f t="shared" si="20"/>
        <v>783.48055499999998</v>
      </c>
      <c r="V361" s="15">
        <f t="shared" si="21"/>
        <v>935.22</v>
      </c>
      <c r="W361" s="15">
        <f t="shared" si="22"/>
        <v>233.16900000000001</v>
      </c>
      <c r="X361" s="15">
        <f t="shared" si="23"/>
        <v>386.07100000000003</v>
      </c>
    </row>
    <row r="362" spans="1:24">
      <c r="A362" s="12" t="s">
        <v>1150</v>
      </c>
      <c r="B362" s="12" t="s">
        <v>1151</v>
      </c>
      <c r="C362" s="12" t="s">
        <v>36</v>
      </c>
      <c r="D362" s="12" t="s">
        <v>37</v>
      </c>
      <c r="E362" s="12" t="s">
        <v>112</v>
      </c>
      <c r="F362" s="13">
        <v>9897.52</v>
      </c>
      <c r="G362" s="13">
        <v>44.38</v>
      </c>
      <c r="H362" s="13">
        <v>5504.97</v>
      </c>
      <c r="I362" s="13">
        <v>3.7</v>
      </c>
      <c r="J362" s="13">
        <v>28</v>
      </c>
      <c r="K362" s="13">
        <v>198</v>
      </c>
      <c r="L362" s="12" t="s">
        <v>1152</v>
      </c>
      <c r="M362" s="12">
        <v>2.6</v>
      </c>
      <c r="N362" s="14">
        <v>45847</v>
      </c>
      <c r="O362" s="13">
        <v>4</v>
      </c>
      <c r="P362" s="12" t="s">
        <v>45</v>
      </c>
      <c r="Q362" s="12" t="s">
        <v>46</v>
      </c>
      <c r="R362" s="12" t="s">
        <v>32</v>
      </c>
      <c r="S362" s="12" t="b">
        <v>0</v>
      </c>
      <c r="T362" s="12" t="s">
        <v>56</v>
      </c>
      <c r="U362" s="15">
        <f t="shared" si="20"/>
        <v>4392.5193760000002</v>
      </c>
      <c r="V362" s="15">
        <f t="shared" si="21"/>
        <v>3959.0079999999998</v>
      </c>
      <c r="W362" s="15">
        <f t="shared" si="22"/>
        <v>825.74549999999999</v>
      </c>
      <c r="X362" s="15">
        <f t="shared" si="23"/>
        <v>720.2165</v>
      </c>
    </row>
    <row r="363" spans="1:24">
      <c r="A363" s="12" t="s">
        <v>1153</v>
      </c>
      <c r="B363" s="12" t="s">
        <v>1154</v>
      </c>
      <c r="C363" s="12" t="s">
        <v>36</v>
      </c>
      <c r="D363" s="12" t="s">
        <v>43</v>
      </c>
      <c r="E363" s="12" t="s">
        <v>38</v>
      </c>
      <c r="F363" s="13">
        <v>14851.47</v>
      </c>
      <c r="G363" s="13">
        <v>6.35</v>
      </c>
      <c r="H363" s="13">
        <v>13908.26</v>
      </c>
      <c r="I363" s="13">
        <v>4.0999999999999996</v>
      </c>
      <c r="J363" s="13">
        <v>1</v>
      </c>
      <c r="K363" s="13">
        <v>271</v>
      </c>
      <c r="L363" s="12" t="s">
        <v>1155</v>
      </c>
      <c r="M363" s="12">
        <v>4.5</v>
      </c>
      <c r="N363" s="14">
        <v>45490</v>
      </c>
      <c r="O363" s="13">
        <v>4</v>
      </c>
      <c r="P363" s="12" t="s">
        <v>30</v>
      </c>
      <c r="Q363" s="12" t="s">
        <v>31</v>
      </c>
      <c r="R363" s="12" t="s">
        <v>47</v>
      </c>
      <c r="S363" s="12" t="b">
        <v>0</v>
      </c>
      <c r="T363" s="12" t="s">
        <v>78</v>
      </c>
      <c r="U363" s="15">
        <f t="shared" si="20"/>
        <v>943.06834500000002</v>
      </c>
      <c r="V363" s="15">
        <f t="shared" si="21"/>
        <v>5940.5879999999997</v>
      </c>
      <c r="W363" s="15">
        <f t="shared" si="22"/>
        <v>2086.239</v>
      </c>
      <c r="X363" s="15">
        <f t="shared" si="23"/>
        <v>5881.433</v>
      </c>
    </row>
    <row r="364" spans="1:24">
      <c r="A364" s="12" t="s">
        <v>1156</v>
      </c>
      <c r="B364" s="12" t="s">
        <v>1157</v>
      </c>
      <c r="C364" s="12" t="s">
        <v>26</v>
      </c>
      <c r="D364" s="12" t="s">
        <v>123</v>
      </c>
      <c r="E364" s="12" t="s">
        <v>100</v>
      </c>
      <c r="F364" s="13">
        <v>54456.72</v>
      </c>
      <c r="G364" s="13">
        <v>26.68</v>
      </c>
      <c r="H364" s="13">
        <v>39928.400000000001</v>
      </c>
      <c r="I364" s="13">
        <v>3.6</v>
      </c>
      <c r="J364" s="13">
        <v>3</v>
      </c>
      <c r="K364" s="13">
        <v>417</v>
      </c>
      <c r="L364" s="12" t="s">
        <v>81</v>
      </c>
      <c r="M364" s="12">
        <v>3.8</v>
      </c>
      <c r="N364" s="14">
        <v>45490</v>
      </c>
      <c r="O364" s="13">
        <v>3</v>
      </c>
      <c r="P364" s="12" t="s">
        <v>54</v>
      </c>
      <c r="Q364" s="12" t="s">
        <v>46</v>
      </c>
      <c r="R364" s="12" t="s">
        <v>86</v>
      </c>
      <c r="S364" s="12" t="b">
        <v>0</v>
      </c>
      <c r="T364" s="12" t="s">
        <v>56</v>
      </c>
      <c r="U364" s="15">
        <f t="shared" si="20"/>
        <v>14529.052895999999</v>
      </c>
      <c r="V364" s="15">
        <f t="shared" si="21"/>
        <v>21782.687999999998</v>
      </c>
      <c r="W364" s="15">
        <f t="shared" si="22"/>
        <v>5989.26</v>
      </c>
      <c r="X364" s="15">
        <f t="shared" si="23"/>
        <v>12156.451999999999</v>
      </c>
    </row>
    <row r="365" spans="1:24">
      <c r="A365" s="12" t="s">
        <v>1158</v>
      </c>
      <c r="B365" s="12" t="s">
        <v>1159</v>
      </c>
      <c r="C365" s="12" t="s">
        <v>75</v>
      </c>
      <c r="D365" s="12" t="s">
        <v>135</v>
      </c>
      <c r="E365" s="12" t="s">
        <v>70</v>
      </c>
      <c r="F365" s="13">
        <v>605.9</v>
      </c>
      <c r="G365" s="13">
        <v>15.97</v>
      </c>
      <c r="H365" s="13">
        <v>509.12</v>
      </c>
      <c r="I365" s="13">
        <v>4.0999999999999996</v>
      </c>
      <c r="J365" s="13">
        <v>227</v>
      </c>
      <c r="K365" s="13">
        <v>467</v>
      </c>
      <c r="L365" s="12" t="s">
        <v>1160</v>
      </c>
      <c r="M365" s="12">
        <v>4.7</v>
      </c>
      <c r="N365" s="14">
        <v>45523</v>
      </c>
      <c r="O365" s="13">
        <v>4</v>
      </c>
      <c r="P365" s="12" t="s">
        <v>45</v>
      </c>
      <c r="Q365" s="12" t="s">
        <v>31</v>
      </c>
      <c r="R365" s="12" t="s">
        <v>72</v>
      </c>
      <c r="S365" s="12" t="b">
        <v>1</v>
      </c>
      <c r="T365" s="12" t="s">
        <v>33</v>
      </c>
      <c r="U365" s="15">
        <f t="shared" si="20"/>
        <v>96.762230000000002</v>
      </c>
      <c r="V365" s="15">
        <f t="shared" si="21"/>
        <v>242.36</v>
      </c>
      <c r="W365" s="15">
        <f t="shared" si="22"/>
        <v>76.367999999999995</v>
      </c>
      <c r="X365" s="15">
        <f t="shared" si="23"/>
        <v>190.392</v>
      </c>
    </row>
    <row r="366" spans="1:24">
      <c r="A366" s="12" t="s">
        <v>1161</v>
      </c>
      <c r="B366" s="12" t="s">
        <v>1162</v>
      </c>
      <c r="C366" s="12" t="s">
        <v>36</v>
      </c>
      <c r="D366" s="12" t="s">
        <v>108</v>
      </c>
      <c r="E366" s="12" t="s">
        <v>92</v>
      </c>
      <c r="F366" s="13">
        <v>4168.88</v>
      </c>
      <c r="G366" s="13">
        <v>43.95</v>
      </c>
      <c r="H366" s="13">
        <v>2336.64</v>
      </c>
      <c r="I366" s="13">
        <v>3.6</v>
      </c>
      <c r="J366" s="13">
        <v>49</v>
      </c>
      <c r="K366" s="13">
        <v>277</v>
      </c>
      <c r="L366" s="12" t="s">
        <v>1163</v>
      </c>
      <c r="M366" s="12">
        <v>4.9000000000000004</v>
      </c>
      <c r="N366" s="14">
        <v>45996</v>
      </c>
      <c r="O366" s="13">
        <v>2</v>
      </c>
      <c r="P366" s="12" t="s">
        <v>45</v>
      </c>
      <c r="Q366" s="12" t="s">
        <v>46</v>
      </c>
      <c r="R366" s="12" t="s">
        <v>86</v>
      </c>
      <c r="S366" s="12" t="b">
        <v>0</v>
      </c>
      <c r="T366" s="12" t="s">
        <v>78</v>
      </c>
      <c r="U366" s="15">
        <f t="shared" si="20"/>
        <v>1832.2227600000001</v>
      </c>
      <c r="V366" s="15">
        <f t="shared" si="21"/>
        <v>1667.5519999999999</v>
      </c>
      <c r="W366" s="15">
        <f t="shared" si="22"/>
        <v>350.49599999999998</v>
      </c>
      <c r="X366" s="15">
        <f t="shared" si="23"/>
        <v>318.59199999999998</v>
      </c>
    </row>
    <row r="367" spans="1:24">
      <c r="A367" s="12" t="s">
        <v>1164</v>
      </c>
      <c r="B367" s="12" t="s">
        <v>1165</v>
      </c>
      <c r="C367" s="12" t="s">
        <v>26</v>
      </c>
      <c r="D367" s="12" t="s">
        <v>27</v>
      </c>
      <c r="E367" s="12" t="s">
        <v>70</v>
      </c>
      <c r="F367" s="13">
        <v>62437.18</v>
      </c>
      <c r="G367" s="13">
        <v>5.64</v>
      </c>
      <c r="H367" s="13">
        <v>58913.53</v>
      </c>
      <c r="I367" s="13">
        <v>4.8</v>
      </c>
      <c r="J367" s="13">
        <v>19</v>
      </c>
      <c r="K367" s="13">
        <v>269</v>
      </c>
      <c r="L367" s="12" t="s">
        <v>1166</v>
      </c>
      <c r="M367" s="12">
        <v>4.4000000000000004</v>
      </c>
      <c r="N367" s="14">
        <v>45466</v>
      </c>
      <c r="O367" s="13">
        <v>1</v>
      </c>
      <c r="P367" s="12" t="s">
        <v>45</v>
      </c>
      <c r="Q367" s="12" t="s">
        <v>46</v>
      </c>
      <c r="R367" s="12" t="s">
        <v>72</v>
      </c>
      <c r="S367" s="12" t="b">
        <v>0</v>
      </c>
      <c r="T367" s="12" t="s">
        <v>62</v>
      </c>
      <c r="U367" s="15">
        <f t="shared" si="20"/>
        <v>3521.456952</v>
      </c>
      <c r="V367" s="15">
        <f t="shared" si="21"/>
        <v>24974.871999999999</v>
      </c>
      <c r="W367" s="15">
        <f t="shared" si="22"/>
        <v>8837.0295000000006</v>
      </c>
      <c r="X367" s="15">
        <f t="shared" si="23"/>
        <v>25101.628499999999</v>
      </c>
    </row>
    <row r="368" spans="1:24">
      <c r="A368" s="12" t="s">
        <v>1167</v>
      </c>
      <c r="B368" s="12" t="s">
        <v>1168</v>
      </c>
      <c r="C368" s="12" t="s">
        <v>75</v>
      </c>
      <c r="D368" s="12" t="s">
        <v>135</v>
      </c>
      <c r="E368" s="12" t="s">
        <v>112</v>
      </c>
      <c r="F368" s="13">
        <v>769.74</v>
      </c>
      <c r="G368" s="13">
        <v>12.7</v>
      </c>
      <c r="H368" s="13">
        <v>671.98</v>
      </c>
      <c r="I368" s="13">
        <v>3.4</v>
      </c>
      <c r="J368" s="13">
        <v>70</v>
      </c>
      <c r="K368" s="13">
        <v>30</v>
      </c>
      <c r="L368" s="12" t="s">
        <v>1169</v>
      </c>
      <c r="M368" s="12">
        <v>3.5</v>
      </c>
      <c r="N368" s="14">
        <v>45780</v>
      </c>
      <c r="O368" s="13">
        <v>1</v>
      </c>
      <c r="P368" s="12" t="s">
        <v>54</v>
      </c>
      <c r="Q368" s="12" t="s">
        <v>46</v>
      </c>
      <c r="R368" s="12" t="s">
        <v>47</v>
      </c>
      <c r="S368" s="12" t="b">
        <v>0</v>
      </c>
      <c r="T368" s="12" t="s">
        <v>78</v>
      </c>
      <c r="U368" s="15">
        <f t="shared" si="20"/>
        <v>97.756979999999999</v>
      </c>
      <c r="V368" s="15">
        <f t="shared" si="21"/>
        <v>307.89600000000002</v>
      </c>
      <c r="W368" s="15">
        <f t="shared" si="22"/>
        <v>100.797</v>
      </c>
      <c r="X368" s="15">
        <f t="shared" si="23"/>
        <v>263.28699999999998</v>
      </c>
    </row>
    <row r="369" spans="1:24">
      <c r="A369" s="12" t="s">
        <v>1170</v>
      </c>
      <c r="B369" s="12" t="s">
        <v>1171</v>
      </c>
      <c r="C369" s="12" t="s">
        <v>36</v>
      </c>
      <c r="D369" s="12" t="s">
        <v>37</v>
      </c>
      <c r="E369" s="12" t="s">
        <v>84</v>
      </c>
      <c r="F369" s="13">
        <v>12709.23</v>
      </c>
      <c r="G369" s="13">
        <v>26.72</v>
      </c>
      <c r="H369" s="13">
        <v>9313.06</v>
      </c>
      <c r="I369" s="13">
        <v>4.3</v>
      </c>
      <c r="J369" s="13">
        <v>60</v>
      </c>
      <c r="K369" s="13">
        <v>202</v>
      </c>
      <c r="L369" s="12" t="s">
        <v>1172</v>
      </c>
      <c r="M369" s="12">
        <v>3.2</v>
      </c>
      <c r="N369" s="14">
        <v>46071</v>
      </c>
      <c r="O369" s="13">
        <v>4</v>
      </c>
      <c r="P369" s="12" t="s">
        <v>30</v>
      </c>
      <c r="Q369" s="12" t="s">
        <v>55</v>
      </c>
      <c r="R369" s="12" t="s">
        <v>72</v>
      </c>
      <c r="S369" s="12" t="b">
        <v>0</v>
      </c>
      <c r="T369" s="12" t="s">
        <v>56</v>
      </c>
      <c r="U369" s="15">
        <f t="shared" si="20"/>
        <v>3395.9062560000002</v>
      </c>
      <c r="V369" s="15">
        <f t="shared" si="21"/>
        <v>5083.692</v>
      </c>
      <c r="W369" s="15">
        <f t="shared" si="22"/>
        <v>1396.9590000000001</v>
      </c>
      <c r="X369" s="15">
        <f t="shared" si="23"/>
        <v>2832.4090000000001</v>
      </c>
    </row>
    <row r="370" spans="1:24">
      <c r="A370" s="12" t="s">
        <v>1173</v>
      </c>
      <c r="B370" s="12" t="s">
        <v>1174</v>
      </c>
      <c r="C370" s="12" t="s">
        <v>75</v>
      </c>
      <c r="D370" s="12" t="s">
        <v>135</v>
      </c>
      <c r="E370" s="12" t="s">
        <v>28</v>
      </c>
      <c r="F370" s="13">
        <v>4843.8599999999997</v>
      </c>
      <c r="G370" s="13">
        <v>43.84</v>
      </c>
      <c r="H370" s="13">
        <v>2720.55</v>
      </c>
      <c r="I370" s="13">
        <v>3.5</v>
      </c>
      <c r="J370" s="13">
        <v>20</v>
      </c>
      <c r="K370" s="13">
        <v>491</v>
      </c>
      <c r="L370" s="12" t="s">
        <v>1175</v>
      </c>
      <c r="M370" s="12">
        <v>2.8</v>
      </c>
      <c r="N370" s="14">
        <v>45835</v>
      </c>
      <c r="O370" s="13">
        <v>6</v>
      </c>
      <c r="P370" s="12" t="s">
        <v>117</v>
      </c>
      <c r="Q370" s="12" t="s">
        <v>31</v>
      </c>
      <c r="R370" s="12" t="s">
        <v>72</v>
      </c>
      <c r="S370" s="12" t="b">
        <v>0</v>
      </c>
      <c r="T370" s="12" t="s">
        <v>78</v>
      </c>
      <c r="U370" s="15">
        <f t="shared" si="20"/>
        <v>2123.5482240000001</v>
      </c>
      <c r="V370" s="15">
        <f t="shared" si="21"/>
        <v>1937.5440000000001</v>
      </c>
      <c r="W370" s="15">
        <f t="shared" si="22"/>
        <v>408.08249999999998</v>
      </c>
      <c r="X370" s="15">
        <f t="shared" si="23"/>
        <v>374.92349999999999</v>
      </c>
    </row>
    <row r="371" spans="1:24">
      <c r="A371" s="12" t="s">
        <v>1176</v>
      </c>
      <c r="B371" s="12" t="s">
        <v>1177</v>
      </c>
      <c r="C371" s="12" t="s">
        <v>36</v>
      </c>
      <c r="D371" s="12" t="s">
        <v>108</v>
      </c>
      <c r="E371" s="12" t="s">
        <v>65</v>
      </c>
      <c r="F371" s="13">
        <v>14876.08</v>
      </c>
      <c r="G371" s="13">
        <v>37.71</v>
      </c>
      <c r="H371" s="13">
        <v>9266.65</v>
      </c>
      <c r="I371" s="13">
        <v>3.2</v>
      </c>
      <c r="J371" s="13">
        <v>48</v>
      </c>
      <c r="K371" s="13">
        <v>301</v>
      </c>
      <c r="L371" s="12" t="s">
        <v>1178</v>
      </c>
      <c r="M371" s="12">
        <v>4.9000000000000004</v>
      </c>
      <c r="N371" s="14">
        <v>46058</v>
      </c>
      <c r="O371" s="13">
        <v>5</v>
      </c>
      <c r="P371" s="12" t="s">
        <v>30</v>
      </c>
      <c r="Q371" s="12" t="s">
        <v>55</v>
      </c>
      <c r="R371" s="12" t="s">
        <v>72</v>
      </c>
      <c r="S371" s="12" t="b">
        <v>0</v>
      </c>
      <c r="T371" s="12" t="s">
        <v>62</v>
      </c>
      <c r="U371" s="15">
        <f t="shared" si="20"/>
        <v>5609.7697680000001</v>
      </c>
      <c r="V371" s="15">
        <f t="shared" si="21"/>
        <v>5950.4319999999998</v>
      </c>
      <c r="W371" s="15">
        <f t="shared" si="22"/>
        <v>1389.9974999999999</v>
      </c>
      <c r="X371" s="15">
        <f t="shared" si="23"/>
        <v>1926.2204999999999</v>
      </c>
    </row>
    <row r="372" spans="1:24">
      <c r="A372" s="12" t="s">
        <v>1179</v>
      </c>
      <c r="B372" s="12" t="s">
        <v>1180</v>
      </c>
      <c r="C372" s="12" t="s">
        <v>59</v>
      </c>
      <c r="D372" s="12" t="s">
        <v>69</v>
      </c>
      <c r="E372" s="12" t="s">
        <v>92</v>
      </c>
      <c r="F372" s="13">
        <v>6167.14</v>
      </c>
      <c r="G372" s="13">
        <v>33.520000000000003</v>
      </c>
      <c r="H372" s="13">
        <v>4100.1000000000004</v>
      </c>
      <c r="I372" s="13">
        <v>3.7</v>
      </c>
      <c r="J372" s="13">
        <v>21</v>
      </c>
      <c r="K372" s="13">
        <v>200</v>
      </c>
      <c r="L372" s="12" t="s">
        <v>1181</v>
      </c>
      <c r="M372" s="12">
        <v>4.8</v>
      </c>
      <c r="N372" s="14">
        <v>45994</v>
      </c>
      <c r="O372" s="13">
        <v>5</v>
      </c>
      <c r="P372" s="12" t="s">
        <v>40</v>
      </c>
      <c r="Q372" s="12" t="s">
        <v>46</v>
      </c>
      <c r="R372" s="12" t="s">
        <v>72</v>
      </c>
      <c r="S372" s="12" t="b">
        <v>0</v>
      </c>
      <c r="T372" s="12" t="s">
        <v>62</v>
      </c>
      <c r="U372" s="15">
        <f t="shared" si="20"/>
        <v>2067.225328</v>
      </c>
      <c r="V372" s="15">
        <f t="shared" si="21"/>
        <v>2466.8560000000002</v>
      </c>
      <c r="W372" s="15">
        <f t="shared" si="22"/>
        <v>615.01499999999999</v>
      </c>
      <c r="X372" s="15">
        <f t="shared" si="23"/>
        <v>1018.229</v>
      </c>
    </row>
    <row r="373" spans="1:24">
      <c r="A373" s="12" t="s">
        <v>1182</v>
      </c>
      <c r="B373" s="12" t="s">
        <v>1183</v>
      </c>
      <c r="C373" s="12" t="s">
        <v>75</v>
      </c>
      <c r="D373" s="12" t="s">
        <v>76</v>
      </c>
      <c r="E373" s="12" t="s">
        <v>65</v>
      </c>
      <c r="F373" s="13">
        <v>1073.1600000000001</v>
      </c>
      <c r="G373" s="13">
        <v>37.64</v>
      </c>
      <c r="H373" s="13">
        <v>669.22</v>
      </c>
      <c r="I373" s="13">
        <v>2.8</v>
      </c>
      <c r="J373" s="13">
        <v>19</v>
      </c>
      <c r="K373" s="13">
        <v>169</v>
      </c>
      <c r="L373" s="12" t="s">
        <v>1184</v>
      </c>
      <c r="M373" s="12">
        <v>4.3</v>
      </c>
      <c r="N373" s="14">
        <v>45643</v>
      </c>
      <c r="O373" s="13">
        <v>2</v>
      </c>
      <c r="P373" s="12" t="s">
        <v>40</v>
      </c>
      <c r="Q373" s="12" t="s">
        <v>46</v>
      </c>
      <c r="R373" s="12" t="s">
        <v>72</v>
      </c>
      <c r="S373" s="12" t="b">
        <v>0</v>
      </c>
      <c r="T373" s="12" t="s">
        <v>56</v>
      </c>
      <c r="U373" s="15">
        <f t="shared" si="20"/>
        <v>403.93742400000002</v>
      </c>
      <c r="V373" s="15">
        <f t="shared" si="21"/>
        <v>429.26400000000001</v>
      </c>
      <c r="W373" s="15">
        <f t="shared" si="22"/>
        <v>100.383</v>
      </c>
      <c r="X373" s="15">
        <f t="shared" si="23"/>
        <v>139.57300000000001</v>
      </c>
    </row>
    <row r="374" spans="1:24">
      <c r="A374" s="12" t="s">
        <v>1185</v>
      </c>
      <c r="B374" s="12" t="s">
        <v>1186</v>
      </c>
      <c r="C374" s="12" t="s">
        <v>75</v>
      </c>
      <c r="D374" s="12" t="s">
        <v>76</v>
      </c>
      <c r="E374" s="12" t="s">
        <v>84</v>
      </c>
      <c r="F374" s="13">
        <v>1031.98</v>
      </c>
      <c r="G374" s="13">
        <v>25.27</v>
      </c>
      <c r="H374" s="13">
        <v>771.21</v>
      </c>
      <c r="I374" s="13">
        <v>3.8</v>
      </c>
      <c r="J374" s="13">
        <v>14</v>
      </c>
      <c r="K374" s="13">
        <v>135</v>
      </c>
      <c r="L374" s="12" t="s">
        <v>1187</v>
      </c>
      <c r="M374" s="12">
        <v>3.9</v>
      </c>
      <c r="N374" s="14">
        <v>45879</v>
      </c>
      <c r="O374" s="13">
        <v>5</v>
      </c>
      <c r="P374" s="12" t="s">
        <v>30</v>
      </c>
      <c r="Q374" s="12" t="s">
        <v>46</v>
      </c>
      <c r="R374" s="12" t="s">
        <v>32</v>
      </c>
      <c r="S374" s="12" t="b">
        <v>0</v>
      </c>
      <c r="T374" s="12" t="s">
        <v>56</v>
      </c>
      <c r="U374" s="15">
        <f t="shared" si="20"/>
        <v>260.78134599999998</v>
      </c>
      <c r="V374" s="15">
        <f t="shared" si="21"/>
        <v>412.79199999999997</v>
      </c>
      <c r="W374" s="15">
        <f t="shared" si="22"/>
        <v>115.6815</v>
      </c>
      <c r="X374" s="15">
        <f t="shared" si="23"/>
        <v>242.73650000000001</v>
      </c>
    </row>
    <row r="375" spans="1:24">
      <c r="A375" s="12" t="s">
        <v>1188</v>
      </c>
      <c r="B375" s="12" t="s">
        <v>1189</v>
      </c>
      <c r="C375" s="12" t="s">
        <v>59</v>
      </c>
      <c r="D375" s="12" t="s">
        <v>69</v>
      </c>
      <c r="E375" s="12" t="s">
        <v>28</v>
      </c>
      <c r="F375" s="13">
        <v>11428.58</v>
      </c>
      <c r="G375" s="13">
        <v>22.49</v>
      </c>
      <c r="H375" s="13">
        <v>8857.99</v>
      </c>
      <c r="I375" s="13">
        <v>3.7</v>
      </c>
      <c r="J375" s="13">
        <v>16</v>
      </c>
      <c r="K375" s="13">
        <v>224</v>
      </c>
      <c r="L375" s="12" t="s">
        <v>1190</v>
      </c>
      <c r="M375" s="12">
        <v>2.7</v>
      </c>
      <c r="N375" s="14">
        <v>45652</v>
      </c>
      <c r="O375" s="13">
        <v>3</v>
      </c>
      <c r="P375" s="12" t="s">
        <v>40</v>
      </c>
      <c r="Q375" s="12" t="s">
        <v>46</v>
      </c>
      <c r="R375" s="12" t="s">
        <v>86</v>
      </c>
      <c r="S375" s="12" t="b">
        <v>0</v>
      </c>
      <c r="T375" s="12" t="s">
        <v>56</v>
      </c>
      <c r="U375" s="15">
        <f t="shared" si="20"/>
        <v>2570.2876419999998</v>
      </c>
      <c r="V375" s="15">
        <f t="shared" si="21"/>
        <v>4571.4319999999998</v>
      </c>
      <c r="W375" s="15">
        <f t="shared" si="22"/>
        <v>1328.6985</v>
      </c>
      <c r="X375" s="15">
        <f t="shared" si="23"/>
        <v>2957.8595</v>
      </c>
    </row>
    <row r="376" spans="1:24">
      <c r="A376" s="12" t="s">
        <v>1191</v>
      </c>
      <c r="B376" s="12" t="s">
        <v>1192</v>
      </c>
      <c r="C376" s="12" t="s">
        <v>50</v>
      </c>
      <c r="D376" s="12" t="s">
        <v>51</v>
      </c>
      <c r="E376" s="12" t="s">
        <v>131</v>
      </c>
      <c r="F376" s="13">
        <v>620.72</v>
      </c>
      <c r="G376" s="13">
        <v>45.11</v>
      </c>
      <c r="H376" s="13">
        <v>340.72</v>
      </c>
      <c r="I376" s="13">
        <v>2.8</v>
      </c>
      <c r="J376" s="13">
        <v>13</v>
      </c>
      <c r="K376" s="13">
        <v>403</v>
      </c>
      <c r="L376" s="12" t="s">
        <v>1193</v>
      </c>
      <c r="M376" s="12">
        <v>3.5</v>
      </c>
      <c r="N376" s="14">
        <v>46103</v>
      </c>
      <c r="O376" s="13">
        <v>5</v>
      </c>
      <c r="P376" s="12" t="s">
        <v>117</v>
      </c>
      <c r="Q376" s="12" t="s">
        <v>46</v>
      </c>
      <c r="R376" s="12" t="s">
        <v>86</v>
      </c>
      <c r="S376" s="12" t="b">
        <v>0</v>
      </c>
      <c r="T376" s="12" t="s">
        <v>78</v>
      </c>
      <c r="U376" s="15">
        <f t="shared" si="20"/>
        <v>280.00679200000002</v>
      </c>
      <c r="V376" s="15">
        <f t="shared" si="21"/>
        <v>248.28800000000001</v>
      </c>
      <c r="W376" s="15">
        <f t="shared" si="22"/>
        <v>51.107999999999997</v>
      </c>
      <c r="X376" s="15">
        <f t="shared" si="23"/>
        <v>41.323999999999998</v>
      </c>
    </row>
    <row r="377" spans="1:24">
      <c r="A377" s="12" t="s">
        <v>1194</v>
      </c>
      <c r="B377" s="12" t="s">
        <v>1195</v>
      </c>
      <c r="C377" s="12" t="s">
        <v>26</v>
      </c>
      <c r="D377" s="12" t="s">
        <v>313</v>
      </c>
      <c r="E377" s="12" t="s">
        <v>38</v>
      </c>
      <c r="F377" s="13">
        <v>55438.04</v>
      </c>
      <c r="G377" s="13">
        <v>9.49</v>
      </c>
      <c r="H377" s="13">
        <v>50176.19</v>
      </c>
      <c r="I377" s="13">
        <v>5</v>
      </c>
      <c r="J377" s="13">
        <v>40</v>
      </c>
      <c r="K377" s="13">
        <v>37</v>
      </c>
      <c r="L377" s="12" t="s">
        <v>1196</v>
      </c>
      <c r="M377" s="12">
        <v>4.5</v>
      </c>
      <c r="N377" s="14">
        <v>46093</v>
      </c>
      <c r="O377" s="13">
        <v>5</v>
      </c>
      <c r="P377" s="12" t="s">
        <v>30</v>
      </c>
      <c r="Q377" s="12" t="s">
        <v>46</v>
      </c>
      <c r="R377" s="12" t="s">
        <v>86</v>
      </c>
      <c r="S377" s="12" t="b">
        <v>0</v>
      </c>
      <c r="T377" s="12" t="s">
        <v>78</v>
      </c>
      <c r="U377" s="15">
        <f t="shared" si="20"/>
        <v>5261.0699960000002</v>
      </c>
      <c r="V377" s="15">
        <f t="shared" si="21"/>
        <v>22175.216</v>
      </c>
      <c r="W377" s="15">
        <f t="shared" si="22"/>
        <v>7526.4285</v>
      </c>
      <c r="X377" s="15">
        <f t="shared" si="23"/>
        <v>20474.5455</v>
      </c>
    </row>
    <row r="378" spans="1:24">
      <c r="A378" s="12" t="s">
        <v>1197</v>
      </c>
      <c r="B378" s="12" t="s">
        <v>1198</v>
      </c>
      <c r="C378" s="12" t="s">
        <v>26</v>
      </c>
      <c r="D378" s="12" t="s">
        <v>27</v>
      </c>
      <c r="E378" s="12" t="s">
        <v>112</v>
      </c>
      <c r="F378" s="13">
        <v>36945.33</v>
      </c>
      <c r="G378" s="13">
        <v>31.86</v>
      </c>
      <c r="H378" s="13">
        <v>25173.64</v>
      </c>
      <c r="I378" s="13">
        <v>4.0999999999999996</v>
      </c>
      <c r="J378" s="13">
        <v>2</v>
      </c>
      <c r="K378" s="13">
        <v>360</v>
      </c>
      <c r="L378" s="12" t="s">
        <v>1199</v>
      </c>
      <c r="M378" s="12">
        <v>3</v>
      </c>
      <c r="N378" s="14">
        <v>45681</v>
      </c>
      <c r="O378" s="13">
        <v>5</v>
      </c>
      <c r="P378" s="12" t="s">
        <v>45</v>
      </c>
      <c r="Q378" s="12" t="s">
        <v>55</v>
      </c>
      <c r="R378" s="12" t="s">
        <v>47</v>
      </c>
      <c r="S378" s="12" t="b">
        <v>0</v>
      </c>
      <c r="T378" s="12" t="s">
        <v>62</v>
      </c>
      <c r="U378" s="15">
        <f t="shared" si="20"/>
        <v>11770.782138</v>
      </c>
      <c r="V378" s="15">
        <f t="shared" si="21"/>
        <v>14778.132</v>
      </c>
      <c r="W378" s="15">
        <f t="shared" si="22"/>
        <v>3776.0459999999998</v>
      </c>
      <c r="X378" s="15">
        <f t="shared" si="23"/>
        <v>6619.4620000000004</v>
      </c>
    </row>
    <row r="379" spans="1:24">
      <c r="A379" s="12" t="s">
        <v>1200</v>
      </c>
      <c r="B379" s="12" t="s">
        <v>1201</v>
      </c>
      <c r="C379" s="12" t="s">
        <v>50</v>
      </c>
      <c r="D379" s="12" t="s">
        <v>130</v>
      </c>
      <c r="E379" s="12" t="s">
        <v>38</v>
      </c>
      <c r="F379" s="13">
        <v>2496.7600000000002</v>
      </c>
      <c r="G379" s="13">
        <v>29.36</v>
      </c>
      <c r="H379" s="13">
        <v>1763.67</v>
      </c>
      <c r="I379" s="13">
        <v>3.9</v>
      </c>
      <c r="J379" s="13">
        <v>8</v>
      </c>
      <c r="K379" s="13">
        <v>498</v>
      </c>
      <c r="L379" s="12" t="s">
        <v>1202</v>
      </c>
      <c r="M379" s="12">
        <v>3.2</v>
      </c>
      <c r="N379" s="14">
        <v>45578</v>
      </c>
      <c r="O379" s="13">
        <v>5</v>
      </c>
      <c r="P379" s="12" t="s">
        <v>40</v>
      </c>
      <c r="Q379" s="12" t="s">
        <v>55</v>
      </c>
      <c r="R379" s="12" t="s">
        <v>72</v>
      </c>
      <c r="S379" s="12" t="b">
        <v>1</v>
      </c>
      <c r="T379" s="12" t="s">
        <v>33</v>
      </c>
      <c r="U379" s="15">
        <f t="shared" si="20"/>
        <v>733.04873599999996</v>
      </c>
      <c r="V379" s="15">
        <f t="shared" si="21"/>
        <v>998.70399999999995</v>
      </c>
      <c r="W379" s="15">
        <f t="shared" si="22"/>
        <v>264.5505</v>
      </c>
      <c r="X379" s="15">
        <f t="shared" si="23"/>
        <v>500.41550000000001</v>
      </c>
    </row>
    <row r="380" spans="1:24">
      <c r="A380" s="12" t="s">
        <v>1203</v>
      </c>
      <c r="B380" s="12" t="s">
        <v>1204</v>
      </c>
      <c r="C380" s="12" t="s">
        <v>59</v>
      </c>
      <c r="D380" s="12" t="s">
        <v>170</v>
      </c>
      <c r="E380" s="12" t="s">
        <v>70</v>
      </c>
      <c r="F380" s="13">
        <v>6163.94</v>
      </c>
      <c r="G380" s="13">
        <v>34.380000000000003</v>
      </c>
      <c r="H380" s="13">
        <v>4044.61</v>
      </c>
      <c r="I380" s="13">
        <v>3.3</v>
      </c>
      <c r="J380" s="13">
        <v>23</v>
      </c>
      <c r="K380" s="13">
        <v>292</v>
      </c>
      <c r="L380" s="12" t="s">
        <v>1205</v>
      </c>
      <c r="M380" s="12">
        <v>5</v>
      </c>
      <c r="N380" s="14">
        <v>45508</v>
      </c>
      <c r="O380" s="13">
        <v>2</v>
      </c>
      <c r="P380" s="12" t="s">
        <v>40</v>
      </c>
      <c r="Q380" s="12" t="s">
        <v>46</v>
      </c>
      <c r="R380" s="12" t="s">
        <v>32</v>
      </c>
      <c r="S380" s="12" t="b">
        <v>0</v>
      </c>
      <c r="T380" s="12" t="s">
        <v>56</v>
      </c>
      <c r="U380" s="15">
        <f t="shared" si="20"/>
        <v>2119.1625720000002</v>
      </c>
      <c r="V380" s="15">
        <f t="shared" si="21"/>
        <v>2465.576</v>
      </c>
      <c r="W380" s="15">
        <f t="shared" si="22"/>
        <v>606.69150000000002</v>
      </c>
      <c r="X380" s="15">
        <f t="shared" si="23"/>
        <v>972.34249999999997</v>
      </c>
    </row>
    <row r="381" spans="1:24">
      <c r="A381" s="12" t="s">
        <v>1206</v>
      </c>
      <c r="B381" s="12" t="s">
        <v>1207</v>
      </c>
      <c r="C381" s="12" t="s">
        <v>26</v>
      </c>
      <c r="D381" s="12" t="s">
        <v>148</v>
      </c>
      <c r="E381" s="12" t="s">
        <v>84</v>
      </c>
      <c r="F381" s="13">
        <v>57532.38</v>
      </c>
      <c r="G381" s="13">
        <v>30.63</v>
      </c>
      <c r="H381" s="13">
        <v>39908.14</v>
      </c>
      <c r="I381" s="13">
        <v>4.0999999999999996</v>
      </c>
      <c r="J381" s="13">
        <v>47</v>
      </c>
      <c r="K381" s="13">
        <v>320</v>
      </c>
      <c r="L381" s="12" t="s">
        <v>1208</v>
      </c>
      <c r="M381" s="12">
        <v>3.5</v>
      </c>
      <c r="N381" s="14">
        <v>45787</v>
      </c>
      <c r="O381" s="13">
        <v>4</v>
      </c>
      <c r="P381" s="12" t="s">
        <v>30</v>
      </c>
      <c r="Q381" s="12" t="s">
        <v>46</v>
      </c>
      <c r="R381" s="12" t="s">
        <v>32</v>
      </c>
      <c r="S381" s="12" t="b">
        <v>0</v>
      </c>
      <c r="T381" s="12" t="s">
        <v>78</v>
      </c>
      <c r="U381" s="15">
        <f t="shared" si="20"/>
        <v>17622.167993999999</v>
      </c>
      <c r="V381" s="15">
        <f t="shared" si="21"/>
        <v>23012.952000000001</v>
      </c>
      <c r="W381" s="15">
        <f t="shared" si="22"/>
        <v>5986.2209999999995</v>
      </c>
      <c r="X381" s="15">
        <f t="shared" si="23"/>
        <v>10908.967000000001</v>
      </c>
    </row>
    <row r="382" spans="1:24">
      <c r="A382" s="12" t="s">
        <v>1209</v>
      </c>
      <c r="B382" s="12" t="s">
        <v>1210</v>
      </c>
      <c r="C382" s="12" t="s">
        <v>75</v>
      </c>
      <c r="D382" s="12" t="s">
        <v>135</v>
      </c>
      <c r="E382" s="12" t="s">
        <v>100</v>
      </c>
      <c r="F382" s="13">
        <v>2543.83</v>
      </c>
      <c r="G382" s="13">
        <v>17.23</v>
      </c>
      <c r="H382" s="13">
        <v>2105.61</v>
      </c>
      <c r="I382" s="13">
        <v>4</v>
      </c>
      <c r="J382" s="13">
        <v>21</v>
      </c>
      <c r="K382" s="13">
        <v>432</v>
      </c>
      <c r="L382" s="12" t="s">
        <v>1211</v>
      </c>
      <c r="M382" s="12">
        <v>3.7</v>
      </c>
      <c r="N382" s="14">
        <v>45405</v>
      </c>
      <c r="O382" s="13">
        <v>2</v>
      </c>
      <c r="P382" s="12" t="s">
        <v>30</v>
      </c>
      <c r="Q382" s="12" t="s">
        <v>55</v>
      </c>
      <c r="R382" s="12" t="s">
        <v>86</v>
      </c>
      <c r="S382" s="12" t="b">
        <v>0</v>
      </c>
      <c r="T382" s="12" t="s">
        <v>56</v>
      </c>
      <c r="U382" s="15">
        <f t="shared" si="20"/>
        <v>438.30190900000002</v>
      </c>
      <c r="V382" s="15">
        <f t="shared" si="21"/>
        <v>1017.532</v>
      </c>
      <c r="W382" s="15">
        <f t="shared" si="22"/>
        <v>315.8415</v>
      </c>
      <c r="X382" s="15">
        <f t="shared" si="23"/>
        <v>772.23649999999998</v>
      </c>
    </row>
    <row r="383" spans="1:24">
      <c r="A383" s="12" t="s">
        <v>1212</v>
      </c>
      <c r="B383" s="12" t="s">
        <v>1213</v>
      </c>
      <c r="C383" s="12" t="s">
        <v>50</v>
      </c>
      <c r="D383" s="12" t="s">
        <v>213</v>
      </c>
      <c r="E383" s="12" t="s">
        <v>52</v>
      </c>
      <c r="F383" s="13">
        <v>2596.65</v>
      </c>
      <c r="G383" s="13">
        <v>10.14</v>
      </c>
      <c r="H383" s="13">
        <v>2333.4499999999998</v>
      </c>
      <c r="I383" s="13">
        <v>4</v>
      </c>
      <c r="J383" s="13">
        <v>19</v>
      </c>
      <c r="K383" s="13">
        <v>198</v>
      </c>
      <c r="L383" s="12" t="s">
        <v>1214</v>
      </c>
      <c r="M383" s="12">
        <v>4.0999999999999996</v>
      </c>
      <c r="N383" s="14">
        <v>45382</v>
      </c>
      <c r="O383" s="13">
        <v>5</v>
      </c>
      <c r="P383" s="12" t="s">
        <v>40</v>
      </c>
      <c r="Q383" s="12" t="s">
        <v>55</v>
      </c>
      <c r="R383" s="12" t="s">
        <v>86</v>
      </c>
      <c r="S383" s="12" t="b">
        <v>0</v>
      </c>
      <c r="T383" s="12" t="s">
        <v>56</v>
      </c>
      <c r="U383" s="15">
        <f t="shared" si="20"/>
        <v>263.30031000000002</v>
      </c>
      <c r="V383" s="15">
        <f t="shared" si="21"/>
        <v>1038.6600000000001</v>
      </c>
      <c r="W383" s="15">
        <f t="shared" si="22"/>
        <v>350.01749999999998</v>
      </c>
      <c r="X383" s="15">
        <f t="shared" si="23"/>
        <v>944.77250000000004</v>
      </c>
    </row>
    <row r="384" spans="1:24">
      <c r="A384" s="12" t="s">
        <v>1215</v>
      </c>
      <c r="B384" s="12" t="s">
        <v>1216</v>
      </c>
      <c r="C384" s="12" t="s">
        <v>75</v>
      </c>
      <c r="D384" s="12" t="s">
        <v>104</v>
      </c>
      <c r="E384" s="12" t="s">
        <v>38</v>
      </c>
      <c r="F384" s="13">
        <v>3417.05</v>
      </c>
      <c r="G384" s="13">
        <v>48.93</v>
      </c>
      <c r="H384" s="13">
        <v>1745.23</v>
      </c>
      <c r="I384" s="13">
        <v>5</v>
      </c>
      <c r="J384" s="13">
        <v>11</v>
      </c>
      <c r="K384" s="13">
        <v>134</v>
      </c>
      <c r="L384" s="12" t="s">
        <v>1217</v>
      </c>
      <c r="M384" s="12">
        <v>4.7</v>
      </c>
      <c r="N384" s="14">
        <v>45792</v>
      </c>
      <c r="O384" s="13">
        <v>5</v>
      </c>
      <c r="P384" s="12" t="s">
        <v>30</v>
      </c>
      <c r="Q384" s="12" t="s">
        <v>55</v>
      </c>
      <c r="R384" s="12" t="s">
        <v>32</v>
      </c>
      <c r="S384" s="12" t="b">
        <v>0</v>
      </c>
      <c r="T384" s="12" t="s">
        <v>78</v>
      </c>
      <c r="U384" s="15">
        <f t="shared" si="20"/>
        <v>1671.962565</v>
      </c>
      <c r="V384" s="15">
        <f t="shared" si="21"/>
        <v>1366.82</v>
      </c>
      <c r="W384" s="15">
        <f t="shared" si="22"/>
        <v>261.78449999999998</v>
      </c>
      <c r="X384" s="15">
        <f t="shared" si="23"/>
        <v>116.6255</v>
      </c>
    </row>
    <row r="385" spans="1:24">
      <c r="A385" s="12" t="s">
        <v>1218</v>
      </c>
      <c r="B385" s="12" t="s">
        <v>1219</v>
      </c>
      <c r="C385" s="12" t="s">
        <v>26</v>
      </c>
      <c r="D385" s="12" t="s">
        <v>27</v>
      </c>
      <c r="E385" s="12" t="s">
        <v>100</v>
      </c>
      <c r="F385" s="13">
        <v>27302.11</v>
      </c>
      <c r="G385" s="13">
        <v>29.44</v>
      </c>
      <c r="H385" s="13">
        <v>19265.2</v>
      </c>
      <c r="I385" s="13">
        <v>3.7</v>
      </c>
      <c r="J385" s="13">
        <v>15</v>
      </c>
      <c r="K385" s="13">
        <v>211</v>
      </c>
      <c r="L385" s="12" t="s">
        <v>1220</v>
      </c>
      <c r="M385" s="12">
        <v>3.2</v>
      </c>
      <c r="N385" s="14">
        <v>46112</v>
      </c>
      <c r="O385" s="13">
        <v>5</v>
      </c>
      <c r="P385" s="12" t="s">
        <v>30</v>
      </c>
      <c r="Q385" s="12" t="s">
        <v>31</v>
      </c>
      <c r="R385" s="12" t="s">
        <v>32</v>
      </c>
      <c r="S385" s="12" t="b">
        <v>0</v>
      </c>
      <c r="T385" s="12" t="s">
        <v>56</v>
      </c>
      <c r="U385" s="15">
        <f t="shared" si="20"/>
        <v>8037.7411840000004</v>
      </c>
      <c r="V385" s="15">
        <f t="shared" si="21"/>
        <v>10920.843999999999</v>
      </c>
      <c r="W385" s="15">
        <f t="shared" si="22"/>
        <v>2889.78</v>
      </c>
      <c r="X385" s="15">
        <f t="shared" si="23"/>
        <v>5454.576</v>
      </c>
    </row>
    <row r="386" spans="1:24">
      <c r="A386" s="12" t="s">
        <v>1221</v>
      </c>
      <c r="B386" s="12" t="s">
        <v>1222</v>
      </c>
      <c r="C386" s="12" t="s">
        <v>36</v>
      </c>
      <c r="D386" s="12" t="s">
        <v>37</v>
      </c>
      <c r="E386" s="12" t="s">
        <v>131</v>
      </c>
      <c r="F386" s="13">
        <v>2995.25</v>
      </c>
      <c r="G386" s="13">
        <v>44.54</v>
      </c>
      <c r="H386" s="13">
        <v>1661.03</v>
      </c>
      <c r="I386" s="13">
        <v>4.4000000000000004</v>
      </c>
      <c r="J386" s="13">
        <v>23</v>
      </c>
      <c r="K386" s="13">
        <v>243</v>
      </c>
      <c r="L386" s="12" t="s">
        <v>1223</v>
      </c>
      <c r="M386" s="12">
        <v>3.8</v>
      </c>
      <c r="N386" s="14">
        <v>45866</v>
      </c>
      <c r="O386" s="13">
        <v>4</v>
      </c>
      <c r="P386" s="12" t="s">
        <v>117</v>
      </c>
      <c r="Q386" s="12" t="s">
        <v>46</v>
      </c>
      <c r="R386" s="12" t="s">
        <v>86</v>
      </c>
      <c r="S386" s="12" t="b">
        <v>0</v>
      </c>
      <c r="T386" s="12" t="s">
        <v>62</v>
      </c>
      <c r="U386" s="15">
        <f t="shared" si="20"/>
        <v>1334.0843500000001</v>
      </c>
      <c r="V386" s="15">
        <f t="shared" si="21"/>
        <v>1198.0999999999999</v>
      </c>
      <c r="W386" s="15">
        <f t="shared" si="22"/>
        <v>249.15450000000001</v>
      </c>
      <c r="X386" s="15">
        <f t="shared" si="23"/>
        <v>213.77549999999999</v>
      </c>
    </row>
    <row r="387" spans="1:24">
      <c r="A387" s="12" t="s">
        <v>1224</v>
      </c>
      <c r="B387" s="12" t="s">
        <v>1225</v>
      </c>
      <c r="C387" s="12" t="s">
        <v>26</v>
      </c>
      <c r="D387" s="12" t="s">
        <v>123</v>
      </c>
      <c r="E387" s="12" t="s">
        <v>84</v>
      </c>
      <c r="F387" s="13">
        <v>28934.26</v>
      </c>
      <c r="G387" s="13">
        <v>32.700000000000003</v>
      </c>
      <c r="H387" s="13">
        <v>19472.95</v>
      </c>
      <c r="I387" s="13">
        <v>4</v>
      </c>
      <c r="J387" s="13">
        <v>39</v>
      </c>
      <c r="K387" s="13">
        <v>497</v>
      </c>
      <c r="L387" s="12" t="s">
        <v>1226</v>
      </c>
      <c r="M387" s="12">
        <v>4.9000000000000004</v>
      </c>
      <c r="N387" s="14">
        <v>45940</v>
      </c>
      <c r="O387" s="13">
        <v>2</v>
      </c>
      <c r="P387" s="12" t="s">
        <v>117</v>
      </c>
      <c r="Q387" s="12" t="s">
        <v>46</v>
      </c>
      <c r="R387" s="12" t="s">
        <v>47</v>
      </c>
      <c r="S387" s="12" t="b">
        <v>0</v>
      </c>
      <c r="T387" s="12" t="s">
        <v>78</v>
      </c>
      <c r="U387" s="15">
        <f t="shared" ref="U387:U450" si="24">F387*(G387/100)</f>
        <v>9461.5030200000001</v>
      </c>
      <c r="V387" s="15">
        <f t="shared" ref="V387:V450" si="25">F387*0.4</f>
        <v>11573.704</v>
      </c>
      <c r="W387" s="15">
        <f t="shared" ref="W387:W450" si="26">H387*0.15</f>
        <v>2920.9425000000001</v>
      </c>
      <c r="X387" s="15">
        <f t="shared" ref="X387:X450" si="27">H387-V387-W387</f>
        <v>4978.3035</v>
      </c>
    </row>
    <row r="388" spans="1:24">
      <c r="A388" s="12" t="s">
        <v>1227</v>
      </c>
      <c r="B388" s="12" t="s">
        <v>1228</v>
      </c>
      <c r="C388" s="12" t="s">
        <v>50</v>
      </c>
      <c r="D388" s="12" t="s">
        <v>130</v>
      </c>
      <c r="E388" s="12" t="s">
        <v>100</v>
      </c>
      <c r="F388" s="13">
        <v>1050.3399999999999</v>
      </c>
      <c r="G388" s="13">
        <v>6.81</v>
      </c>
      <c r="H388" s="13">
        <v>978.78</v>
      </c>
      <c r="I388" s="13">
        <v>4</v>
      </c>
      <c r="J388" s="13">
        <v>1</v>
      </c>
      <c r="K388" s="13">
        <v>75</v>
      </c>
      <c r="L388" s="12" t="s">
        <v>1229</v>
      </c>
      <c r="M388" s="12">
        <v>4.2</v>
      </c>
      <c r="N388" s="14">
        <v>46051</v>
      </c>
      <c r="O388" s="13">
        <v>6</v>
      </c>
      <c r="P388" s="12" t="s">
        <v>117</v>
      </c>
      <c r="Q388" s="12" t="s">
        <v>55</v>
      </c>
      <c r="R388" s="12" t="s">
        <v>32</v>
      </c>
      <c r="S388" s="12" t="b">
        <v>0</v>
      </c>
      <c r="T388" s="12" t="s">
        <v>78</v>
      </c>
      <c r="U388" s="15">
        <f t="shared" si="24"/>
        <v>71.528154000000001</v>
      </c>
      <c r="V388" s="15">
        <f t="shared" si="25"/>
        <v>420.13600000000002</v>
      </c>
      <c r="W388" s="15">
        <f t="shared" si="26"/>
        <v>146.81700000000001</v>
      </c>
      <c r="X388" s="15">
        <f t="shared" si="27"/>
        <v>411.827</v>
      </c>
    </row>
    <row r="389" spans="1:24">
      <c r="A389" s="12" t="s">
        <v>1230</v>
      </c>
      <c r="B389" s="12" t="s">
        <v>1231</v>
      </c>
      <c r="C389" s="12" t="s">
        <v>50</v>
      </c>
      <c r="D389" s="12" t="s">
        <v>213</v>
      </c>
      <c r="E389" s="12" t="s">
        <v>96</v>
      </c>
      <c r="F389" s="13">
        <v>305.92</v>
      </c>
      <c r="G389" s="13">
        <v>8.8800000000000008</v>
      </c>
      <c r="H389" s="13">
        <v>278.77</v>
      </c>
      <c r="I389" s="13">
        <v>3.5</v>
      </c>
      <c r="J389" s="13">
        <v>46</v>
      </c>
      <c r="K389" s="13">
        <v>266</v>
      </c>
      <c r="L389" s="12" t="s">
        <v>1232</v>
      </c>
      <c r="M389" s="12">
        <v>4</v>
      </c>
      <c r="N389" s="14">
        <v>45676</v>
      </c>
      <c r="O389" s="13">
        <v>6</v>
      </c>
      <c r="P389" s="12" t="s">
        <v>45</v>
      </c>
      <c r="Q389" s="12" t="s">
        <v>46</v>
      </c>
      <c r="R389" s="12" t="s">
        <v>86</v>
      </c>
      <c r="S389" s="12" t="b">
        <v>0</v>
      </c>
      <c r="T389" s="12" t="s">
        <v>78</v>
      </c>
      <c r="U389" s="15">
        <f t="shared" si="24"/>
        <v>27.165696000000001</v>
      </c>
      <c r="V389" s="15">
        <f t="shared" si="25"/>
        <v>122.36799999999999</v>
      </c>
      <c r="W389" s="15">
        <f t="shared" si="26"/>
        <v>41.8155</v>
      </c>
      <c r="X389" s="15">
        <f t="shared" si="27"/>
        <v>114.5865</v>
      </c>
    </row>
    <row r="390" spans="1:24">
      <c r="A390" s="12" t="s">
        <v>1233</v>
      </c>
      <c r="B390" s="12" t="s">
        <v>1234</v>
      </c>
      <c r="C390" s="12" t="s">
        <v>50</v>
      </c>
      <c r="D390" s="12" t="s">
        <v>130</v>
      </c>
      <c r="E390" s="12" t="s">
        <v>92</v>
      </c>
      <c r="F390" s="13">
        <v>1108.56</v>
      </c>
      <c r="G390" s="13">
        <v>38.85</v>
      </c>
      <c r="H390" s="13">
        <v>677.93</v>
      </c>
      <c r="I390" s="13">
        <v>3.7</v>
      </c>
      <c r="J390" s="13">
        <v>5</v>
      </c>
      <c r="K390" s="13">
        <v>388</v>
      </c>
      <c r="L390" s="12" t="s">
        <v>1235</v>
      </c>
      <c r="M390" s="12">
        <v>3.4</v>
      </c>
      <c r="N390" s="14">
        <v>45434</v>
      </c>
      <c r="O390" s="13">
        <v>3</v>
      </c>
      <c r="P390" s="12" t="s">
        <v>45</v>
      </c>
      <c r="Q390" s="12" t="s">
        <v>46</v>
      </c>
      <c r="R390" s="12" t="s">
        <v>32</v>
      </c>
      <c r="S390" s="12" t="b">
        <v>0</v>
      </c>
      <c r="T390" s="12" t="s">
        <v>56</v>
      </c>
      <c r="U390" s="15">
        <f t="shared" si="24"/>
        <v>430.67556000000002</v>
      </c>
      <c r="V390" s="15">
        <f t="shared" si="25"/>
        <v>443.42399999999998</v>
      </c>
      <c r="W390" s="15">
        <f t="shared" si="26"/>
        <v>101.6895</v>
      </c>
      <c r="X390" s="15">
        <f t="shared" si="27"/>
        <v>132.81649999999999</v>
      </c>
    </row>
    <row r="391" spans="1:24">
      <c r="A391" s="12" t="s">
        <v>1236</v>
      </c>
      <c r="B391" s="12" t="s">
        <v>1237</v>
      </c>
      <c r="C391" s="12" t="s">
        <v>36</v>
      </c>
      <c r="D391" s="12" t="s">
        <v>37</v>
      </c>
      <c r="E391" s="12" t="s">
        <v>96</v>
      </c>
      <c r="F391" s="13">
        <v>11873.88</v>
      </c>
      <c r="G391" s="13">
        <v>31.94</v>
      </c>
      <c r="H391" s="13">
        <v>8081.92</v>
      </c>
      <c r="I391" s="13">
        <v>4.2</v>
      </c>
      <c r="J391" s="13">
        <v>18</v>
      </c>
      <c r="K391" s="13">
        <v>248</v>
      </c>
      <c r="L391" s="12" t="s">
        <v>1238</v>
      </c>
      <c r="M391" s="12">
        <v>3.5</v>
      </c>
      <c r="N391" s="14">
        <v>45714</v>
      </c>
      <c r="O391" s="13">
        <v>6</v>
      </c>
      <c r="P391" s="12" t="s">
        <v>30</v>
      </c>
      <c r="Q391" s="12" t="s">
        <v>46</v>
      </c>
      <c r="R391" s="12" t="s">
        <v>47</v>
      </c>
      <c r="S391" s="12" t="b">
        <v>1</v>
      </c>
      <c r="T391" s="12" t="s">
        <v>33</v>
      </c>
      <c r="U391" s="15">
        <f t="shared" si="24"/>
        <v>3792.517272</v>
      </c>
      <c r="V391" s="15">
        <f t="shared" si="25"/>
        <v>4749.5519999999997</v>
      </c>
      <c r="W391" s="15">
        <f t="shared" si="26"/>
        <v>1212.288</v>
      </c>
      <c r="X391" s="15">
        <f t="shared" si="27"/>
        <v>2120.08</v>
      </c>
    </row>
    <row r="392" spans="1:24">
      <c r="A392" s="12" t="s">
        <v>1239</v>
      </c>
      <c r="B392" s="12" t="s">
        <v>1240</v>
      </c>
      <c r="C392" s="12" t="s">
        <v>59</v>
      </c>
      <c r="D392" s="12" t="s">
        <v>170</v>
      </c>
      <c r="E392" s="12" t="s">
        <v>92</v>
      </c>
      <c r="F392" s="13">
        <v>1399.4</v>
      </c>
      <c r="G392" s="13">
        <v>40.450000000000003</v>
      </c>
      <c r="H392" s="13">
        <v>833.37</v>
      </c>
      <c r="I392" s="13">
        <v>4.2</v>
      </c>
      <c r="J392" s="13">
        <v>12</v>
      </c>
      <c r="K392" s="13">
        <v>355</v>
      </c>
      <c r="L392" s="12" t="s">
        <v>1241</v>
      </c>
      <c r="M392" s="12">
        <v>2.7</v>
      </c>
      <c r="N392" s="14">
        <v>45428</v>
      </c>
      <c r="O392" s="13">
        <v>3</v>
      </c>
      <c r="P392" s="12" t="s">
        <v>45</v>
      </c>
      <c r="Q392" s="12" t="s">
        <v>46</v>
      </c>
      <c r="R392" s="12" t="s">
        <v>86</v>
      </c>
      <c r="S392" s="12" t="b">
        <v>0</v>
      </c>
      <c r="T392" s="12" t="s">
        <v>56</v>
      </c>
      <c r="U392" s="15">
        <f t="shared" si="24"/>
        <v>566.05730000000005</v>
      </c>
      <c r="V392" s="15">
        <f t="shared" si="25"/>
        <v>559.76</v>
      </c>
      <c r="W392" s="15">
        <f t="shared" si="26"/>
        <v>125.0055</v>
      </c>
      <c r="X392" s="15">
        <f t="shared" si="27"/>
        <v>148.6045</v>
      </c>
    </row>
    <row r="393" spans="1:24">
      <c r="A393" s="12" t="s">
        <v>1242</v>
      </c>
      <c r="B393" s="12" t="s">
        <v>1243</v>
      </c>
      <c r="C393" s="12" t="s">
        <v>75</v>
      </c>
      <c r="D393" s="12" t="s">
        <v>135</v>
      </c>
      <c r="E393" s="12" t="s">
        <v>28</v>
      </c>
      <c r="F393" s="13">
        <v>1235.1500000000001</v>
      </c>
      <c r="G393" s="13">
        <v>13.07</v>
      </c>
      <c r="H393" s="13">
        <v>1073.73</v>
      </c>
      <c r="I393" s="13">
        <v>4</v>
      </c>
      <c r="J393" s="13">
        <v>1</v>
      </c>
      <c r="K393" s="13">
        <v>10</v>
      </c>
      <c r="L393" s="12" t="s">
        <v>1244</v>
      </c>
      <c r="M393" s="12">
        <v>3.2</v>
      </c>
      <c r="N393" s="14">
        <v>45973</v>
      </c>
      <c r="O393" s="13">
        <v>3</v>
      </c>
      <c r="P393" s="12" t="s">
        <v>117</v>
      </c>
      <c r="Q393" s="12" t="s">
        <v>55</v>
      </c>
      <c r="R393" s="12" t="s">
        <v>72</v>
      </c>
      <c r="S393" s="12" t="b">
        <v>0</v>
      </c>
      <c r="T393" s="12" t="s">
        <v>56</v>
      </c>
      <c r="U393" s="15">
        <f t="shared" si="24"/>
        <v>161.43410499999999</v>
      </c>
      <c r="V393" s="15">
        <f t="shared" si="25"/>
        <v>494.06</v>
      </c>
      <c r="W393" s="15">
        <f t="shared" si="26"/>
        <v>161.05950000000001</v>
      </c>
      <c r="X393" s="15">
        <f t="shared" si="27"/>
        <v>418.6105</v>
      </c>
    </row>
    <row r="394" spans="1:24">
      <c r="A394" s="12" t="s">
        <v>1245</v>
      </c>
      <c r="B394" s="12" t="s">
        <v>1246</v>
      </c>
      <c r="C394" s="12" t="s">
        <v>50</v>
      </c>
      <c r="D394" s="12" t="s">
        <v>213</v>
      </c>
      <c r="E394" s="12" t="s">
        <v>100</v>
      </c>
      <c r="F394" s="13">
        <v>323.89</v>
      </c>
      <c r="G394" s="13">
        <v>28.42</v>
      </c>
      <c r="H394" s="13">
        <v>231.84</v>
      </c>
      <c r="I394" s="13">
        <v>3.5</v>
      </c>
      <c r="J394" s="13">
        <v>14</v>
      </c>
      <c r="K394" s="13">
        <v>153</v>
      </c>
      <c r="L394" s="12" t="s">
        <v>1247</v>
      </c>
      <c r="M394" s="12">
        <v>4.8</v>
      </c>
      <c r="N394" s="14">
        <v>46014</v>
      </c>
      <c r="O394" s="13">
        <v>5</v>
      </c>
      <c r="P394" s="12" t="s">
        <v>40</v>
      </c>
      <c r="Q394" s="12" t="s">
        <v>55</v>
      </c>
      <c r="R394" s="12" t="s">
        <v>72</v>
      </c>
      <c r="S394" s="12" t="b">
        <v>0</v>
      </c>
      <c r="T394" s="12" t="s">
        <v>62</v>
      </c>
      <c r="U394" s="15">
        <f t="shared" si="24"/>
        <v>92.049537999999998</v>
      </c>
      <c r="V394" s="15">
        <f t="shared" si="25"/>
        <v>129.55600000000001</v>
      </c>
      <c r="W394" s="15">
        <f t="shared" si="26"/>
        <v>34.776000000000003</v>
      </c>
      <c r="X394" s="15">
        <f t="shared" si="27"/>
        <v>67.507999999999996</v>
      </c>
    </row>
    <row r="395" spans="1:24">
      <c r="A395" s="12" t="s">
        <v>1248</v>
      </c>
      <c r="B395" s="12" t="s">
        <v>1249</v>
      </c>
      <c r="C395" s="12" t="s">
        <v>50</v>
      </c>
      <c r="D395" s="12" t="s">
        <v>213</v>
      </c>
      <c r="E395" s="12" t="s">
        <v>100</v>
      </c>
      <c r="F395" s="13">
        <v>3028.23</v>
      </c>
      <c r="G395" s="13">
        <v>25.32</v>
      </c>
      <c r="H395" s="13">
        <v>2261.4699999999998</v>
      </c>
      <c r="I395" s="13">
        <v>4.2</v>
      </c>
      <c r="J395" s="13">
        <v>42</v>
      </c>
      <c r="K395" s="13">
        <v>108</v>
      </c>
      <c r="L395" s="12" t="s">
        <v>1250</v>
      </c>
      <c r="M395" s="12">
        <v>3.4</v>
      </c>
      <c r="N395" s="14">
        <v>46007</v>
      </c>
      <c r="O395" s="13">
        <v>5</v>
      </c>
      <c r="P395" s="12" t="s">
        <v>40</v>
      </c>
      <c r="Q395" s="12" t="s">
        <v>31</v>
      </c>
      <c r="R395" s="12" t="s">
        <v>86</v>
      </c>
      <c r="S395" s="12" t="b">
        <v>0</v>
      </c>
      <c r="T395" s="12" t="s">
        <v>62</v>
      </c>
      <c r="U395" s="15">
        <f t="shared" si="24"/>
        <v>766.74783600000001</v>
      </c>
      <c r="V395" s="15">
        <f t="shared" si="25"/>
        <v>1211.2919999999999</v>
      </c>
      <c r="W395" s="15">
        <f t="shared" si="26"/>
        <v>339.22050000000002</v>
      </c>
      <c r="X395" s="15">
        <f t="shared" si="27"/>
        <v>710.95749999999998</v>
      </c>
    </row>
    <row r="396" spans="1:24">
      <c r="A396" s="12" t="s">
        <v>1251</v>
      </c>
      <c r="B396" s="12" t="s">
        <v>1252</v>
      </c>
      <c r="C396" s="12" t="s">
        <v>59</v>
      </c>
      <c r="D396" s="12" t="s">
        <v>69</v>
      </c>
      <c r="E396" s="12" t="s">
        <v>131</v>
      </c>
      <c r="F396" s="13">
        <v>19030.63</v>
      </c>
      <c r="G396" s="13">
        <v>29.96</v>
      </c>
      <c r="H396" s="13">
        <v>13328.5</v>
      </c>
      <c r="I396" s="13">
        <v>4.5999999999999996</v>
      </c>
      <c r="J396" s="13">
        <v>80</v>
      </c>
      <c r="K396" s="13">
        <v>363</v>
      </c>
      <c r="L396" s="12" t="s">
        <v>1253</v>
      </c>
      <c r="M396" s="12">
        <v>3.5</v>
      </c>
      <c r="N396" s="14">
        <v>45625</v>
      </c>
      <c r="O396" s="13">
        <v>2</v>
      </c>
      <c r="P396" s="12" t="s">
        <v>54</v>
      </c>
      <c r="Q396" s="12" t="s">
        <v>55</v>
      </c>
      <c r="R396" s="12" t="s">
        <v>47</v>
      </c>
      <c r="S396" s="12" t="b">
        <v>0</v>
      </c>
      <c r="T396" s="12" t="s">
        <v>62</v>
      </c>
      <c r="U396" s="15">
        <f t="shared" si="24"/>
        <v>5701.5767480000004</v>
      </c>
      <c r="V396" s="15">
        <f t="shared" si="25"/>
        <v>7612.2520000000004</v>
      </c>
      <c r="W396" s="15">
        <f t="shared" si="26"/>
        <v>1999.2750000000001</v>
      </c>
      <c r="X396" s="15">
        <f t="shared" si="27"/>
        <v>3716.973</v>
      </c>
    </row>
    <row r="397" spans="1:24">
      <c r="A397" s="12" t="s">
        <v>1254</v>
      </c>
      <c r="B397" s="12" t="s">
        <v>1255</v>
      </c>
      <c r="C397" s="12" t="s">
        <v>36</v>
      </c>
      <c r="D397" s="12" t="s">
        <v>43</v>
      </c>
      <c r="E397" s="12" t="s">
        <v>92</v>
      </c>
      <c r="F397" s="13">
        <v>1100.71</v>
      </c>
      <c r="G397" s="13">
        <v>48.55</v>
      </c>
      <c r="H397" s="13">
        <v>566.29999999999995</v>
      </c>
      <c r="I397" s="13">
        <v>4.0999999999999996</v>
      </c>
      <c r="J397" s="13">
        <v>21</v>
      </c>
      <c r="K397" s="13">
        <v>428</v>
      </c>
      <c r="L397" s="12" t="s">
        <v>1256</v>
      </c>
      <c r="M397" s="12">
        <v>2.9</v>
      </c>
      <c r="N397" s="14">
        <v>45782</v>
      </c>
      <c r="O397" s="13">
        <v>5</v>
      </c>
      <c r="P397" s="12" t="s">
        <v>54</v>
      </c>
      <c r="Q397" s="12" t="s">
        <v>46</v>
      </c>
      <c r="R397" s="12" t="s">
        <v>32</v>
      </c>
      <c r="S397" s="12" t="b">
        <v>0</v>
      </c>
      <c r="T397" s="12" t="s">
        <v>56</v>
      </c>
      <c r="U397" s="15">
        <f t="shared" si="24"/>
        <v>534.39470500000004</v>
      </c>
      <c r="V397" s="15">
        <f t="shared" si="25"/>
        <v>440.28399999999999</v>
      </c>
      <c r="W397" s="15">
        <f t="shared" si="26"/>
        <v>84.944999999999993</v>
      </c>
      <c r="X397" s="15">
        <f t="shared" si="27"/>
        <v>41.070999999999898</v>
      </c>
    </row>
    <row r="398" spans="1:24">
      <c r="A398" s="12" t="s">
        <v>1257</v>
      </c>
      <c r="B398" s="12" t="s">
        <v>1258</v>
      </c>
      <c r="C398" s="12" t="s">
        <v>26</v>
      </c>
      <c r="D398" s="12" t="s">
        <v>313</v>
      </c>
      <c r="E398" s="12" t="s">
        <v>28</v>
      </c>
      <c r="F398" s="13">
        <v>8823.1200000000008</v>
      </c>
      <c r="G398" s="13">
        <v>16.62</v>
      </c>
      <c r="H398" s="13">
        <v>7356.76</v>
      </c>
      <c r="I398" s="13">
        <v>3.7</v>
      </c>
      <c r="J398" s="13">
        <v>85</v>
      </c>
      <c r="K398" s="13">
        <v>421</v>
      </c>
      <c r="L398" s="12" t="s">
        <v>1259</v>
      </c>
      <c r="M398" s="12">
        <v>4.5999999999999996</v>
      </c>
      <c r="N398" s="14">
        <v>46088</v>
      </c>
      <c r="O398" s="13">
        <v>1</v>
      </c>
      <c r="P398" s="12" t="s">
        <v>54</v>
      </c>
      <c r="Q398" s="12" t="s">
        <v>31</v>
      </c>
      <c r="R398" s="12" t="s">
        <v>86</v>
      </c>
      <c r="S398" s="12" t="b">
        <v>0</v>
      </c>
      <c r="T398" s="12" t="s">
        <v>62</v>
      </c>
      <c r="U398" s="15">
        <f t="shared" si="24"/>
        <v>1466.402544</v>
      </c>
      <c r="V398" s="15">
        <f t="shared" si="25"/>
        <v>3529.248</v>
      </c>
      <c r="W398" s="15">
        <f t="shared" si="26"/>
        <v>1103.5139999999999</v>
      </c>
      <c r="X398" s="15">
        <f t="shared" si="27"/>
        <v>2723.998</v>
      </c>
    </row>
    <row r="399" spans="1:24">
      <c r="A399" s="12" t="s">
        <v>1260</v>
      </c>
      <c r="B399" s="12" t="s">
        <v>1261</v>
      </c>
      <c r="C399" s="12" t="s">
        <v>26</v>
      </c>
      <c r="D399" s="12" t="s">
        <v>27</v>
      </c>
      <c r="E399" s="12" t="s">
        <v>70</v>
      </c>
      <c r="F399" s="13">
        <v>29369.21</v>
      </c>
      <c r="G399" s="13">
        <v>27.08</v>
      </c>
      <c r="H399" s="13">
        <v>21417.46</v>
      </c>
      <c r="I399" s="13">
        <v>4.4000000000000004</v>
      </c>
      <c r="J399" s="13">
        <v>85</v>
      </c>
      <c r="K399" s="13">
        <v>228</v>
      </c>
      <c r="L399" s="12" t="s">
        <v>1262</v>
      </c>
      <c r="M399" s="12">
        <v>4.5</v>
      </c>
      <c r="N399" s="14">
        <v>46083</v>
      </c>
      <c r="O399" s="13">
        <v>6</v>
      </c>
      <c r="P399" s="12" t="s">
        <v>30</v>
      </c>
      <c r="Q399" s="12" t="s">
        <v>55</v>
      </c>
      <c r="R399" s="12" t="s">
        <v>72</v>
      </c>
      <c r="S399" s="12" t="b">
        <v>1</v>
      </c>
      <c r="T399" s="12" t="s">
        <v>33</v>
      </c>
      <c r="U399" s="15">
        <f t="shared" si="24"/>
        <v>7953.1820680000001</v>
      </c>
      <c r="V399" s="15">
        <f t="shared" si="25"/>
        <v>11747.683999999999</v>
      </c>
      <c r="W399" s="15">
        <f t="shared" si="26"/>
        <v>3212.6190000000001</v>
      </c>
      <c r="X399" s="15">
        <f t="shared" si="27"/>
        <v>6457.1570000000002</v>
      </c>
    </row>
    <row r="400" spans="1:24">
      <c r="A400" s="12" t="s">
        <v>1263</v>
      </c>
      <c r="B400" s="12" t="s">
        <v>1264</v>
      </c>
      <c r="C400" s="12" t="s">
        <v>59</v>
      </c>
      <c r="D400" s="12" t="s">
        <v>69</v>
      </c>
      <c r="E400" s="12" t="s">
        <v>52</v>
      </c>
      <c r="F400" s="13">
        <v>8070.28</v>
      </c>
      <c r="G400" s="13">
        <v>13.16</v>
      </c>
      <c r="H400" s="13">
        <v>7008.62</v>
      </c>
      <c r="I400" s="13">
        <v>3.6</v>
      </c>
      <c r="J400" s="13">
        <v>160</v>
      </c>
      <c r="K400" s="13">
        <v>197</v>
      </c>
      <c r="L400" s="12" t="s">
        <v>1265</v>
      </c>
      <c r="M400" s="12">
        <v>3.8</v>
      </c>
      <c r="N400" s="14">
        <v>46063</v>
      </c>
      <c r="O400" s="13">
        <v>5</v>
      </c>
      <c r="P400" s="12" t="s">
        <v>40</v>
      </c>
      <c r="Q400" s="12" t="s">
        <v>46</v>
      </c>
      <c r="R400" s="12" t="s">
        <v>47</v>
      </c>
      <c r="S400" s="12" t="b">
        <v>0</v>
      </c>
      <c r="T400" s="12" t="s">
        <v>78</v>
      </c>
      <c r="U400" s="15">
        <f t="shared" si="24"/>
        <v>1062.0488479999999</v>
      </c>
      <c r="V400" s="15">
        <f t="shared" si="25"/>
        <v>3228.1120000000001</v>
      </c>
      <c r="W400" s="15">
        <f t="shared" si="26"/>
        <v>1051.2929999999999</v>
      </c>
      <c r="X400" s="15">
        <f t="shared" si="27"/>
        <v>2729.2150000000001</v>
      </c>
    </row>
    <row r="401" spans="1:24">
      <c r="A401" s="12" t="s">
        <v>1266</v>
      </c>
      <c r="B401" s="12" t="s">
        <v>1267</v>
      </c>
      <c r="C401" s="12" t="s">
        <v>75</v>
      </c>
      <c r="D401" s="12" t="s">
        <v>76</v>
      </c>
      <c r="E401" s="12" t="s">
        <v>70</v>
      </c>
      <c r="F401" s="13">
        <v>1108.48</v>
      </c>
      <c r="G401" s="13">
        <v>19.52</v>
      </c>
      <c r="H401" s="13">
        <v>892.06</v>
      </c>
      <c r="I401" s="13">
        <v>3.5</v>
      </c>
      <c r="J401" s="13">
        <v>6</v>
      </c>
      <c r="K401" s="13">
        <v>262</v>
      </c>
      <c r="L401" s="12" t="s">
        <v>1268</v>
      </c>
      <c r="M401" s="12">
        <v>4</v>
      </c>
      <c r="N401" s="14">
        <v>45485</v>
      </c>
      <c r="O401" s="13">
        <v>3</v>
      </c>
      <c r="P401" s="12" t="s">
        <v>30</v>
      </c>
      <c r="Q401" s="12" t="s">
        <v>31</v>
      </c>
      <c r="R401" s="12" t="s">
        <v>32</v>
      </c>
      <c r="S401" s="12" t="b">
        <v>0</v>
      </c>
      <c r="T401" s="12" t="s">
        <v>56</v>
      </c>
      <c r="U401" s="15">
        <f t="shared" si="24"/>
        <v>216.37529599999999</v>
      </c>
      <c r="V401" s="15">
        <f t="shared" si="25"/>
        <v>443.392</v>
      </c>
      <c r="W401" s="15">
        <f t="shared" si="26"/>
        <v>133.809</v>
      </c>
      <c r="X401" s="15">
        <f t="shared" si="27"/>
        <v>314.85899999999998</v>
      </c>
    </row>
    <row r="402" spans="1:24">
      <c r="A402" s="12" t="s">
        <v>1269</v>
      </c>
      <c r="B402" s="12" t="s">
        <v>1270</v>
      </c>
      <c r="C402" s="12" t="s">
        <v>75</v>
      </c>
      <c r="D402" s="12" t="s">
        <v>76</v>
      </c>
      <c r="E402" s="12" t="s">
        <v>92</v>
      </c>
      <c r="F402" s="13">
        <v>2074.34</v>
      </c>
      <c r="G402" s="13">
        <v>28.9</v>
      </c>
      <c r="H402" s="13">
        <v>1474.84</v>
      </c>
      <c r="I402" s="13">
        <v>3.6</v>
      </c>
      <c r="J402" s="13">
        <v>41</v>
      </c>
      <c r="K402" s="13">
        <v>114</v>
      </c>
      <c r="L402" s="12" t="s">
        <v>1271</v>
      </c>
      <c r="M402" s="12">
        <v>4.2</v>
      </c>
      <c r="N402" s="14">
        <v>45848</v>
      </c>
      <c r="O402" s="13">
        <v>2</v>
      </c>
      <c r="P402" s="12" t="s">
        <v>45</v>
      </c>
      <c r="Q402" s="12" t="s">
        <v>31</v>
      </c>
      <c r="R402" s="12" t="s">
        <v>72</v>
      </c>
      <c r="S402" s="12" t="b">
        <v>1</v>
      </c>
      <c r="T402" s="12" t="s">
        <v>33</v>
      </c>
      <c r="U402" s="15">
        <f t="shared" si="24"/>
        <v>599.48425999999995</v>
      </c>
      <c r="V402" s="15">
        <f t="shared" si="25"/>
        <v>829.73599999999999</v>
      </c>
      <c r="W402" s="15">
        <f t="shared" si="26"/>
        <v>221.226</v>
      </c>
      <c r="X402" s="15">
        <f t="shared" si="27"/>
        <v>423.87799999999999</v>
      </c>
    </row>
    <row r="403" spans="1:24">
      <c r="A403" s="12" t="s">
        <v>873</v>
      </c>
      <c r="B403" s="12" t="s">
        <v>1272</v>
      </c>
      <c r="C403" s="12" t="s">
        <v>59</v>
      </c>
      <c r="D403" s="12" t="s">
        <v>170</v>
      </c>
      <c r="E403" s="12" t="s">
        <v>96</v>
      </c>
      <c r="F403" s="13">
        <v>8835.66</v>
      </c>
      <c r="G403" s="13">
        <v>10.87</v>
      </c>
      <c r="H403" s="13">
        <v>7874.98</v>
      </c>
      <c r="I403" s="13">
        <v>3</v>
      </c>
      <c r="J403" s="13">
        <v>10</v>
      </c>
      <c r="K403" s="13">
        <v>111</v>
      </c>
      <c r="L403" s="12" t="s">
        <v>1273</v>
      </c>
      <c r="M403" s="12">
        <v>4</v>
      </c>
      <c r="N403" s="14">
        <v>45690</v>
      </c>
      <c r="O403" s="13">
        <v>6</v>
      </c>
      <c r="P403" s="12" t="s">
        <v>30</v>
      </c>
      <c r="Q403" s="12" t="s">
        <v>55</v>
      </c>
      <c r="R403" s="12" t="s">
        <v>86</v>
      </c>
      <c r="S403" s="12" t="b">
        <v>0</v>
      </c>
      <c r="T403" s="12" t="s">
        <v>62</v>
      </c>
      <c r="U403" s="15">
        <f t="shared" si="24"/>
        <v>960.43624199999999</v>
      </c>
      <c r="V403" s="15">
        <f t="shared" si="25"/>
        <v>3534.2640000000001</v>
      </c>
      <c r="W403" s="15">
        <f t="shared" si="26"/>
        <v>1181.2470000000001</v>
      </c>
      <c r="X403" s="15">
        <f t="shared" si="27"/>
        <v>3159.4690000000001</v>
      </c>
    </row>
    <row r="404" spans="1:24">
      <c r="A404" s="12" t="s">
        <v>1274</v>
      </c>
      <c r="B404" s="12" t="s">
        <v>1275</v>
      </c>
      <c r="C404" s="12" t="s">
        <v>26</v>
      </c>
      <c r="D404" s="12" t="s">
        <v>27</v>
      </c>
      <c r="E404" s="12" t="s">
        <v>131</v>
      </c>
      <c r="F404" s="13">
        <v>43528.09</v>
      </c>
      <c r="G404" s="13">
        <v>30.71</v>
      </c>
      <c r="H404" s="13">
        <v>30160.05</v>
      </c>
      <c r="I404" s="13">
        <v>4.3</v>
      </c>
      <c r="J404" s="13">
        <v>14</v>
      </c>
      <c r="K404" s="13">
        <v>304</v>
      </c>
      <c r="L404" s="12" t="s">
        <v>1276</v>
      </c>
      <c r="M404" s="12">
        <v>3.7</v>
      </c>
      <c r="N404" s="14">
        <v>46085</v>
      </c>
      <c r="O404" s="13">
        <v>3</v>
      </c>
      <c r="P404" s="12" t="s">
        <v>30</v>
      </c>
      <c r="Q404" s="12" t="s">
        <v>55</v>
      </c>
      <c r="R404" s="12" t="s">
        <v>32</v>
      </c>
      <c r="S404" s="12" t="b">
        <v>0</v>
      </c>
      <c r="T404" s="12" t="s">
        <v>56</v>
      </c>
      <c r="U404" s="15">
        <f t="shared" si="24"/>
        <v>13367.476439</v>
      </c>
      <c r="V404" s="15">
        <f t="shared" si="25"/>
        <v>17411.236000000001</v>
      </c>
      <c r="W404" s="15">
        <f t="shared" si="26"/>
        <v>4524.0074999999997</v>
      </c>
      <c r="X404" s="15">
        <f t="shared" si="27"/>
        <v>8224.8065000000006</v>
      </c>
    </row>
    <row r="405" spans="1:24">
      <c r="A405" s="12" t="s">
        <v>1277</v>
      </c>
      <c r="B405" s="12" t="s">
        <v>1278</v>
      </c>
      <c r="C405" s="12" t="s">
        <v>26</v>
      </c>
      <c r="D405" s="12" t="s">
        <v>313</v>
      </c>
      <c r="E405" s="12" t="s">
        <v>52</v>
      </c>
      <c r="F405" s="13">
        <v>11856.65</v>
      </c>
      <c r="G405" s="13">
        <v>36.380000000000003</v>
      </c>
      <c r="H405" s="13">
        <v>7543.19</v>
      </c>
      <c r="I405" s="13">
        <v>4</v>
      </c>
      <c r="J405" s="13">
        <v>58</v>
      </c>
      <c r="K405" s="13">
        <v>335</v>
      </c>
      <c r="L405" s="12" t="s">
        <v>1279</v>
      </c>
      <c r="M405" s="12">
        <v>4.0999999999999996</v>
      </c>
      <c r="N405" s="14">
        <v>45680</v>
      </c>
      <c r="O405" s="13">
        <v>1</v>
      </c>
      <c r="P405" s="12" t="s">
        <v>30</v>
      </c>
      <c r="Q405" s="12" t="s">
        <v>46</v>
      </c>
      <c r="R405" s="12" t="s">
        <v>47</v>
      </c>
      <c r="S405" s="12" t="b">
        <v>0</v>
      </c>
      <c r="T405" s="12" t="s">
        <v>62</v>
      </c>
      <c r="U405" s="15">
        <f t="shared" si="24"/>
        <v>4313.4492700000001</v>
      </c>
      <c r="V405" s="15">
        <f t="shared" si="25"/>
        <v>4742.66</v>
      </c>
      <c r="W405" s="15">
        <f t="shared" si="26"/>
        <v>1131.4784999999999</v>
      </c>
      <c r="X405" s="15">
        <f t="shared" si="27"/>
        <v>1669.0515</v>
      </c>
    </row>
    <row r="406" spans="1:24">
      <c r="A406" s="12" t="s">
        <v>1280</v>
      </c>
      <c r="B406" s="12" t="s">
        <v>1281</v>
      </c>
      <c r="C406" s="12" t="s">
        <v>75</v>
      </c>
      <c r="D406" s="12" t="s">
        <v>135</v>
      </c>
      <c r="E406" s="12" t="s">
        <v>65</v>
      </c>
      <c r="F406" s="13">
        <v>3252.41</v>
      </c>
      <c r="G406" s="13">
        <v>19.88</v>
      </c>
      <c r="H406" s="13">
        <v>2605.92</v>
      </c>
      <c r="I406" s="13">
        <v>4.0999999999999996</v>
      </c>
      <c r="J406" s="13">
        <v>11</v>
      </c>
      <c r="K406" s="13">
        <v>348</v>
      </c>
      <c r="L406" s="12" t="s">
        <v>1282</v>
      </c>
      <c r="M406" s="12">
        <v>3.9</v>
      </c>
      <c r="N406" s="14">
        <v>45794</v>
      </c>
      <c r="O406" s="13">
        <v>2</v>
      </c>
      <c r="P406" s="12" t="s">
        <v>117</v>
      </c>
      <c r="Q406" s="12" t="s">
        <v>31</v>
      </c>
      <c r="R406" s="12" t="s">
        <v>32</v>
      </c>
      <c r="S406" s="12" t="b">
        <v>0</v>
      </c>
      <c r="T406" s="12" t="s">
        <v>62</v>
      </c>
      <c r="U406" s="15">
        <f t="shared" si="24"/>
        <v>646.57910800000002</v>
      </c>
      <c r="V406" s="15">
        <f t="shared" si="25"/>
        <v>1300.9639999999999</v>
      </c>
      <c r="W406" s="15">
        <f t="shared" si="26"/>
        <v>390.88799999999998</v>
      </c>
      <c r="X406" s="15">
        <f t="shared" si="27"/>
        <v>914.06799999999998</v>
      </c>
    </row>
    <row r="407" spans="1:24">
      <c r="A407" s="12" t="s">
        <v>1283</v>
      </c>
      <c r="B407" s="12" t="s">
        <v>1284</v>
      </c>
      <c r="C407" s="12" t="s">
        <v>50</v>
      </c>
      <c r="D407" s="12" t="s">
        <v>51</v>
      </c>
      <c r="E407" s="12" t="s">
        <v>52</v>
      </c>
      <c r="F407" s="13">
        <v>591.55999999999995</v>
      </c>
      <c r="G407" s="13">
        <v>12.73</v>
      </c>
      <c r="H407" s="13">
        <v>516.24</v>
      </c>
      <c r="I407" s="13">
        <v>3.1</v>
      </c>
      <c r="J407" s="13">
        <v>22</v>
      </c>
      <c r="K407" s="13">
        <v>377</v>
      </c>
      <c r="L407" s="12" t="s">
        <v>1285</v>
      </c>
      <c r="M407" s="12">
        <v>3.4</v>
      </c>
      <c r="N407" s="14">
        <v>45495</v>
      </c>
      <c r="O407" s="13">
        <v>4</v>
      </c>
      <c r="P407" s="12" t="s">
        <v>117</v>
      </c>
      <c r="Q407" s="12" t="s">
        <v>31</v>
      </c>
      <c r="R407" s="12" t="s">
        <v>47</v>
      </c>
      <c r="S407" s="12" t="b">
        <v>1</v>
      </c>
      <c r="T407" s="12" t="s">
        <v>33</v>
      </c>
      <c r="U407" s="15">
        <f t="shared" si="24"/>
        <v>75.305588</v>
      </c>
      <c r="V407" s="15">
        <f t="shared" si="25"/>
        <v>236.624</v>
      </c>
      <c r="W407" s="15">
        <f t="shared" si="26"/>
        <v>77.436000000000007</v>
      </c>
      <c r="X407" s="15">
        <f t="shared" si="27"/>
        <v>202.18</v>
      </c>
    </row>
    <row r="408" spans="1:24">
      <c r="A408" s="12" t="s">
        <v>1286</v>
      </c>
      <c r="B408" s="12" t="s">
        <v>1287</v>
      </c>
      <c r="C408" s="12" t="s">
        <v>59</v>
      </c>
      <c r="D408" s="12" t="s">
        <v>60</v>
      </c>
      <c r="E408" s="12" t="s">
        <v>28</v>
      </c>
      <c r="F408" s="13">
        <v>17406.12</v>
      </c>
      <c r="G408" s="13">
        <v>16.97</v>
      </c>
      <c r="H408" s="13">
        <v>14452.32</v>
      </c>
      <c r="I408" s="13">
        <v>4.3</v>
      </c>
      <c r="J408" s="13">
        <v>2</v>
      </c>
      <c r="K408" s="13">
        <v>326</v>
      </c>
      <c r="L408" s="12" t="s">
        <v>1288</v>
      </c>
      <c r="M408" s="12">
        <v>3.9</v>
      </c>
      <c r="N408" s="14">
        <v>46018</v>
      </c>
      <c r="O408" s="13">
        <v>4</v>
      </c>
      <c r="P408" s="12" t="s">
        <v>54</v>
      </c>
      <c r="Q408" s="12" t="s">
        <v>31</v>
      </c>
      <c r="R408" s="12" t="s">
        <v>72</v>
      </c>
      <c r="S408" s="12" t="b">
        <v>0</v>
      </c>
      <c r="T408" s="12" t="s">
        <v>62</v>
      </c>
      <c r="U408" s="15">
        <f t="shared" si="24"/>
        <v>2953.8185640000002</v>
      </c>
      <c r="V408" s="15">
        <f t="shared" si="25"/>
        <v>6962.4480000000003</v>
      </c>
      <c r="W408" s="15">
        <f t="shared" si="26"/>
        <v>2167.848</v>
      </c>
      <c r="X408" s="15">
        <f t="shared" si="27"/>
        <v>5322.0240000000003</v>
      </c>
    </row>
    <row r="409" spans="1:24">
      <c r="A409" s="12" t="s">
        <v>1289</v>
      </c>
      <c r="B409" s="12" t="s">
        <v>1290</v>
      </c>
      <c r="C409" s="12" t="s">
        <v>59</v>
      </c>
      <c r="D409" s="12" t="s">
        <v>69</v>
      </c>
      <c r="E409" s="12" t="s">
        <v>100</v>
      </c>
      <c r="F409" s="13">
        <v>18703.07</v>
      </c>
      <c r="G409" s="13">
        <v>17.920000000000002</v>
      </c>
      <c r="H409" s="13">
        <v>15350.55</v>
      </c>
      <c r="I409" s="13">
        <v>4.2</v>
      </c>
      <c r="J409" s="13">
        <v>15</v>
      </c>
      <c r="K409" s="13">
        <v>49</v>
      </c>
      <c r="L409" s="12" t="s">
        <v>1291</v>
      </c>
      <c r="M409" s="12">
        <v>4.8</v>
      </c>
      <c r="N409" s="14">
        <v>45827</v>
      </c>
      <c r="O409" s="13">
        <v>5</v>
      </c>
      <c r="P409" s="12" t="s">
        <v>45</v>
      </c>
      <c r="Q409" s="12" t="s">
        <v>46</v>
      </c>
      <c r="R409" s="12" t="s">
        <v>72</v>
      </c>
      <c r="S409" s="12" t="b">
        <v>1</v>
      </c>
      <c r="T409" s="12" t="s">
        <v>33</v>
      </c>
      <c r="U409" s="15">
        <f t="shared" si="24"/>
        <v>3351.5901439999998</v>
      </c>
      <c r="V409" s="15">
        <f t="shared" si="25"/>
        <v>7481.2280000000001</v>
      </c>
      <c r="W409" s="15">
        <f t="shared" si="26"/>
        <v>2302.5825</v>
      </c>
      <c r="X409" s="15">
        <f t="shared" si="27"/>
        <v>5566.7394999999997</v>
      </c>
    </row>
    <row r="410" spans="1:24">
      <c r="A410" s="12" t="s">
        <v>1292</v>
      </c>
      <c r="B410" s="12" t="s">
        <v>1293</v>
      </c>
      <c r="C410" s="12" t="s">
        <v>36</v>
      </c>
      <c r="D410" s="12" t="s">
        <v>43</v>
      </c>
      <c r="E410" s="12" t="s">
        <v>100</v>
      </c>
      <c r="F410" s="13">
        <v>13720.03</v>
      </c>
      <c r="G410" s="13">
        <v>6.81</v>
      </c>
      <c r="H410" s="13">
        <v>12785.28</v>
      </c>
      <c r="I410" s="13">
        <v>4.9000000000000004</v>
      </c>
      <c r="J410" s="13">
        <v>23</v>
      </c>
      <c r="K410" s="13">
        <v>113</v>
      </c>
      <c r="L410" s="12" t="s">
        <v>1294</v>
      </c>
      <c r="M410" s="12">
        <v>4.9000000000000004</v>
      </c>
      <c r="N410" s="14">
        <v>45965</v>
      </c>
      <c r="O410" s="13">
        <v>4</v>
      </c>
      <c r="P410" s="12" t="s">
        <v>30</v>
      </c>
      <c r="Q410" s="12" t="s">
        <v>46</v>
      </c>
      <c r="R410" s="12" t="s">
        <v>72</v>
      </c>
      <c r="S410" s="12" t="b">
        <v>0</v>
      </c>
      <c r="T410" s="12" t="s">
        <v>56</v>
      </c>
      <c r="U410" s="15">
        <f t="shared" si="24"/>
        <v>934.33404299999995</v>
      </c>
      <c r="V410" s="15">
        <f t="shared" si="25"/>
        <v>5488.0119999999997</v>
      </c>
      <c r="W410" s="15">
        <f t="shared" si="26"/>
        <v>1917.7919999999999</v>
      </c>
      <c r="X410" s="15">
        <f t="shared" si="27"/>
        <v>5379.4759999999997</v>
      </c>
    </row>
    <row r="411" spans="1:24">
      <c r="A411" s="12" t="s">
        <v>1295</v>
      </c>
      <c r="B411" s="12" t="s">
        <v>1296</v>
      </c>
      <c r="C411" s="12" t="s">
        <v>59</v>
      </c>
      <c r="D411" s="12" t="s">
        <v>170</v>
      </c>
      <c r="E411" s="12" t="s">
        <v>52</v>
      </c>
      <c r="F411" s="13">
        <v>6764.33</v>
      </c>
      <c r="G411" s="13">
        <v>36.119999999999997</v>
      </c>
      <c r="H411" s="13">
        <v>4320.75</v>
      </c>
      <c r="I411" s="13">
        <v>3.8</v>
      </c>
      <c r="J411" s="13">
        <v>30</v>
      </c>
      <c r="K411" s="13">
        <v>435</v>
      </c>
      <c r="L411" s="12" t="s">
        <v>647</v>
      </c>
      <c r="M411" s="12">
        <v>4.9000000000000004</v>
      </c>
      <c r="N411" s="14">
        <v>45629</v>
      </c>
      <c r="O411" s="13">
        <v>1</v>
      </c>
      <c r="P411" s="12" t="s">
        <v>45</v>
      </c>
      <c r="Q411" s="12" t="s">
        <v>55</v>
      </c>
      <c r="R411" s="12" t="s">
        <v>32</v>
      </c>
      <c r="S411" s="12" t="b">
        <v>0</v>
      </c>
      <c r="T411" s="12" t="s">
        <v>62</v>
      </c>
      <c r="U411" s="15">
        <f t="shared" si="24"/>
        <v>2443.2759959999999</v>
      </c>
      <c r="V411" s="15">
        <f t="shared" si="25"/>
        <v>2705.732</v>
      </c>
      <c r="W411" s="15">
        <f t="shared" si="26"/>
        <v>648.11249999999995</v>
      </c>
      <c r="X411" s="15">
        <f t="shared" si="27"/>
        <v>966.90549999999996</v>
      </c>
    </row>
    <row r="412" spans="1:24">
      <c r="A412" s="12" t="s">
        <v>1297</v>
      </c>
      <c r="B412" s="12" t="s">
        <v>1298</v>
      </c>
      <c r="C412" s="12" t="s">
        <v>36</v>
      </c>
      <c r="D412" s="12" t="s">
        <v>108</v>
      </c>
      <c r="E412" s="12" t="s">
        <v>65</v>
      </c>
      <c r="F412" s="13">
        <v>2634.79</v>
      </c>
      <c r="G412" s="13">
        <v>14.3</v>
      </c>
      <c r="H412" s="13">
        <v>2258.12</v>
      </c>
      <c r="I412" s="13">
        <v>4.3</v>
      </c>
      <c r="J412" s="13">
        <v>4</v>
      </c>
      <c r="K412" s="13">
        <v>256</v>
      </c>
      <c r="L412" s="12" t="s">
        <v>1299</v>
      </c>
      <c r="M412" s="12">
        <v>3.2</v>
      </c>
      <c r="N412" s="14">
        <v>45765</v>
      </c>
      <c r="O412" s="13">
        <v>5</v>
      </c>
      <c r="P412" s="12" t="s">
        <v>40</v>
      </c>
      <c r="Q412" s="12" t="s">
        <v>31</v>
      </c>
      <c r="R412" s="12" t="s">
        <v>86</v>
      </c>
      <c r="S412" s="12" t="b">
        <v>0</v>
      </c>
      <c r="T412" s="12" t="s">
        <v>62</v>
      </c>
      <c r="U412" s="15">
        <f t="shared" si="24"/>
        <v>376.77497</v>
      </c>
      <c r="V412" s="15">
        <f t="shared" si="25"/>
        <v>1053.9159999999999</v>
      </c>
      <c r="W412" s="15">
        <f t="shared" si="26"/>
        <v>338.71800000000002</v>
      </c>
      <c r="X412" s="15">
        <f t="shared" si="27"/>
        <v>865.48599999999999</v>
      </c>
    </row>
    <row r="413" spans="1:24">
      <c r="A413" s="12" t="s">
        <v>1300</v>
      </c>
      <c r="B413" s="12" t="s">
        <v>1301</v>
      </c>
      <c r="C413" s="12" t="s">
        <v>59</v>
      </c>
      <c r="D413" s="12" t="s">
        <v>170</v>
      </c>
      <c r="E413" s="12" t="s">
        <v>38</v>
      </c>
      <c r="F413" s="13">
        <v>18275.8</v>
      </c>
      <c r="G413" s="13">
        <v>45.36</v>
      </c>
      <c r="H413" s="13">
        <v>9985.02</v>
      </c>
      <c r="I413" s="13">
        <v>3.8</v>
      </c>
      <c r="J413" s="13">
        <v>29</v>
      </c>
      <c r="K413" s="13">
        <v>175</v>
      </c>
      <c r="L413" s="12" t="s">
        <v>1302</v>
      </c>
      <c r="M413" s="12">
        <v>2.6</v>
      </c>
      <c r="N413" s="14">
        <v>45940</v>
      </c>
      <c r="O413" s="13">
        <v>5</v>
      </c>
      <c r="P413" s="12" t="s">
        <v>54</v>
      </c>
      <c r="Q413" s="12" t="s">
        <v>31</v>
      </c>
      <c r="R413" s="12" t="s">
        <v>86</v>
      </c>
      <c r="S413" s="12" t="b">
        <v>0</v>
      </c>
      <c r="T413" s="12" t="s">
        <v>78</v>
      </c>
      <c r="U413" s="15">
        <f t="shared" si="24"/>
        <v>8289.9028799999996</v>
      </c>
      <c r="V413" s="15">
        <f t="shared" si="25"/>
        <v>7310.32</v>
      </c>
      <c r="W413" s="15">
        <f t="shared" si="26"/>
        <v>1497.7529999999999</v>
      </c>
      <c r="X413" s="15">
        <f t="shared" si="27"/>
        <v>1176.9469999999999</v>
      </c>
    </row>
    <row r="414" spans="1:24">
      <c r="A414" s="12" t="s">
        <v>1303</v>
      </c>
      <c r="B414" s="12" t="s">
        <v>1304</v>
      </c>
      <c r="C414" s="12" t="s">
        <v>59</v>
      </c>
      <c r="D414" s="12" t="s">
        <v>60</v>
      </c>
      <c r="E414" s="12" t="s">
        <v>92</v>
      </c>
      <c r="F414" s="13">
        <v>6080.89</v>
      </c>
      <c r="G414" s="13">
        <v>32</v>
      </c>
      <c r="H414" s="13">
        <v>4135.09</v>
      </c>
      <c r="I414" s="13">
        <v>5</v>
      </c>
      <c r="J414" s="13">
        <v>8</v>
      </c>
      <c r="K414" s="13">
        <v>323</v>
      </c>
      <c r="L414" s="12" t="s">
        <v>1305</v>
      </c>
      <c r="M414" s="12">
        <v>4.5999999999999996</v>
      </c>
      <c r="N414" s="14">
        <v>45560</v>
      </c>
      <c r="O414" s="13">
        <v>4</v>
      </c>
      <c r="P414" s="12" t="s">
        <v>40</v>
      </c>
      <c r="Q414" s="12" t="s">
        <v>55</v>
      </c>
      <c r="R414" s="12" t="s">
        <v>32</v>
      </c>
      <c r="S414" s="12" t="b">
        <v>0</v>
      </c>
      <c r="T414" s="12" t="s">
        <v>78</v>
      </c>
      <c r="U414" s="15">
        <f t="shared" si="24"/>
        <v>1945.8848</v>
      </c>
      <c r="V414" s="15">
        <f t="shared" si="25"/>
        <v>2432.3560000000002</v>
      </c>
      <c r="W414" s="15">
        <f t="shared" si="26"/>
        <v>620.26350000000002</v>
      </c>
      <c r="X414" s="15">
        <f t="shared" si="27"/>
        <v>1082.4704999999999</v>
      </c>
    </row>
    <row r="415" spans="1:24">
      <c r="A415" s="12" t="s">
        <v>1306</v>
      </c>
      <c r="B415" s="12" t="s">
        <v>1307</v>
      </c>
      <c r="C415" s="12" t="s">
        <v>50</v>
      </c>
      <c r="D415" s="12" t="s">
        <v>51</v>
      </c>
      <c r="E415" s="12" t="s">
        <v>70</v>
      </c>
      <c r="F415" s="13">
        <v>4736.12</v>
      </c>
      <c r="G415" s="13">
        <v>19.920000000000002</v>
      </c>
      <c r="H415" s="13">
        <v>3792.55</v>
      </c>
      <c r="I415" s="13">
        <v>5</v>
      </c>
      <c r="J415" s="13">
        <v>20</v>
      </c>
      <c r="K415" s="13">
        <v>250</v>
      </c>
      <c r="L415" s="12" t="s">
        <v>1308</v>
      </c>
      <c r="M415" s="12">
        <v>3.3</v>
      </c>
      <c r="N415" s="14">
        <v>45748</v>
      </c>
      <c r="O415" s="13">
        <v>1</v>
      </c>
      <c r="P415" s="12" t="s">
        <v>54</v>
      </c>
      <c r="Q415" s="12" t="s">
        <v>46</v>
      </c>
      <c r="R415" s="12" t="s">
        <v>86</v>
      </c>
      <c r="S415" s="12" t="b">
        <v>0</v>
      </c>
      <c r="T415" s="12" t="s">
        <v>62</v>
      </c>
      <c r="U415" s="15">
        <f t="shared" si="24"/>
        <v>943.43510400000002</v>
      </c>
      <c r="V415" s="15">
        <f t="shared" si="25"/>
        <v>1894.4480000000001</v>
      </c>
      <c r="W415" s="15">
        <f t="shared" si="26"/>
        <v>568.88250000000005</v>
      </c>
      <c r="X415" s="15">
        <f t="shared" si="27"/>
        <v>1329.2194999999999</v>
      </c>
    </row>
    <row r="416" spans="1:24">
      <c r="A416" s="12" t="s">
        <v>1309</v>
      </c>
      <c r="B416" s="12" t="s">
        <v>1310</v>
      </c>
      <c r="C416" s="12" t="s">
        <v>50</v>
      </c>
      <c r="D416" s="12" t="s">
        <v>51</v>
      </c>
      <c r="E416" s="12" t="s">
        <v>96</v>
      </c>
      <c r="F416" s="13">
        <v>2337.9699999999998</v>
      </c>
      <c r="G416" s="13">
        <v>35.72</v>
      </c>
      <c r="H416" s="13">
        <v>1502.86</v>
      </c>
      <c r="I416" s="13">
        <v>3.6</v>
      </c>
      <c r="J416" s="13">
        <v>40</v>
      </c>
      <c r="K416" s="13">
        <v>19</v>
      </c>
      <c r="L416" s="12" t="s">
        <v>1311</v>
      </c>
      <c r="M416" s="12">
        <v>2.8</v>
      </c>
      <c r="N416" s="14">
        <v>46055</v>
      </c>
      <c r="O416" s="13">
        <v>6</v>
      </c>
      <c r="P416" s="12" t="s">
        <v>117</v>
      </c>
      <c r="Q416" s="12" t="s">
        <v>46</v>
      </c>
      <c r="R416" s="12" t="s">
        <v>72</v>
      </c>
      <c r="S416" s="12" t="b">
        <v>0</v>
      </c>
      <c r="T416" s="12" t="s">
        <v>78</v>
      </c>
      <c r="U416" s="15">
        <f t="shared" si="24"/>
        <v>835.122884</v>
      </c>
      <c r="V416" s="15">
        <f t="shared" si="25"/>
        <v>935.18799999999999</v>
      </c>
      <c r="W416" s="15">
        <f t="shared" si="26"/>
        <v>225.429</v>
      </c>
      <c r="X416" s="15">
        <f t="shared" si="27"/>
        <v>342.24299999999999</v>
      </c>
    </row>
    <row r="417" spans="1:24">
      <c r="A417" s="12" t="s">
        <v>1312</v>
      </c>
      <c r="B417" s="12" t="s">
        <v>1313</v>
      </c>
      <c r="C417" s="12" t="s">
        <v>59</v>
      </c>
      <c r="D417" s="12" t="s">
        <v>60</v>
      </c>
      <c r="E417" s="12" t="s">
        <v>70</v>
      </c>
      <c r="F417" s="13">
        <v>13876.74</v>
      </c>
      <c r="G417" s="13">
        <v>12.6</v>
      </c>
      <c r="H417" s="13">
        <v>12128.46</v>
      </c>
      <c r="I417" s="13">
        <v>4</v>
      </c>
      <c r="J417" s="13">
        <v>17</v>
      </c>
      <c r="K417" s="13">
        <v>320</v>
      </c>
      <c r="L417" s="12" t="s">
        <v>1314</v>
      </c>
      <c r="M417" s="12">
        <v>2.7</v>
      </c>
      <c r="N417" s="14">
        <v>45728</v>
      </c>
      <c r="O417" s="13">
        <v>2</v>
      </c>
      <c r="P417" s="12" t="s">
        <v>40</v>
      </c>
      <c r="Q417" s="12" t="s">
        <v>46</v>
      </c>
      <c r="R417" s="12" t="s">
        <v>72</v>
      </c>
      <c r="S417" s="12" t="b">
        <v>0</v>
      </c>
      <c r="T417" s="12" t="s">
        <v>56</v>
      </c>
      <c r="U417" s="15">
        <f t="shared" si="24"/>
        <v>1748.4692399999999</v>
      </c>
      <c r="V417" s="15">
        <f t="shared" si="25"/>
        <v>5550.6959999999999</v>
      </c>
      <c r="W417" s="15">
        <f t="shared" si="26"/>
        <v>1819.269</v>
      </c>
      <c r="X417" s="15">
        <f t="shared" si="27"/>
        <v>4758.4949999999999</v>
      </c>
    </row>
    <row r="418" spans="1:24">
      <c r="A418" s="12" t="s">
        <v>1315</v>
      </c>
      <c r="B418" s="12" t="s">
        <v>1316</v>
      </c>
      <c r="C418" s="12" t="s">
        <v>75</v>
      </c>
      <c r="D418" s="12" t="s">
        <v>135</v>
      </c>
      <c r="E418" s="12" t="s">
        <v>96</v>
      </c>
      <c r="F418" s="13">
        <v>4192.4799999999996</v>
      </c>
      <c r="G418" s="13">
        <v>44.67</v>
      </c>
      <c r="H418" s="13">
        <v>2319.71</v>
      </c>
      <c r="I418" s="13">
        <v>3.7</v>
      </c>
      <c r="J418" s="13">
        <v>2</v>
      </c>
      <c r="K418" s="13">
        <v>85</v>
      </c>
      <c r="L418" s="12" t="s">
        <v>1317</v>
      </c>
      <c r="M418" s="12">
        <v>4.8</v>
      </c>
      <c r="N418" s="14">
        <v>45797</v>
      </c>
      <c r="O418" s="13">
        <v>5</v>
      </c>
      <c r="P418" s="12" t="s">
        <v>45</v>
      </c>
      <c r="Q418" s="12" t="s">
        <v>46</v>
      </c>
      <c r="R418" s="12" t="s">
        <v>72</v>
      </c>
      <c r="S418" s="12" t="b">
        <v>0</v>
      </c>
      <c r="T418" s="12" t="s">
        <v>56</v>
      </c>
      <c r="U418" s="15">
        <f t="shared" si="24"/>
        <v>1872.780816</v>
      </c>
      <c r="V418" s="15">
        <f t="shared" si="25"/>
        <v>1676.992</v>
      </c>
      <c r="W418" s="15">
        <f t="shared" si="26"/>
        <v>347.95650000000001</v>
      </c>
      <c r="X418" s="15">
        <f t="shared" si="27"/>
        <v>294.76150000000001</v>
      </c>
    </row>
    <row r="419" spans="1:24">
      <c r="A419" s="12" t="s">
        <v>1318</v>
      </c>
      <c r="B419" s="12" t="s">
        <v>1319</v>
      </c>
      <c r="C419" s="12" t="s">
        <v>50</v>
      </c>
      <c r="D419" s="12" t="s">
        <v>213</v>
      </c>
      <c r="E419" s="12" t="s">
        <v>131</v>
      </c>
      <c r="F419" s="13">
        <v>3587.05</v>
      </c>
      <c r="G419" s="13">
        <v>11.39</v>
      </c>
      <c r="H419" s="13">
        <v>3178.49</v>
      </c>
      <c r="I419" s="13">
        <v>3.4</v>
      </c>
      <c r="J419" s="13">
        <v>13</v>
      </c>
      <c r="K419" s="13">
        <v>222</v>
      </c>
      <c r="L419" s="12" t="s">
        <v>1320</v>
      </c>
      <c r="M419" s="12">
        <v>4.7</v>
      </c>
      <c r="N419" s="14">
        <v>45443</v>
      </c>
      <c r="O419" s="13">
        <v>2</v>
      </c>
      <c r="P419" s="12" t="s">
        <v>45</v>
      </c>
      <c r="Q419" s="12" t="s">
        <v>55</v>
      </c>
      <c r="R419" s="12" t="s">
        <v>86</v>
      </c>
      <c r="S419" s="12" t="b">
        <v>0</v>
      </c>
      <c r="T419" s="12" t="s">
        <v>56</v>
      </c>
      <c r="U419" s="15">
        <f t="shared" si="24"/>
        <v>408.56499500000001</v>
      </c>
      <c r="V419" s="15">
        <f t="shared" si="25"/>
        <v>1434.82</v>
      </c>
      <c r="W419" s="15">
        <f t="shared" si="26"/>
        <v>476.77350000000001</v>
      </c>
      <c r="X419" s="15">
        <f t="shared" si="27"/>
        <v>1266.8965000000001</v>
      </c>
    </row>
    <row r="420" spans="1:24">
      <c r="A420" s="12" t="s">
        <v>1321</v>
      </c>
      <c r="B420" s="12" t="s">
        <v>1322</v>
      </c>
      <c r="C420" s="12" t="s">
        <v>75</v>
      </c>
      <c r="D420" s="12" t="s">
        <v>135</v>
      </c>
      <c r="E420" s="12" t="s">
        <v>96</v>
      </c>
      <c r="F420" s="13">
        <v>4826.37</v>
      </c>
      <c r="G420" s="13">
        <v>24.93</v>
      </c>
      <c r="H420" s="13">
        <v>3623.28</v>
      </c>
      <c r="I420" s="13">
        <v>3.8</v>
      </c>
      <c r="J420" s="13">
        <v>27</v>
      </c>
      <c r="K420" s="13">
        <v>372</v>
      </c>
      <c r="L420" s="12" t="s">
        <v>1323</v>
      </c>
      <c r="M420" s="12">
        <v>2.5</v>
      </c>
      <c r="N420" s="14">
        <v>45768</v>
      </c>
      <c r="O420" s="13">
        <v>4</v>
      </c>
      <c r="P420" s="12" t="s">
        <v>40</v>
      </c>
      <c r="Q420" s="12" t="s">
        <v>46</v>
      </c>
      <c r="R420" s="12" t="s">
        <v>32</v>
      </c>
      <c r="S420" s="12" t="b">
        <v>0</v>
      </c>
      <c r="T420" s="12" t="s">
        <v>62</v>
      </c>
      <c r="U420" s="15">
        <f t="shared" si="24"/>
        <v>1203.214041</v>
      </c>
      <c r="V420" s="15">
        <f t="shared" si="25"/>
        <v>1930.548</v>
      </c>
      <c r="W420" s="15">
        <f t="shared" si="26"/>
        <v>543.49199999999996</v>
      </c>
      <c r="X420" s="15">
        <f t="shared" si="27"/>
        <v>1149.24</v>
      </c>
    </row>
    <row r="421" spans="1:24">
      <c r="A421" s="12" t="s">
        <v>1324</v>
      </c>
      <c r="B421" s="12" t="s">
        <v>1325</v>
      </c>
      <c r="C421" s="12" t="s">
        <v>36</v>
      </c>
      <c r="D421" s="12" t="s">
        <v>43</v>
      </c>
      <c r="E421" s="12" t="s">
        <v>84</v>
      </c>
      <c r="F421" s="13">
        <v>5489.33</v>
      </c>
      <c r="G421" s="13">
        <v>28.42</v>
      </c>
      <c r="H421" s="13">
        <v>3929.02</v>
      </c>
      <c r="I421" s="13">
        <v>4.4000000000000004</v>
      </c>
      <c r="J421" s="13">
        <v>17</v>
      </c>
      <c r="K421" s="13">
        <v>405</v>
      </c>
      <c r="L421" s="12" t="s">
        <v>1326</v>
      </c>
      <c r="M421" s="12">
        <v>2.7</v>
      </c>
      <c r="N421" s="14">
        <v>45824</v>
      </c>
      <c r="O421" s="13">
        <v>5</v>
      </c>
      <c r="P421" s="12" t="s">
        <v>30</v>
      </c>
      <c r="Q421" s="12" t="s">
        <v>55</v>
      </c>
      <c r="R421" s="12" t="s">
        <v>72</v>
      </c>
      <c r="S421" s="12" t="b">
        <v>0</v>
      </c>
      <c r="T421" s="12" t="s">
        <v>62</v>
      </c>
      <c r="U421" s="15">
        <f t="shared" si="24"/>
        <v>1560.0675859999999</v>
      </c>
      <c r="V421" s="15">
        <f t="shared" si="25"/>
        <v>2195.732</v>
      </c>
      <c r="W421" s="15">
        <f t="shared" si="26"/>
        <v>589.35299999999995</v>
      </c>
      <c r="X421" s="15">
        <f t="shared" si="27"/>
        <v>1143.9349999999999</v>
      </c>
    </row>
    <row r="422" spans="1:24">
      <c r="A422" s="12" t="s">
        <v>1327</v>
      </c>
      <c r="B422" s="12" t="s">
        <v>1328</v>
      </c>
      <c r="C422" s="12" t="s">
        <v>36</v>
      </c>
      <c r="D422" s="12" t="s">
        <v>43</v>
      </c>
      <c r="E422" s="12" t="s">
        <v>65</v>
      </c>
      <c r="F422" s="13">
        <v>8185.91</v>
      </c>
      <c r="G422" s="13">
        <v>26.06</v>
      </c>
      <c r="H422" s="13">
        <v>6052.73</v>
      </c>
      <c r="I422" s="13">
        <v>4.5</v>
      </c>
      <c r="J422" s="13">
        <v>14</v>
      </c>
      <c r="K422" s="13">
        <v>334</v>
      </c>
      <c r="L422" s="12" t="s">
        <v>1329</v>
      </c>
      <c r="M422" s="12">
        <v>4.0999999999999996</v>
      </c>
      <c r="N422" s="14">
        <v>46007</v>
      </c>
      <c r="O422" s="13">
        <v>4</v>
      </c>
      <c r="P422" s="12" t="s">
        <v>40</v>
      </c>
      <c r="Q422" s="12" t="s">
        <v>46</v>
      </c>
      <c r="R422" s="12" t="s">
        <v>32</v>
      </c>
      <c r="S422" s="12" t="b">
        <v>0</v>
      </c>
      <c r="T422" s="12" t="s">
        <v>56</v>
      </c>
      <c r="U422" s="15">
        <f t="shared" si="24"/>
        <v>2133.2481459999999</v>
      </c>
      <c r="V422" s="15">
        <f t="shared" si="25"/>
        <v>3274.364</v>
      </c>
      <c r="W422" s="15">
        <f t="shared" si="26"/>
        <v>907.90949999999998</v>
      </c>
      <c r="X422" s="15">
        <f t="shared" si="27"/>
        <v>1870.4565</v>
      </c>
    </row>
    <row r="423" spans="1:24">
      <c r="A423" s="12" t="s">
        <v>1330</v>
      </c>
      <c r="B423" s="12" t="s">
        <v>1331</v>
      </c>
      <c r="C423" s="12" t="s">
        <v>50</v>
      </c>
      <c r="D423" s="12" t="s">
        <v>51</v>
      </c>
      <c r="E423" s="12" t="s">
        <v>84</v>
      </c>
      <c r="F423" s="13">
        <v>3810.15</v>
      </c>
      <c r="G423" s="13">
        <v>19.440000000000001</v>
      </c>
      <c r="H423" s="13">
        <v>3069.52</v>
      </c>
      <c r="I423" s="13">
        <v>4.2</v>
      </c>
      <c r="J423" s="13">
        <v>17</v>
      </c>
      <c r="K423" s="13">
        <v>359</v>
      </c>
      <c r="L423" s="12" t="s">
        <v>1332</v>
      </c>
      <c r="M423" s="12">
        <v>3</v>
      </c>
      <c r="N423" s="14">
        <v>45881</v>
      </c>
      <c r="O423" s="13">
        <v>3</v>
      </c>
      <c r="P423" s="12" t="s">
        <v>45</v>
      </c>
      <c r="Q423" s="12" t="s">
        <v>46</v>
      </c>
      <c r="R423" s="12" t="s">
        <v>32</v>
      </c>
      <c r="S423" s="12" t="b">
        <v>1</v>
      </c>
      <c r="T423" s="12" t="s">
        <v>33</v>
      </c>
      <c r="U423" s="15">
        <f t="shared" si="24"/>
        <v>740.69316000000003</v>
      </c>
      <c r="V423" s="15">
        <f t="shared" si="25"/>
        <v>1524.06</v>
      </c>
      <c r="W423" s="15">
        <f t="shared" si="26"/>
        <v>460.428</v>
      </c>
      <c r="X423" s="15">
        <f t="shared" si="27"/>
        <v>1085.0319999999999</v>
      </c>
    </row>
    <row r="424" spans="1:24">
      <c r="A424" s="12" t="s">
        <v>1333</v>
      </c>
      <c r="B424" s="12" t="s">
        <v>1334</v>
      </c>
      <c r="C424" s="12" t="s">
        <v>59</v>
      </c>
      <c r="D424" s="12" t="s">
        <v>170</v>
      </c>
      <c r="E424" s="12" t="s">
        <v>100</v>
      </c>
      <c r="F424" s="13">
        <v>1004.31</v>
      </c>
      <c r="G424" s="13">
        <v>38.4</v>
      </c>
      <c r="H424" s="13">
        <v>618.62</v>
      </c>
      <c r="I424" s="13">
        <v>3.9</v>
      </c>
      <c r="J424" s="13">
        <v>15</v>
      </c>
      <c r="K424" s="13">
        <v>138</v>
      </c>
      <c r="L424" s="12" t="s">
        <v>1335</v>
      </c>
      <c r="M424" s="12">
        <v>4.3</v>
      </c>
      <c r="N424" s="14">
        <v>45972</v>
      </c>
      <c r="O424" s="13">
        <v>1</v>
      </c>
      <c r="P424" s="12" t="s">
        <v>40</v>
      </c>
      <c r="Q424" s="12" t="s">
        <v>55</v>
      </c>
      <c r="R424" s="12" t="s">
        <v>32</v>
      </c>
      <c r="S424" s="12" t="b">
        <v>0</v>
      </c>
      <c r="T424" s="12" t="s">
        <v>62</v>
      </c>
      <c r="U424" s="15">
        <f t="shared" si="24"/>
        <v>385.65503999999999</v>
      </c>
      <c r="V424" s="15">
        <f t="shared" si="25"/>
        <v>401.72399999999999</v>
      </c>
      <c r="W424" s="15">
        <f t="shared" si="26"/>
        <v>92.793000000000006</v>
      </c>
      <c r="X424" s="15">
        <f t="shared" si="27"/>
        <v>124.10299999999999</v>
      </c>
    </row>
    <row r="425" spans="1:24">
      <c r="A425" s="12" t="s">
        <v>1336</v>
      </c>
      <c r="B425" s="12" t="s">
        <v>1337</v>
      </c>
      <c r="C425" s="12" t="s">
        <v>36</v>
      </c>
      <c r="D425" s="12" t="s">
        <v>43</v>
      </c>
      <c r="E425" s="12" t="s">
        <v>52</v>
      </c>
      <c r="F425" s="13">
        <v>10809.51</v>
      </c>
      <c r="G425" s="13">
        <v>15.55</v>
      </c>
      <c r="H425" s="13">
        <v>9128.36</v>
      </c>
      <c r="I425" s="13">
        <v>4</v>
      </c>
      <c r="J425" s="13">
        <v>23</v>
      </c>
      <c r="K425" s="13">
        <v>254</v>
      </c>
      <c r="L425" s="12" t="s">
        <v>1338</v>
      </c>
      <c r="M425" s="12">
        <v>2.6</v>
      </c>
      <c r="N425" s="14">
        <v>45660</v>
      </c>
      <c r="O425" s="13">
        <v>5</v>
      </c>
      <c r="P425" s="12" t="s">
        <v>40</v>
      </c>
      <c r="Q425" s="12" t="s">
        <v>31</v>
      </c>
      <c r="R425" s="12" t="s">
        <v>47</v>
      </c>
      <c r="S425" s="12" t="b">
        <v>0</v>
      </c>
      <c r="T425" s="12" t="s">
        <v>56</v>
      </c>
      <c r="U425" s="15">
        <f t="shared" si="24"/>
        <v>1680.8788050000001</v>
      </c>
      <c r="V425" s="15">
        <f t="shared" si="25"/>
        <v>4323.8040000000001</v>
      </c>
      <c r="W425" s="15">
        <f t="shared" si="26"/>
        <v>1369.2539999999999</v>
      </c>
      <c r="X425" s="15">
        <f t="shared" si="27"/>
        <v>3435.3020000000001</v>
      </c>
    </row>
    <row r="426" spans="1:24">
      <c r="A426" s="12" t="s">
        <v>1339</v>
      </c>
      <c r="B426" s="12" t="s">
        <v>1340</v>
      </c>
      <c r="C426" s="12" t="s">
        <v>36</v>
      </c>
      <c r="D426" s="12" t="s">
        <v>43</v>
      </c>
      <c r="E426" s="12" t="s">
        <v>112</v>
      </c>
      <c r="F426" s="13">
        <v>5448.04</v>
      </c>
      <c r="G426" s="13">
        <v>24.99</v>
      </c>
      <c r="H426" s="13">
        <v>4086.67</v>
      </c>
      <c r="I426" s="13">
        <v>3.9</v>
      </c>
      <c r="J426" s="13">
        <v>154</v>
      </c>
      <c r="K426" s="13">
        <v>20</v>
      </c>
      <c r="L426" s="12" t="s">
        <v>1341</v>
      </c>
      <c r="M426" s="12">
        <v>2.5</v>
      </c>
      <c r="N426" s="14">
        <v>45763</v>
      </c>
      <c r="O426" s="13">
        <v>2</v>
      </c>
      <c r="P426" s="12" t="s">
        <v>117</v>
      </c>
      <c r="Q426" s="12" t="s">
        <v>55</v>
      </c>
      <c r="R426" s="12" t="s">
        <v>47</v>
      </c>
      <c r="S426" s="12" t="b">
        <v>0</v>
      </c>
      <c r="T426" s="12" t="s">
        <v>62</v>
      </c>
      <c r="U426" s="15">
        <f t="shared" si="24"/>
        <v>1361.4651960000001</v>
      </c>
      <c r="V426" s="15">
        <f t="shared" si="25"/>
        <v>2179.2159999999999</v>
      </c>
      <c r="W426" s="15">
        <f t="shared" si="26"/>
        <v>613.00049999999999</v>
      </c>
      <c r="X426" s="15">
        <f t="shared" si="27"/>
        <v>1294.4535000000001</v>
      </c>
    </row>
    <row r="427" spans="1:24">
      <c r="A427" s="12" t="s">
        <v>1342</v>
      </c>
      <c r="B427" s="12" t="s">
        <v>1343</v>
      </c>
      <c r="C427" s="12" t="s">
        <v>50</v>
      </c>
      <c r="D427" s="12" t="s">
        <v>51</v>
      </c>
      <c r="E427" s="12" t="s">
        <v>70</v>
      </c>
      <c r="F427" s="13">
        <v>2519.5100000000002</v>
      </c>
      <c r="G427" s="13">
        <v>38.96</v>
      </c>
      <c r="H427" s="13">
        <v>1538.02</v>
      </c>
      <c r="I427" s="13">
        <v>3.9</v>
      </c>
      <c r="J427" s="13">
        <v>3</v>
      </c>
      <c r="K427" s="13">
        <v>45</v>
      </c>
      <c r="L427" s="12" t="s">
        <v>1344</v>
      </c>
      <c r="M427" s="12">
        <v>4.7</v>
      </c>
      <c r="N427" s="14">
        <v>45667</v>
      </c>
      <c r="O427" s="13">
        <v>5</v>
      </c>
      <c r="P427" s="12" t="s">
        <v>40</v>
      </c>
      <c r="Q427" s="12" t="s">
        <v>31</v>
      </c>
      <c r="R427" s="12" t="s">
        <v>86</v>
      </c>
      <c r="S427" s="12" t="b">
        <v>0</v>
      </c>
      <c r="T427" s="12" t="s">
        <v>78</v>
      </c>
      <c r="U427" s="15">
        <f t="shared" si="24"/>
        <v>981.60109599999998</v>
      </c>
      <c r="V427" s="15">
        <f t="shared" si="25"/>
        <v>1007.804</v>
      </c>
      <c r="W427" s="15">
        <f t="shared" si="26"/>
        <v>230.703</v>
      </c>
      <c r="X427" s="15">
        <f t="shared" si="27"/>
        <v>299.51299999999998</v>
      </c>
    </row>
    <row r="428" spans="1:24">
      <c r="A428" s="12" t="s">
        <v>1345</v>
      </c>
      <c r="B428" s="12" t="s">
        <v>1346</v>
      </c>
      <c r="C428" s="12" t="s">
        <v>26</v>
      </c>
      <c r="D428" s="12" t="s">
        <v>27</v>
      </c>
      <c r="E428" s="12" t="s">
        <v>28</v>
      </c>
      <c r="F428" s="13">
        <v>25030.63</v>
      </c>
      <c r="G428" s="13">
        <v>9.27</v>
      </c>
      <c r="H428" s="13">
        <v>22711.35</v>
      </c>
      <c r="I428" s="13">
        <v>3.4</v>
      </c>
      <c r="J428" s="13">
        <v>23</v>
      </c>
      <c r="K428" s="13">
        <v>118</v>
      </c>
      <c r="L428" s="12" t="s">
        <v>1347</v>
      </c>
      <c r="M428" s="12">
        <v>3.2</v>
      </c>
      <c r="N428" s="14">
        <v>45467</v>
      </c>
      <c r="O428" s="13">
        <v>5</v>
      </c>
      <c r="P428" s="12" t="s">
        <v>40</v>
      </c>
      <c r="Q428" s="12" t="s">
        <v>55</v>
      </c>
      <c r="R428" s="12" t="s">
        <v>72</v>
      </c>
      <c r="S428" s="12" t="b">
        <v>0</v>
      </c>
      <c r="T428" s="12" t="s">
        <v>56</v>
      </c>
      <c r="U428" s="15">
        <f t="shared" si="24"/>
        <v>2320.3394010000002</v>
      </c>
      <c r="V428" s="15">
        <f t="shared" si="25"/>
        <v>10012.252</v>
      </c>
      <c r="W428" s="15">
        <f t="shared" si="26"/>
        <v>3406.7024999999999</v>
      </c>
      <c r="X428" s="15">
        <f t="shared" si="27"/>
        <v>9292.3955000000005</v>
      </c>
    </row>
    <row r="429" spans="1:24">
      <c r="A429" s="12" t="s">
        <v>1348</v>
      </c>
      <c r="B429" s="12" t="s">
        <v>1349</v>
      </c>
      <c r="C429" s="12" t="s">
        <v>26</v>
      </c>
      <c r="D429" s="12" t="s">
        <v>27</v>
      </c>
      <c r="E429" s="12" t="s">
        <v>92</v>
      </c>
      <c r="F429" s="13">
        <v>36304.61</v>
      </c>
      <c r="G429" s="13">
        <v>16.559999999999999</v>
      </c>
      <c r="H429" s="13">
        <v>30294.22</v>
      </c>
      <c r="I429" s="13">
        <v>4.0999999999999996</v>
      </c>
      <c r="J429" s="13">
        <v>14</v>
      </c>
      <c r="K429" s="13">
        <v>184</v>
      </c>
      <c r="L429" s="12" t="s">
        <v>1350</v>
      </c>
      <c r="M429" s="12">
        <v>4.2</v>
      </c>
      <c r="N429" s="14">
        <v>45476</v>
      </c>
      <c r="O429" s="13">
        <v>1</v>
      </c>
      <c r="P429" s="12" t="s">
        <v>40</v>
      </c>
      <c r="Q429" s="12" t="s">
        <v>55</v>
      </c>
      <c r="R429" s="12" t="s">
        <v>32</v>
      </c>
      <c r="S429" s="12" t="b">
        <v>0</v>
      </c>
      <c r="T429" s="12" t="s">
        <v>78</v>
      </c>
      <c r="U429" s="15">
        <f t="shared" si="24"/>
        <v>6012.0434160000004</v>
      </c>
      <c r="V429" s="15">
        <f t="shared" si="25"/>
        <v>14521.843999999999</v>
      </c>
      <c r="W429" s="15">
        <f t="shared" si="26"/>
        <v>4544.1329999999998</v>
      </c>
      <c r="X429" s="15">
        <f t="shared" si="27"/>
        <v>11228.243</v>
      </c>
    </row>
    <row r="430" spans="1:24">
      <c r="A430" s="12" t="s">
        <v>1351</v>
      </c>
      <c r="B430" s="12" t="s">
        <v>1352</v>
      </c>
      <c r="C430" s="12" t="s">
        <v>26</v>
      </c>
      <c r="D430" s="12" t="s">
        <v>27</v>
      </c>
      <c r="E430" s="12" t="s">
        <v>92</v>
      </c>
      <c r="F430" s="13">
        <v>68323.61</v>
      </c>
      <c r="G430" s="13">
        <v>5.73</v>
      </c>
      <c r="H430" s="13">
        <v>64411.040000000001</v>
      </c>
      <c r="I430" s="13">
        <v>4.4000000000000004</v>
      </c>
      <c r="J430" s="13">
        <v>5</v>
      </c>
      <c r="K430" s="13">
        <v>457</v>
      </c>
      <c r="L430" s="12" t="s">
        <v>1353</v>
      </c>
      <c r="M430" s="12">
        <v>2.9</v>
      </c>
      <c r="N430" s="14">
        <v>45825</v>
      </c>
      <c r="O430" s="13">
        <v>4</v>
      </c>
      <c r="P430" s="12" t="s">
        <v>54</v>
      </c>
      <c r="Q430" s="12" t="s">
        <v>31</v>
      </c>
      <c r="R430" s="12" t="s">
        <v>72</v>
      </c>
      <c r="S430" s="12" t="b">
        <v>0</v>
      </c>
      <c r="T430" s="12" t="s">
        <v>62</v>
      </c>
      <c r="U430" s="15">
        <f t="shared" si="24"/>
        <v>3914.942853</v>
      </c>
      <c r="V430" s="15">
        <f t="shared" si="25"/>
        <v>27329.444</v>
      </c>
      <c r="W430" s="15">
        <f t="shared" si="26"/>
        <v>9661.6560000000009</v>
      </c>
      <c r="X430" s="15">
        <f t="shared" si="27"/>
        <v>27419.94</v>
      </c>
    </row>
    <row r="431" spans="1:24">
      <c r="A431" s="12" t="s">
        <v>1354</v>
      </c>
      <c r="B431" s="12" t="s">
        <v>1355</v>
      </c>
      <c r="C431" s="12" t="s">
        <v>26</v>
      </c>
      <c r="D431" s="12" t="s">
        <v>313</v>
      </c>
      <c r="E431" s="12" t="s">
        <v>112</v>
      </c>
      <c r="F431" s="13">
        <v>69045.72</v>
      </c>
      <c r="G431" s="13">
        <v>36.82</v>
      </c>
      <c r="H431" s="13">
        <v>43621.65</v>
      </c>
      <c r="I431" s="13">
        <v>4.2</v>
      </c>
      <c r="J431" s="13">
        <v>8</v>
      </c>
      <c r="K431" s="13">
        <v>204</v>
      </c>
      <c r="L431" s="12" t="s">
        <v>1356</v>
      </c>
      <c r="M431" s="12">
        <v>3.5</v>
      </c>
      <c r="N431" s="14">
        <v>45943</v>
      </c>
      <c r="O431" s="13">
        <v>1</v>
      </c>
      <c r="P431" s="12" t="s">
        <v>54</v>
      </c>
      <c r="Q431" s="12" t="s">
        <v>55</v>
      </c>
      <c r="R431" s="12" t="s">
        <v>86</v>
      </c>
      <c r="S431" s="12" t="b">
        <v>0</v>
      </c>
      <c r="T431" s="12" t="s">
        <v>62</v>
      </c>
      <c r="U431" s="15">
        <f t="shared" si="24"/>
        <v>25422.634104000001</v>
      </c>
      <c r="V431" s="15">
        <f t="shared" si="25"/>
        <v>27618.288</v>
      </c>
      <c r="W431" s="15">
        <f t="shared" si="26"/>
        <v>6543.2475000000004</v>
      </c>
      <c r="X431" s="15">
        <f t="shared" si="27"/>
        <v>9460.1144999999997</v>
      </c>
    </row>
    <row r="432" spans="1:24">
      <c r="A432" s="12" t="s">
        <v>1357</v>
      </c>
      <c r="B432" s="12" t="s">
        <v>1358</v>
      </c>
      <c r="C432" s="12" t="s">
        <v>50</v>
      </c>
      <c r="D432" s="12" t="s">
        <v>51</v>
      </c>
      <c r="E432" s="12" t="s">
        <v>100</v>
      </c>
      <c r="F432" s="13">
        <v>1004.32</v>
      </c>
      <c r="G432" s="13">
        <v>27.65</v>
      </c>
      <c r="H432" s="13">
        <v>726.62</v>
      </c>
      <c r="I432" s="13">
        <v>4.0999999999999996</v>
      </c>
      <c r="J432" s="13">
        <v>45</v>
      </c>
      <c r="K432" s="13">
        <v>356</v>
      </c>
      <c r="L432" s="12" t="s">
        <v>1359</v>
      </c>
      <c r="M432" s="12">
        <v>2.8</v>
      </c>
      <c r="N432" s="14">
        <v>46015</v>
      </c>
      <c r="O432" s="13">
        <v>3</v>
      </c>
      <c r="P432" s="12" t="s">
        <v>54</v>
      </c>
      <c r="Q432" s="12" t="s">
        <v>46</v>
      </c>
      <c r="R432" s="12" t="s">
        <v>32</v>
      </c>
      <c r="S432" s="12" t="b">
        <v>0</v>
      </c>
      <c r="T432" s="12" t="s">
        <v>56</v>
      </c>
      <c r="U432" s="15">
        <f t="shared" si="24"/>
        <v>277.69448</v>
      </c>
      <c r="V432" s="15">
        <f t="shared" si="25"/>
        <v>401.72800000000001</v>
      </c>
      <c r="W432" s="15">
        <f t="shared" si="26"/>
        <v>108.99299999999999</v>
      </c>
      <c r="X432" s="15">
        <f t="shared" si="27"/>
        <v>215.899</v>
      </c>
    </row>
    <row r="433" spans="1:24">
      <c r="A433" s="12" t="s">
        <v>1360</v>
      </c>
      <c r="B433" s="12" t="s">
        <v>1361</v>
      </c>
      <c r="C433" s="12" t="s">
        <v>36</v>
      </c>
      <c r="D433" s="12" t="s">
        <v>37</v>
      </c>
      <c r="E433" s="12" t="s">
        <v>65</v>
      </c>
      <c r="F433" s="13">
        <v>14286.87</v>
      </c>
      <c r="G433" s="13">
        <v>14.45</v>
      </c>
      <c r="H433" s="13">
        <v>12223.08</v>
      </c>
      <c r="I433" s="13">
        <v>4.4000000000000004</v>
      </c>
      <c r="J433" s="13">
        <v>57</v>
      </c>
      <c r="K433" s="13">
        <v>194</v>
      </c>
      <c r="L433" s="12" t="s">
        <v>1362</v>
      </c>
      <c r="M433" s="12">
        <v>2.9</v>
      </c>
      <c r="N433" s="14">
        <v>46047</v>
      </c>
      <c r="O433" s="13">
        <v>3</v>
      </c>
      <c r="P433" s="12" t="s">
        <v>117</v>
      </c>
      <c r="Q433" s="12" t="s">
        <v>31</v>
      </c>
      <c r="R433" s="12" t="s">
        <v>32</v>
      </c>
      <c r="S433" s="12" t="b">
        <v>0</v>
      </c>
      <c r="T433" s="12" t="s">
        <v>62</v>
      </c>
      <c r="U433" s="15">
        <f t="shared" si="24"/>
        <v>2064.4527149999999</v>
      </c>
      <c r="V433" s="15">
        <f t="shared" si="25"/>
        <v>5714.7479999999996</v>
      </c>
      <c r="W433" s="15">
        <f t="shared" si="26"/>
        <v>1833.462</v>
      </c>
      <c r="X433" s="15">
        <f t="shared" si="27"/>
        <v>4674.87</v>
      </c>
    </row>
    <row r="434" spans="1:24">
      <c r="A434" s="12" t="s">
        <v>1363</v>
      </c>
      <c r="B434" s="12" t="s">
        <v>1364</v>
      </c>
      <c r="C434" s="12" t="s">
        <v>75</v>
      </c>
      <c r="D434" s="12" t="s">
        <v>104</v>
      </c>
      <c r="E434" s="12" t="s">
        <v>235</v>
      </c>
      <c r="F434" s="13">
        <v>989.07</v>
      </c>
      <c r="G434" s="13">
        <v>30.56</v>
      </c>
      <c r="H434" s="13">
        <v>686.86</v>
      </c>
      <c r="I434" s="13">
        <v>3.2</v>
      </c>
      <c r="J434" s="13">
        <v>32</v>
      </c>
      <c r="K434" s="13">
        <v>23</v>
      </c>
      <c r="L434" s="12" t="s">
        <v>1365</v>
      </c>
      <c r="M434" s="12">
        <v>3.8</v>
      </c>
      <c r="N434" s="14">
        <v>45759</v>
      </c>
      <c r="O434" s="13">
        <v>1</v>
      </c>
      <c r="P434" s="12" t="s">
        <v>40</v>
      </c>
      <c r="Q434" s="12" t="s">
        <v>55</v>
      </c>
      <c r="R434" s="12" t="s">
        <v>72</v>
      </c>
      <c r="S434" s="12" t="b">
        <v>0</v>
      </c>
      <c r="T434" s="12" t="s">
        <v>78</v>
      </c>
      <c r="U434" s="15">
        <f t="shared" si="24"/>
        <v>302.259792</v>
      </c>
      <c r="V434" s="15">
        <f t="shared" si="25"/>
        <v>395.62799999999999</v>
      </c>
      <c r="W434" s="15">
        <f t="shared" si="26"/>
        <v>103.029</v>
      </c>
      <c r="X434" s="15">
        <f t="shared" si="27"/>
        <v>188.203</v>
      </c>
    </row>
    <row r="435" spans="1:24">
      <c r="A435" s="12" t="s">
        <v>1366</v>
      </c>
      <c r="B435" s="12" t="s">
        <v>1367</v>
      </c>
      <c r="C435" s="12" t="s">
        <v>36</v>
      </c>
      <c r="D435" s="12" t="s">
        <v>108</v>
      </c>
      <c r="E435" s="12" t="s">
        <v>65</v>
      </c>
      <c r="F435" s="13">
        <v>12394.7</v>
      </c>
      <c r="G435" s="13">
        <v>30.28</v>
      </c>
      <c r="H435" s="13">
        <v>8641.11</v>
      </c>
      <c r="I435" s="13">
        <v>4.2</v>
      </c>
      <c r="J435" s="13">
        <v>24</v>
      </c>
      <c r="K435" s="13">
        <v>447</v>
      </c>
      <c r="L435" s="12" t="s">
        <v>1368</v>
      </c>
      <c r="M435" s="12">
        <v>4</v>
      </c>
      <c r="N435" s="14">
        <v>45492</v>
      </c>
      <c r="O435" s="13">
        <v>2</v>
      </c>
      <c r="P435" s="12" t="s">
        <v>45</v>
      </c>
      <c r="Q435" s="12" t="s">
        <v>31</v>
      </c>
      <c r="R435" s="12" t="s">
        <v>32</v>
      </c>
      <c r="S435" s="12" t="b">
        <v>0</v>
      </c>
      <c r="T435" s="12" t="s">
        <v>56</v>
      </c>
      <c r="U435" s="15">
        <f t="shared" si="24"/>
        <v>3753.1151599999998</v>
      </c>
      <c r="V435" s="15">
        <f t="shared" si="25"/>
        <v>4957.88</v>
      </c>
      <c r="W435" s="15">
        <f t="shared" si="26"/>
        <v>1296.1665</v>
      </c>
      <c r="X435" s="15">
        <f t="shared" si="27"/>
        <v>2387.0635000000002</v>
      </c>
    </row>
    <row r="436" spans="1:24">
      <c r="A436" s="12" t="s">
        <v>1369</v>
      </c>
      <c r="B436" s="12" t="s">
        <v>1370</v>
      </c>
      <c r="C436" s="12" t="s">
        <v>75</v>
      </c>
      <c r="D436" s="12" t="s">
        <v>104</v>
      </c>
      <c r="E436" s="12" t="s">
        <v>112</v>
      </c>
      <c r="F436" s="13">
        <v>2219.56</v>
      </c>
      <c r="G436" s="13">
        <v>27.99</v>
      </c>
      <c r="H436" s="13">
        <v>1598.22</v>
      </c>
      <c r="I436" s="13">
        <v>4.4000000000000004</v>
      </c>
      <c r="J436" s="13">
        <v>107</v>
      </c>
      <c r="K436" s="13">
        <v>456</v>
      </c>
      <c r="L436" s="12" t="s">
        <v>1371</v>
      </c>
      <c r="M436" s="12">
        <v>4.4000000000000004</v>
      </c>
      <c r="N436" s="14">
        <v>45720</v>
      </c>
      <c r="O436" s="13">
        <v>1</v>
      </c>
      <c r="P436" s="12" t="s">
        <v>117</v>
      </c>
      <c r="Q436" s="12" t="s">
        <v>46</v>
      </c>
      <c r="R436" s="12" t="s">
        <v>47</v>
      </c>
      <c r="S436" s="12" t="b">
        <v>0</v>
      </c>
      <c r="T436" s="12" t="s">
        <v>62</v>
      </c>
      <c r="U436" s="15">
        <f t="shared" si="24"/>
        <v>621.25484400000005</v>
      </c>
      <c r="V436" s="15">
        <f t="shared" si="25"/>
        <v>887.82399999999996</v>
      </c>
      <c r="W436" s="15">
        <f t="shared" si="26"/>
        <v>239.733</v>
      </c>
      <c r="X436" s="15">
        <f t="shared" si="27"/>
        <v>470.66300000000001</v>
      </c>
    </row>
    <row r="437" spans="1:24">
      <c r="A437" s="12" t="s">
        <v>1372</v>
      </c>
      <c r="B437" s="12" t="s">
        <v>1373</v>
      </c>
      <c r="C437" s="12" t="s">
        <v>50</v>
      </c>
      <c r="D437" s="12" t="s">
        <v>51</v>
      </c>
      <c r="E437" s="12" t="s">
        <v>92</v>
      </c>
      <c r="F437" s="13">
        <v>2468.0700000000002</v>
      </c>
      <c r="G437" s="13">
        <v>28.28</v>
      </c>
      <c r="H437" s="13">
        <v>1770.14</v>
      </c>
      <c r="I437" s="13">
        <v>3.2</v>
      </c>
      <c r="J437" s="13">
        <v>13</v>
      </c>
      <c r="K437" s="13">
        <v>164</v>
      </c>
      <c r="L437" s="12" t="s">
        <v>1374</v>
      </c>
      <c r="M437" s="12">
        <v>4.2</v>
      </c>
      <c r="N437" s="14">
        <v>45423</v>
      </c>
      <c r="O437" s="13">
        <v>3</v>
      </c>
      <c r="P437" s="12" t="s">
        <v>40</v>
      </c>
      <c r="Q437" s="12" t="s">
        <v>55</v>
      </c>
      <c r="R437" s="12" t="s">
        <v>72</v>
      </c>
      <c r="S437" s="12" t="b">
        <v>1</v>
      </c>
      <c r="T437" s="12" t="s">
        <v>33</v>
      </c>
      <c r="U437" s="15">
        <f t="shared" si="24"/>
        <v>697.97019599999999</v>
      </c>
      <c r="V437" s="15">
        <f t="shared" si="25"/>
        <v>987.22799999999995</v>
      </c>
      <c r="W437" s="15">
        <f t="shared" si="26"/>
        <v>265.52100000000002</v>
      </c>
      <c r="X437" s="15">
        <f t="shared" si="27"/>
        <v>517.39099999999996</v>
      </c>
    </row>
    <row r="438" spans="1:24">
      <c r="A438" s="12" t="s">
        <v>1375</v>
      </c>
      <c r="B438" s="12" t="s">
        <v>1376</v>
      </c>
      <c r="C438" s="12" t="s">
        <v>26</v>
      </c>
      <c r="D438" s="12" t="s">
        <v>123</v>
      </c>
      <c r="E438" s="12" t="s">
        <v>131</v>
      </c>
      <c r="F438" s="13">
        <v>28707.599999999999</v>
      </c>
      <c r="G438" s="13">
        <v>7.82</v>
      </c>
      <c r="H438" s="13">
        <v>26462.57</v>
      </c>
      <c r="I438" s="13">
        <v>3.9</v>
      </c>
      <c r="J438" s="13">
        <v>9</v>
      </c>
      <c r="K438" s="13">
        <v>40</v>
      </c>
      <c r="L438" s="12" t="s">
        <v>1377</v>
      </c>
      <c r="M438" s="12">
        <v>4.5999999999999996</v>
      </c>
      <c r="N438" s="14">
        <v>45580</v>
      </c>
      <c r="O438" s="13">
        <v>1</v>
      </c>
      <c r="P438" s="12" t="s">
        <v>117</v>
      </c>
      <c r="Q438" s="12" t="s">
        <v>55</v>
      </c>
      <c r="R438" s="12" t="s">
        <v>86</v>
      </c>
      <c r="S438" s="12" t="b">
        <v>0</v>
      </c>
      <c r="T438" s="12" t="s">
        <v>78</v>
      </c>
      <c r="U438" s="15">
        <f t="shared" si="24"/>
        <v>2244.9343199999998</v>
      </c>
      <c r="V438" s="15">
        <f t="shared" si="25"/>
        <v>11483.04</v>
      </c>
      <c r="W438" s="15">
        <f t="shared" si="26"/>
        <v>3969.3854999999999</v>
      </c>
      <c r="X438" s="15">
        <f t="shared" si="27"/>
        <v>11010.1445</v>
      </c>
    </row>
    <row r="439" spans="1:24">
      <c r="A439" s="12" t="s">
        <v>1378</v>
      </c>
      <c r="B439" s="12" t="s">
        <v>1379</v>
      </c>
      <c r="C439" s="12" t="s">
        <v>50</v>
      </c>
      <c r="D439" s="12" t="s">
        <v>51</v>
      </c>
      <c r="E439" s="12" t="s">
        <v>112</v>
      </c>
      <c r="F439" s="13">
        <v>1845.63</v>
      </c>
      <c r="G439" s="13">
        <v>30.67</v>
      </c>
      <c r="H439" s="13">
        <v>1279.5999999999999</v>
      </c>
      <c r="I439" s="13">
        <v>4.5999999999999996</v>
      </c>
      <c r="J439" s="13">
        <v>37</v>
      </c>
      <c r="K439" s="13">
        <v>9</v>
      </c>
      <c r="L439" s="12" t="s">
        <v>1380</v>
      </c>
      <c r="M439" s="12">
        <v>4.7</v>
      </c>
      <c r="N439" s="14">
        <v>45963</v>
      </c>
      <c r="O439" s="13">
        <v>4</v>
      </c>
      <c r="P439" s="12" t="s">
        <v>40</v>
      </c>
      <c r="Q439" s="12" t="s">
        <v>55</v>
      </c>
      <c r="R439" s="12" t="s">
        <v>86</v>
      </c>
      <c r="S439" s="12" t="b">
        <v>0</v>
      </c>
      <c r="T439" s="12" t="s">
        <v>78</v>
      </c>
      <c r="U439" s="15">
        <f t="shared" si="24"/>
        <v>566.05472099999997</v>
      </c>
      <c r="V439" s="15">
        <f t="shared" si="25"/>
        <v>738.25199999999995</v>
      </c>
      <c r="W439" s="15">
        <f t="shared" si="26"/>
        <v>191.94</v>
      </c>
      <c r="X439" s="15">
        <f t="shared" si="27"/>
        <v>349.40800000000002</v>
      </c>
    </row>
    <row r="440" spans="1:24">
      <c r="A440" s="12" t="s">
        <v>1381</v>
      </c>
      <c r="B440" s="12" t="s">
        <v>1382</v>
      </c>
      <c r="C440" s="12" t="s">
        <v>36</v>
      </c>
      <c r="D440" s="12" t="s">
        <v>108</v>
      </c>
      <c r="E440" s="12" t="s">
        <v>38</v>
      </c>
      <c r="F440" s="13">
        <v>13789.09</v>
      </c>
      <c r="G440" s="13">
        <v>19.75</v>
      </c>
      <c r="H440" s="13">
        <v>11065.37</v>
      </c>
      <c r="I440" s="13">
        <v>4.5999999999999996</v>
      </c>
      <c r="J440" s="13">
        <v>10</v>
      </c>
      <c r="K440" s="13">
        <v>493</v>
      </c>
      <c r="L440" s="12" t="s">
        <v>1383</v>
      </c>
      <c r="M440" s="12">
        <v>4.3</v>
      </c>
      <c r="N440" s="14">
        <v>45926</v>
      </c>
      <c r="O440" s="13">
        <v>3</v>
      </c>
      <c r="P440" s="12" t="s">
        <v>40</v>
      </c>
      <c r="Q440" s="12" t="s">
        <v>31</v>
      </c>
      <c r="R440" s="12" t="s">
        <v>47</v>
      </c>
      <c r="S440" s="12" t="b">
        <v>0</v>
      </c>
      <c r="T440" s="12" t="s">
        <v>62</v>
      </c>
      <c r="U440" s="15">
        <f t="shared" si="24"/>
        <v>2723.3452750000001</v>
      </c>
      <c r="V440" s="15">
        <f t="shared" si="25"/>
        <v>5515.6360000000004</v>
      </c>
      <c r="W440" s="15">
        <f t="shared" si="26"/>
        <v>1659.8054999999999</v>
      </c>
      <c r="X440" s="15">
        <f t="shared" si="27"/>
        <v>3889.9285</v>
      </c>
    </row>
    <row r="441" spans="1:24">
      <c r="A441" s="12" t="s">
        <v>1384</v>
      </c>
      <c r="B441" s="12" t="s">
        <v>1385</v>
      </c>
      <c r="C441" s="12" t="s">
        <v>50</v>
      </c>
      <c r="D441" s="12" t="s">
        <v>51</v>
      </c>
      <c r="E441" s="12" t="s">
        <v>112</v>
      </c>
      <c r="F441" s="13">
        <v>1433.9</v>
      </c>
      <c r="G441" s="13">
        <v>15.21</v>
      </c>
      <c r="H441" s="13">
        <v>1215.75</v>
      </c>
      <c r="I441" s="13">
        <v>4</v>
      </c>
      <c r="J441" s="13">
        <v>23</v>
      </c>
      <c r="K441" s="13">
        <v>432</v>
      </c>
      <c r="L441" s="12" t="s">
        <v>1386</v>
      </c>
      <c r="M441" s="12">
        <v>3.2</v>
      </c>
      <c r="N441" s="14">
        <v>46080</v>
      </c>
      <c r="O441" s="13">
        <v>1</v>
      </c>
      <c r="P441" s="12" t="s">
        <v>40</v>
      </c>
      <c r="Q441" s="12" t="s">
        <v>55</v>
      </c>
      <c r="R441" s="12" t="s">
        <v>86</v>
      </c>
      <c r="S441" s="12" t="b">
        <v>0</v>
      </c>
      <c r="T441" s="12" t="s">
        <v>62</v>
      </c>
      <c r="U441" s="15">
        <f t="shared" si="24"/>
        <v>218.09619000000001</v>
      </c>
      <c r="V441" s="15">
        <f t="shared" si="25"/>
        <v>573.55999999999995</v>
      </c>
      <c r="W441" s="15">
        <f t="shared" si="26"/>
        <v>182.36250000000001</v>
      </c>
      <c r="X441" s="15">
        <f t="shared" si="27"/>
        <v>459.82749999999999</v>
      </c>
    </row>
    <row r="442" spans="1:24">
      <c r="A442" s="12" t="s">
        <v>1387</v>
      </c>
      <c r="B442" s="12" t="s">
        <v>1388</v>
      </c>
      <c r="C442" s="12" t="s">
        <v>59</v>
      </c>
      <c r="D442" s="12" t="s">
        <v>60</v>
      </c>
      <c r="E442" s="12" t="s">
        <v>235</v>
      </c>
      <c r="F442" s="13">
        <v>4616.3999999999996</v>
      </c>
      <c r="G442" s="13">
        <v>18.47</v>
      </c>
      <c r="H442" s="13">
        <v>3763.96</v>
      </c>
      <c r="I442" s="13">
        <v>2.9</v>
      </c>
      <c r="J442" s="13">
        <v>10</v>
      </c>
      <c r="K442" s="13">
        <v>113</v>
      </c>
      <c r="L442" s="12" t="s">
        <v>1389</v>
      </c>
      <c r="M442" s="12">
        <v>4.5999999999999996</v>
      </c>
      <c r="N442" s="14">
        <v>45971</v>
      </c>
      <c r="O442" s="13">
        <v>2</v>
      </c>
      <c r="P442" s="12" t="s">
        <v>40</v>
      </c>
      <c r="Q442" s="12" t="s">
        <v>55</v>
      </c>
      <c r="R442" s="12" t="s">
        <v>72</v>
      </c>
      <c r="S442" s="12" t="b">
        <v>0</v>
      </c>
      <c r="T442" s="12" t="s">
        <v>62</v>
      </c>
      <c r="U442" s="15">
        <f t="shared" si="24"/>
        <v>852.64908000000003</v>
      </c>
      <c r="V442" s="15">
        <f t="shared" si="25"/>
        <v>1846.56</v>
      </c>
      <c r="W442" s="15">
        <f t="shared" si="26"/>
        <v>564.59400000000005</v>
      </c>
      <c r="X442" s="15">
        <f t="shared" si="27"/>
        <v>1352.806</v>
      </c>
    </row>
    <row r="443" spans="1:24">
      <c r="A443" s="12" t="s">
        <v>1390</v>
      </c>
      <c r="B443" s="12" t="s">
        <v>1391</v>
      </c>
      <c r="C443" s="12" t="s">
        <v>59</v>
      </c>
      <c r="D443" s="12" t="s">
        <v>60</v>
      </c>
      <c r="E443" s="12" t="s">
        <v>131</v>
      </c>
      <c r="F443" s="13">
        <v>18878.849999999999</v>
      </c>
      <c r="G443" s="13">
        <v>41.23</v>
      </c>
      <c r="H443" s="13">
        <v>11095.22</v>
      </c>
      <c r="I443" s="13">
        <v>3.8</v>
      </c>
      <c r="J443" s="13">
        <v>59</v>
      </c>
      <c r="K443" s="13">
        <v>23</v>
      </c>
      <c r="L443" s="12" t="s">
        <v>1392</v>
      </c>
      <c r="M443" s="12">
        <v>2.7</v>
      </c>
      <c r="N443" s="14">
        <v>46001</v>
      </c>
      <c r="O443" s="13">
        <v>1</v>
      </c>
      <c r="P443" s="12" t="s">
        <v>30</v>
      </c>
      <c r="Q443" s="12" t="s">
        <v>55</v>
      </c>
      <c r="R443" s="12" t="s">
        <v>47</v>
      </c>
      <c r="S443" s="12" t="b">
        <v>1</v>
      </c>
      <c r="T443" s="12" t="s">
        <v>33</v>
      </c>
      <c r="U443" s="15">
        <f t="shared" si="24"/>
        <v>7783.749855</v>
      </c>
      <c r="V443" s="15">
        <f t="shared" si="25"/>
        <v>7551.54</v>
      </c>
      <c r="W443" s="15">
        <f t="shared" si="26"/>
        <v>1664.2829999999999</v>
      </c>
      <c r="X443" s="15">
        <f t="shared" si="27"/>
        <v>1879.3969999999999</v>
      </c>
    </row>
    <row r="444" spans="1:24">
      <c r="A444" s="12" t="s">
        <v>1393</v>
      </c>
      <c r="B444" s="12" t="s">
        <v>1394</v>
      </c>
      <c r="C444" s="12" t="s">
        <v>50</v>
      </c>
      <c r="D444" s="12" t="s">
        <v>130</v>
      </c>
      <c r="E444" s="12" t="s">
        <v>52</v>
      </c>
      <c r="F444" s="13">
        <v>3172.18</v>
      </c>
      <c r="G444" s="13">
        <v>34.78</v>
      </c>
      <c r="H444" s="13">
        <v>2069</v>
      </c>
      <c r="I444" s="13">
        <v>3.7</v>
      </c>
      <c r="J444" s="13">
        <v>15</v>
      </c>
      <c r="K444" s="13">
        <v>61</v>
      </c>
      <c r="L444" s="12" t="s">
        <v>1395</v>
      </c>
      <c r="M444" s="12">
        <v>4.4000000000000004</v>
      </c>
      <c r="N444" s="14">
        <v>46026</v>
      </c>
      <c r="O444" s="13">
        <v>6</v>
      </c>
      <c r="P444" s="12" t="s">
        <v>45</v>
      </c>
      <c r="Q444" s="12" t="s">
        <v>46</v>
      </c>
      <c r="R444" s="12" t="s">
        <v>86</v>
      </c>
      <c r="S444" s="12" t="b">
        <v>0</v>
      </c>
      <c r="T444" s="12" t="s">
        <v>78</v>
      </c>
      <c r="U444" s="15">
        <f t="shared" si="24"/>
        <v>1103.284204</v>
      </c>
      <c r="V444" s="15">
        <f t="shared" si="25"/>
        <v>1268.8720000000001</v>
      </c>
      <c r="W444" s="15">
        <f t="shared" si="26"/>
        <v>310.35000000000002</v>
      </c>
      <c r="X444" s="15">
        <f t="shared" si="27"/>
        <v>489.77800000000002</v>
      </c>
    </row>
    <row r="445" spans="1:24">
      <c r="A445" s="12" t="s">
        <v>1396</v>
      </c>
      <c r="B445" s="12" t="s">
        <v>1397</v>
      </c>
      <c r="C445" s="12" t="s">
        <v>59</v>
      </c>
      <c r="D445" s="12" t="s">
        <v>69</v>
      </c>
      <c r="E445" s="12" t="s">
        <v>96</v>
      </c>
      <c r="F445" s="13">
        <v>19378.150000000001</v>
      </c>
      <c r="G445" s="13">
        <v>24.22</v>
      </c>
      <c r="H445" s="13">
        <v>14684.81</v>
      </c>
      <c r="I445" s="13">
        <v>4.5</v>
      </c>
      <c r="J445" s="13">
        <v>18</v>
      </c>
      <c r="K445" s="13">
        <v>301</v>
      </c>
      <c r="L445" s="12" t="s">
        <v>1398</v>
      </c>
      <c r="M445" s="12">
        <v>4</v>
      </c>
      <c r="N445" s="14">
        <v>46055</v>
      </c>
      <c r="O445" s="13">
        <v>3</v>
      </c>
      <c r="P445" s="12" t="s">
        <v>40</v>
      </c>
      <c r="Q445" s="12" t="s">
        <v>55</v>
      </c>
      <c r="R445" s="12" t="s">
        <v>86</v>
      </c>
      <c r="S445" s="12" t="b">
        <v>0</v>
      </c>
      <c r="T445" s="12" t="s">
        <v>62</v>
      </c>
      <c r="U445" s="15">
        <f t="shared" si="24"/>
        <v>4693.3879299999999</v>
      </c>
      <c r="V445" s="15">
        <f t="shared" si="25"/>
        <v>7751.26</v>
      </c>
      <c r="W445" s="15">
        <f t="shared" si="26"/>
        <v>2202.7215000000001</v>
      </c>
      <c r="X445" s="15">
        <f t="shared" si="27"/>
        <v>4730.8284999999996</v>
      </c>
    </row>
    <row r="446" spans="1:24">
      <c r="A446" s="12" t="s">
        <v>1399</v>
      </c>
      <c r="B446" s="12" t="s">
        <v>1400</v>
      </c>
      <c r="C446" s="12" t="s">
        <v>36</v>
      </c>
      <c r="D446" s="12" t="s">
        <v>108</v>
      </c>
      <c r="E446" s="12" t="s">
        <v>92</v>
      </c>
      <c r="F446" s="13">
        <v>1279.8399999999999</v>
      </c>
      <c r="G446" s="13">
        <v>5.99</v>
      </c>
      <c r="H446" s="13">
        <v>1203.1300000000001</v>
      </c>
      <c r="I446" s="13">
        <v>3.1</v>
      </c>
      <c r="J446" s="13">
        <v>6</v>
      </c>
      <c r="K446" s="13">
        <v>376</v>
      </c>
      <c r="L446" s="12" t="s">
        <v>1401</v>
      </c>
      <c r="M446" s="12">
        <v>3.9</v>
      </c>
      <c r="N446" s="14">
        <v>45853</v>
      </c>
      <c r="O446" s="13">
        <v>1</v>
      </c>
      <c r="P446" s="12" t="s">
        <v>117</v>
      </c>
      <c r="Q446" s="12" t="s">
        <v>31</v>
      </c>
      <c r="R446" s="12" t="s">
        <v>86</v>
      </c>
      <c r="S446" s="12" t="b">
        <v>0</v>
      </c>
      <c r="T446" s="12" t="s">
        <v>62</v>
      </c>
      <c r="U446" s="15">
        <f t="shared" si="24"/>
        <v>76.662415999999993</v>
      </c>
      <c r="V446" s="15">
        <f t="shared" si="25"/>
        <v>511.93599999999998</v>
      </c>
      <c r="W446" s="15">
        <f t="shared" si="26"/>
        <v>180.46950000000001</v>
      </c>
      <c r="X446" s="15">
        <f t="shared" si="27"/>
        <v>510.72449999999998</v>
      </c>
    </row>
    <row r="447" spans="1:24">
      <c r="A447" s="12" t="s">
        <v>1402</v>
      </c>
      <c r="B447" s="12" t="s">
        <v>1403</v>
      </c>
      <c r="C447" s="12" t="s">
        <v>50</v>
      </c>
      <c r="D447" s="12" t="s">
        <v>213</v>
      </c>
      <c r="E447" s="12" t="s">
        <v>92</v>
      </c>
      <c r="F447" s="13">
        <v>3710</v>
      </c>
      <c r="G447" s="13">
        <v>48.89</v>
      </c>
      <c r="H447" s="13">
        <v>1896.05</v>
      </c>
      <c r="I447" s="13">
        <v>2.9</v>
      </c>
      <c r="J447" s="13">
        <v>47</v>
      </c>
      <c r="K447" s="13">
        <v>53</v>
      </c>
      <c r="L447" s="12" t="s">
        <v>1404</v>
      </c>
      <c r="M447" s="12">
        <v>3.7</v>
      </c>
      <c r="N447" s="14">
        <v>46063</v>
      </c>
      <c r="O447" s="13">
        <v>5</v>
      </c>
      <c r="P447" s="12" t="s">
        <v>45</v>
      </c>
      <c r="Q447" s="12" t="s">
        <v>31</v>
      </c>
      <c r="R447" s="12" t="s">
        <v>72</v>
      </c>
      <c r="S447" s="12" t="b">
        <v>0</v>
      </c>
      <c r="T447" s="12" t="s">
        <v>62</v>
      </c>
      <c r="U447" s="15">
        <f t="shared" si="24"/>
        <v>1813.819</v>
      </c>
      <c r="V447" s="15">
        <f t="shared" si="25"/>
        <v>1484</v>
      </c>
      <c r="W447" s="15">
        <f t="shared" si="26"/>
        <v>284.40750000000003</v>
      </c>
      <c r="X447" s="15">
        <f t="shared" si="27"/>
        <v>127.6425</v>
      </c>
    </row>
    <row r="448" spans="1:24">
      <c r="A448" s="12" t="s">
        <v>1405</v>
      </c>
      <c r="B448" s="12" t="s">
        <v>1406</v>
      </c>
      <c r="C448" s="12" t="s">
        <v>50</v>
      </c>
      <c r="D448" s="12" t="s">
        <v>51</v>
      </c>
      <c r="E448" s="12" t="s">
        <v>65</v>
      </c>
      <c r="F448" s="13">
        <v>3147.84</v>
      </c>
      <c r="G448" s="13">
        <v>13.63</v>
      </c>
      <c r="H448" s="13">
        <v>2718.85</v>
      </c>
      <c r="I448" s="13">
        <v>4.9000000000000004</v>
      </c>
      <c r="J448" s="13">
        <v>81</v>
      </c>
      <c r="K448" s="13">
        <v>493</v>
      </c>
      <c r="L448" s="12" t="s">
        <v>1407</v>
      </c>
      <c r="M448" s="12">
        <v>2.7</v>
      </c>
      <c r="N448" s="14">
        <v>45844</v>
      </c>
      <c r="O448" s="13">
        <v>3</v>
      </c>
      <c r="P448" s="12" t="s">
        <v>54</v>
      </c>
      <c r="Q448" s="12" t="s">
        <v>55</v>
      </c>
      <c r="R448" s="12" t="s">
        <v>86</v>
      </c>
      <c r="S448" s="12" t="b">
        <v>0</v>
      </c>
      <c r="T448" s="12" t="s">
        <v>78</v>
      </c>
      <c r="U448" s="15">
        <f t="shared" si="24"/>
        <v>429.05059199999999</v>
      </c>
      <c r="V448" s="15">
        <f t="shared" si="25"/>
        <v>1259.136</v>
      </c>
      <c r="W448" s="15">
        <f t="shared" si="26"/>
        <v>407.82749999999999</v>
      </c>
      <c r="X448" s="15">
        <f t="shared" si="27"/>
        <v>1051.8865000000001</v>
      </c>
    </row>
    <row r="449" spans="1:24">
      <c r="A449" s="12" t="s">
        <v>1408</v>
      </c>
      <c r="B449" s="12" t="s">
        <v>1409</v>
      </c>
      <c r="C449" s="12" t="s">
        <v>75</v>
      </c>
      <c r="D449" s="12" t="s">
        <v>104</v>
      </c>
      <c r="E449" s="12" t="s">
        <v>65</v>
      </c>
      <c r="F449" s="13">
        <v>4313.96</v>
      </c>
      <c r="G449" s="13">
        <v>52.4</v>
      </c>
      <c r="H449" s="13">
        <v>2053.61</v>
      </c>
      <c r="I449" s="13">
        <v>4.9000000000000004</v>
      </c>
      <c r="J449" s="13">
        <v>35</v>
      </c>
      <c r="K449" s="13">
        <v>440</v>
      </c>
      <c r="L449" s="12" t="s">
        <v>1410</v>
      </c>
      <c r="M449" s="12">
        <v>3.8</v>
      </c>
      <c r="N449" s="14">
        <v>45925</v>
      </c>
      <c r="O449" s="13">
        <v>5</v>
      </c>
      <c r="P449" s="12" t="s">
        <v>45</v>
      </c>
      <c r="Q449" s="12" t="s">
        <v>31</v>
      </c>
      <c r="R449" s="12" t="s">
        <v>47</v>
      </c>
      <c r="S449" s="12" t="b">
        <v>0</v>
      </c>
      <c r="T449" s="12" t="s">
        <v>78</v>
      </c>
      <c r="U449" s="15">
        <f t="shared" si="24"/>
        <v>2260.5150400000002</v>
      </c>
      <c r="V449" s="15">
        <f t="shared" si="25"/>
        <v>1725.5840000000001</v>
      </c>
      <c r="W449" s="15">
        <f t="shared" si="26"/>
        <v>308.04149999999998</v>
      </c>
      <c r="X449" s="15">
        <f t="shared" si="27"/>
        <v>19.9845000000001</v>
      </c>
    </row>
    <row r="450" spans="1:24">
      <c r="A450" s="12" t="s">
        <v>1411</v>
      </c>
      <c r="B450" s="12" t="s">
        <v>1412</v>
      </c>
      <c r="C450" s="12" t="s">
        <v>75</v>
      </c>
      <c r="D450" s="12" t="s">
        <v>76</v>
      </c>
      <c r="E450" s="12" t="s">
        <v>28</v>
      </c>
      <c r="F450" s="13">
        <v>4264.3900000000003</v>
      </c>
      <c r="G450" s="13">
        <v>28.38</v>
      </c>
      <c r="H450" s="13">
        <v>3054.32</v>
      </c>
      <c r="I450" s="13">
        <v>4.3</v>
      </c>
      <c r="J450" s="13">
        <v>6</v>
      </c>
      <c r="K450" s="13">
        <v>471</v>
      </c>
      <c r="L450" s="12" t="s">
        <v>1413</v>
      </c>
      <c r="M450" s="12">
        <v>3.1</v>
      </c>
      <c r="N450" s="14">
        <v>45620</v>
      </c>
      <c r="O450" s="13">
        <v>6</v>
      </c>
      <c r="P450" s="12" t="s">
        <v>30</v>
      </c>
      <c r="Q450" s="12" t="s">
        <v>31</v>
      </c>
      <c r="R450" s="12" t="s">
        <v>47</v>
      </c>
      <c r="S450" s="12" t="b">
        <v>0</v>
      </c>
      <c r="T450" s="12" t="s">
        <v>62</v>
      </c>
      <c r="U450" s="15">
        <f t="shared" si="24"/>
        <v>1210.233882</v>
      </c>
      <c r="V450" s="15">
        <f t="shared" si="25"/>
        <v>1705.7560000000001</v>
      </c>
      <c r="W450" s="15">
        <f t="shared" si="26"/>
        <v>458.14800000000002</v>
      </c>
      <c r="X450" s="15">
        <f t="shared" si="27"/>
        <v>890.41600000000005</v>
      </c>
    </row>
    <row r="451" spans="1:24">
      <c r="A451" s="12" t="s">
        <v>1414</v>
      </c>
      <c r="B451" s="12" t="s">
        <v>1415</v>
      </c>
      <c r="C451" s="12" t="s">
        <v>36</v>
      </c>
      <c r="D451" s="12" t="s">
        <v>108</v>
      </c>
      <c r="E451" s="12" t="s">
        <v>100</v>
      </c>
      <c r="F451" s="13">
        <v>8220.83</v>
      </c>
      <c r="G451" s="13">
        <v>30.4</v>
      </c>
      <c r="H451" s="13">
        <v>5721.8</v>
      </c>
      <c r="I451" s="13">
        <v>3.3</v>
      </c>
      <c r="J451" s="13">
        <v>28</v>
      </c>
      <c r="K451" s="13">
        <v>389</v>
      </c>
      <c r="L451" s="12" t="s">
        <v>1416</v>
      </c>
      <c r="M451" s="12">
        <v>4.7</v>
      </c>
      <c r="N451" s="14">
        <v>45908</v>
      </c>
      <c r="O451" s="13">
        <v>2</v>
      </c>
      <c r="P451" s="12" t="s">
        <v>30</v>
      </c>
      <c r="Q451" s="12" t="s">
        <v>31</v>
      </c>
      <c r="R451" s="12" t="s">
        <v>86</v>
      </c>
      <c r="S451" s="12" t="b">
        <v>0</v>
      </c>
      <c r="T451" s="12" t="s">
        <v>62</v>
      </c>
      <c r="U451" s="15">
        <f t="shared" ref="U451:U514" si="28">F451*(G451/100)</f>
        <v>2499.1323200000002</v>
      </c>
      <c r="V451" s="15">
        <f t="shared" ref="V451:V514" si="29">F451*0.4</f>
        <v>3288.3319999999999</v>
      </c>
      <c r="W451" s="15">
        <f t="shared" ref="W451:W514" si="30">H451*0.15</f>
        <v>858.27</v>
      </c>
      <c r="X451" s="15">
        <f t="shared" ref="X451:X514" si="31">H451-V451-W451</f>
        <v>1575.1980000000001</v>
      </c>
    </row>
    <row r="452" spans="1:24">
      <c r="A452" s="12" t="s">
        <v>1417</v>
      </c>
      <c r="B452" s="12" t="s">
        <v>1418</v>
      </c>
      <c r="C452" s="12" t="s">
        <v>36</v>
      </c>
      <c r="D452" s="12" t="s">
        <v>108</v>
      </c>
      <c r="E452" s="12" t="s">
        <v>28</v>
      </c>
      <c r="F452" s="13">
        <v>3164.88</v>
      </c>
      <c r="G452" s="13">
        <v>19.78</v>
      </c>
      <c r="H452" s="13">
        <v>2538.9499999999998</v>
      </c>
      <c r="I452" s="13">
        <v>3.6</v>
      </c>
      <c r="J452" s="13">
        <v>19</v>
      </c>
      <c r="K452" s="13">
        <v>146</v>
      </c>
      <c r="L452" s="12" t="s">
        <v>1419</v>
      </c>
      <c r="M452" s="12">
        <v>3.8</v>
      </c>
      <c r="N452" s="14">
        <v>45580</v>
      </c>
      <c r="O452" s="13">
        <v>4</v>
      </c>
      <c r="P452" s="12" t="s">
        <v>117</v>
      </c>
      <c r="Q452" s="12" t="s">
        <v>46</v>
      </c>
      <c r="R452" s="12" t="s">
        <v>32</v>
      </c>
      <c r="S452" s="12" t="b">
        <v>0</v>
      </c>
      <c r="T452" s="12" t="s">
        <v>78</v>
      </c>
      <c r="U452" s="15">
        <f t="shared" si="28"/>
        <v>626.01326400000005</v>
      </c>
      <c r="V452" s="15">
        <f t="shared" si="29"/>
        <v>1265.952</v>
      </c>
      <c r="W452" s="15">
        <f t="shared" si="30"/>
        <v>380.84249999999997</v>
      </c>
      <c r="X452" s="15">
        <f t="shared" si="31"/>
        <v>892.15549999999996</v>
      </c>
    </row>
    <row r="453" spans="1:24">
      <c r="A453" s="12" t="s">
        <v>1420</v>
      </c>
      <c r="B453" s="12" t="s">
        <v>1421</v>
      </c>
      <c r="C453" s="12" t="s">
        <v>50</v>
      </c>
      <c r="D453" s="12" t="s">
        <v>130</v>
      </c>
      <c r="E453" s="12" t="s">
        <v>38</v>
      </c>
      <c r="F453" s="13">
        <v>4064.84</v>
      </c>
      <c r="G453" s="13">
        <v>8.82</v>
      </c>
      <c r="H453" s="13">
        <v>3706.18</v>
      </c>
      <c r="I453" s="13">
        <v>4.8</v>
      </c>
      <c r="J453" s="13">
        <v>9</v>
      </c>
      <c r="K453" s="13">
        <v>384</v>
      </c>
      <c r="L453" s="12" t="s">
        <v>1422</v>
      </c>
      <c r="M453" s="12">
        <v>4.5</v>
      </c>
      <c r="N453" s="14">
        <v>45383</v>
      </c>
      <c r="O453" s="13">
        <v>5</v>
      </c>
      <c r="P453" s="12" t="s">
        <v>40</v>
      </c>
      <c r="Q453" s="12" t="s">
        <v>55</v>
      </c>
      <c r="R453" s="12" t="s">
        <v>72</v>
      </c>
      <c r="S453" s="12" t="b">
        <v>0</v>
      </c>
      <c r="T453" s="12" t="s">
        <v>78</v>
      </c>
      <c r="U453" s="15">
        <f t="shared" si="28"/>
        <v>358.518888</v>
      </c>
      <c r="V453" s="15">
        <f t="shared" si="29"/>
        <v>1625.9359999999999</v>
      </c>
      <c r="W453" s="15">
        <f t="shared" si="30"/>
        <v>555.92700000000002</v>
      </c>
      <c r="X453" s="15">
        <f t="shared" si="31"/>
        <v>1524.317</v>
      </c>
    </row>
    <row r="454" spans="1:24">
      <c r="A454" s="12" t="s">
        <v>1423</v>
      </c>
      <c r="B454" s="12" t="s">
        <v>1424</v>
      </c>
      <c r="C454" s="12" t="s">
        <v>26</v>
      </c>
      <c r="D454" s="12" t="s">
        <v>313</v>
      </c>
      <c r="E454" s="12" t="s">
        <v>70</v>
      </c>
      <c r="F454" s="13">
        <v>15263.39</v>
      </c>
      <c r="G454" s="13">
        <v>30.36</v>
      </c>
      <c r="H454" s="13">
        <v>10628.76</v>
      </c>
      <c r="I454" s="13">
        <v>4</v>
      </c>
      <c r="J454" s="13">
        <v>23</v>
      </c>
      <c r="K454" s="13">
        <v>416</v>
      </c>
      <c r="L454" s="12" t="s">
        <v>1425</v>
      </c>
      <c r="M454" s="12">
        <v>4.8</v>
      </c>
      <c r="N454" s="14">
        <v>45674</v>
      </c>
      <c r="O454" s="13">
        <v>6</v>
      </c>
      <c r="P454" s="12" t="s">
        <v>45</v>
      </c>
      <c r="Q454" s="12" t="s">
        <v>46</v>
      </c>
      <c r="R454" s="12" t="s">
        <v>47</v>
      </c>
      <c r="S454" s="12" t="b">
        <v>0</v>
      </c>
      <c r="T454" s="12" t="s">
        <v>62</v>
      </c>
      <c r="U454" s="15">
        <f t="shared" si="28"/>
        <v>4633.9652040000001</v>
      </c>
      <c r="V454" s="15">
        <f t="shared" si="29"/>
        <v>6105.3559999999998</v>
      </c>
      <c r="W454" s="15">
        <f t="shared" si="30"/>
        <v>1594.3140000000001</v>
      </c>
      <c r="X454" s="15">
        <f t="shared" si="31"/>
        <v>2929.09</v>
      </c>
    </row>
    <row r="455" spans="1:24">
      <c r="A455" s="12" t="s">
        <v>1426</v>
      </c>
      <c r="B455" s="12" t="s">
        <v>1427</v>
      </c>
      <c r="C455" s="12" t="s">
        <v>36</v>
      </c>
      <c r="D455" s="12" t="s">
        <v>37</v>
      </c>
      <c r="E455" s="12" t="s">
        <v>70</v>
      </c>
      <c r="F455" s="13">
        <v>1738.34</v>
      </c>
      <c r="G455" s="13">
        <v>48.76</v>
      </c>
      <c r="H455" s="13">
        <v>890.71</v>
      </c>
      <c r="I455" s="13">
        <v>5</v>
      </c>
      <c r="J455" s="13">
        <v>29</v>
      </c>
      <c r="K455" s="13">
        <v>354</v>
      </c>
      <c r="L455" s="12" t="s">
        <v>1428</v>
      </c>
      <c r="M455" s="12">
        <v>3.7</v>
      </c>
      <c r="N455" s="14">
        <v>45951</v>
      </c>
      <c r="O455" s="13">
        <v>6</v>
      </c>
      <c r="P455" s="12" t="s">
        <v>45</v>
      </c>
      <c r="Q455" s="12" t="s">
        <v>55</v>
      </c>
      <c r="R455" s="12" t="s">
        <v>86</v>
      </c>
      <c r="S455" s="12" t="b">
        <v>0</v>
      </c>
      <c r="T455" s="12" t="s">
        <v>56</v>
      </c>
      <c r="U455" s="15">
        <f t="shared" si="28"/>
        <v>847.61458400000004</v>
      </c>
      <c r="V455" s="15">
        <f t="shared" si="29"/>
        <v>695.33600000000001</v>
      </c>
      <c r="W455" s="15">
        <f t="shared" si="30"/>
        <v>133.60650000000001</v>
      </c>
      <c r="X455" s="15">
        <f t="shared" si="31"/>
        <v>61.767499999999998</v>
      </c>
    </row>
    <row r="456" spans="1:24">
      <c r="A456" s="12" t="s">
        <v>1429</v>
      </c>
      <c r="B456" s="12" t="s">
        <v>1430</v>
      </c>
      <c r="C456" s="12" t="s">
        <v>59</v>
      </c>
      <c r="D456" s="12" t="s">
        <v>60</v>
      </c>
      <c r="E456" s="12" t="s">
        <v>38</v>
      </c>
      <c r="F456" s="13">
        <v>9679.5400000000009</v>
      </c>
      <c r="G456" s="13">
        <v>16.489999999999998</v>
      </c>
      <c r="H456" s="13">
        <v>8083.3</v>
      </c>
      <c r="I456" s="13">
        <v>3.7</v>
      </c>
      <c r="J456" s="13">
        <v>61</v>
      </c>
      <c r="K456" s="13">
        <v>103</v>
      </c>
      <c r="L456" s="12" t="s">
        <v>1247</v>
      </c>
      <c r="M456" s="12">
        <v>2.8</v>
      </c>
      <c r="N456" s="14">
        <v>45694</v>
      </c>
      <c r="O456" s="13">
        <v>1</v>
      </c>
      <c r="P456" s="12" t="s">
        <v>40</v>
      </c>
      <c r="Q456" s="12" t="s">
        <v>46</v>
      </c>
      <c r="R456" s="12" t="s">
        <v>72</v>
      </c>
      <c r="S456" s="12" t="b">
        <v>0</v>
      </c>
      <c r="T456" s="12" t="s">
        <v>62</v>
      </c>
      <c r="U456" s="15">
        <f t="shared" si="28"/>
        <v>1596.156146</v>
      </c>
      <c r="V456" s="15">
        <f t="shared" si="29"/>
        <v>3871.8159999999998</v>
      </c>
      <c r="W456" s="15">
        <f t="shared" si="30"/>
        <v>1212.4949999999999</v>
      </c>
      <c r="X456" s="15">
        <f t="shared" si="31"/>
        <v>2998.989</v>
      </c>
    </row>
    <row r="457" spans="1:24">
      <c r="A457" s="12" t="s">
        <v>1431</v>
      </c>
      <c r="B457" s="12" t="s">
        <v>1432</v>
      </c>
      <c r="C457" s="12" t="s">
        <v>36</v>
      </c>
      <c r="D457" s="12" t="s">
        <v>108</v>
      </c>
      <c r="E457" s="12" t="s">
        <v>65</v>
      </c>
      <c r="F457" s="13">
        <v>1154.69</v>
      </c>
      <c r="G457" s="13">
        <v>24.71</v>
      </c>
      <c r="H457" s="13">
        <v>869.42</v>
      </c>
      <c r="I457" s="13">
        <v>3.6</v>
      </c>
      <c r="J457" s="13">
        <v>40</v>
      </c>
      <c r="K457" s="13">
        <v>150</v>
      </c>
      <c r="L457" s="12" t="s">
        <v>1433</v>
      </c>
      <c r="M457" s="12">
        <v>4</v>
      </c>
      <c r="N457" s="14">
        <v>45707</v>
      </c>
      <c r="O457" s="13">
        <v>1</v>
      </c>
      <c r="P457" s="12" t="s">
        <v>54</v>
      </c>
      <c r="Q457" s="12" t="s">
        <v>46</v>
      </c>
      <c r="R457" s="12" t="s">
        <v>32</v>
      </c>
      <c r="S457" s="12" t="b">
        <v>0</v>
      </c>
      <c r="T457" s="12" t="s">
        <v>78</v>
      </c>
      <c r="U457" s="15">
        <f t="shared" si="28"/>
        <v>285.32389899999998</v>
      </c>
      <c r="V457" s="15">
        <f t="shared" si="29"/>
        <v>461.87599999999998</v>
      </c>
      <c r="W457" s="15">
        <f t="shared" si="30"/>
        <v>130.41300000000001</v>
      </c>
      <c r="X457" s="15">
        <f t="shared" si="31"/>
        <v>277.13099999999997</v>
      </c>
    </row>
    <row r="458" spans="1:24">
      <c r="A458" s="12" t="s">
        <v>1434</v>
      </c>
      <c r="B458" s="12" t="s">
        <v>1435</v>
      </c>
      <c r="C458" s="12" t="s">
        <v>75</v>
      </c>
      <c r="D458" s="12" t="s">
        <v>76</v>
      </c>
      <c r="E458" s="12" t="s">
        <v>131</v>
      </c>
      <c r="F458" s="13">
        <v>2057.89</v>
      </c>
      <c r="G458" s="13">
        <v>63.09</v>
      </c>
      <c r="H458" s="13">
        <v>759.6</v>
      </c>
      <c r="I458" s="13">
        <v>3.6</v>
      </c>
      <c r="J458" s="13">
        <v>4</v>
      </c>
      <c r="K458" s="13">
        <v>219</v>
      </c>
      <c r="L458" s="12" t="s">
        <v>1436</v>
      </c>
      <c r="M458" s="12">
        <v>4.9000000000000004</v>
      </c>
      <c r="N458" s="14">
        <v>45393</v>
      </c>
      <c r="O458" s="13">
        <v>1</v>
      </c>
      <c r="P458" s="12" t="s">
        <v>40</v>
      </c>
      <c r="Q458" s="12" t="s">
        <v>31</v>
      </c>
      <c r="R458" s="12" t="s">
        <v>72</v>
      </c>
      <c r="S458" s="12" t="b">
        <v>0</v>
      </c>
      <c r="T458" s="12" t="s">
        <v>78</v>
      </c>
      <c r="U458" s="15">
        <f t="shared" si="28"/>
        <v>1298.322801</v>
      </c>
      <c r="V458" s="15">
        <f t="shared" si="29"/>
        <v>823.15599999999995</v>
      </c>
      <c r="W458" s="15">
        <f t="shared" si="30"/>
        <v>113.94</v>
      </c>
      <c r="X458" s="15">
        <f t="shared" si="31"/>
        <v>-177.49600000000001</v>
      </c>
    </row>
    <row r="459" spans="1:24">
      <c r="A459" s="12" t="s">
        <v>1437</v>
      </c>
      <c r="B459" s="12" t="s">
        <v>1438</v>
      </c>
      <c r="C459" s="12" t="s">
        <v>75</v>
      </c>
      <c r="D459" s="12" t="s">
        <v>76</v>
      </c>
      <c r="E459" s="12" t="s">
        <v>52</v>
      </c>
      <c r="F459" s="13">
        <v>3203.56</v>
      </c>
      <c r="G459" s="13">
        <v>37.340000000000003</v>
      </c>
      <c r="H459" s="13">
        <v>2007.38</v>
      </c>
      <c r="I459" s="13">
        <v>4.5999999999999996</v>
      </c>
      <c r="J459" s="13">
        <v>17</v>
      </c>
      <c r="K459" s="13">
        <v>363</v>
      </c>
      <c r="L459" s="12" t="s">
        <v>1439</v>
      </c>
      <c r="M459" s="12">
        <v>2.7</v>
      </c>
      <c r="N459" s="14">
        <v>45496</v>
      </c>
      <c r="O459" s="13">
        <v>5</v>
      </c>
      <c r="P459" s="12" t="s">
        <v>40</v>
      </c>
      <c r="Q459" s="12" t="s">
        <v>46</v>
      </c>
      <c r="R459" s="12" t="s">
        <v>47</v>
      </c>
      <c r="S459" s="12" t="b">
        <v>0</v>
      </c>
      <c r="T459" s="12" t="s">
        <v>56</v>
      </c>
      <c r="U459" s="15">
        <f t="shared" si="28"/>
        <v>1196.209304</v>
      </c>
      <c r="V459" s="15">
        <f t="shared" si="29"/>
        <v>1281.424</v>
      </c>
      <c r="W459" s="15">
        <f t="shared" si="30"/>
        <v>301.10700000000003</v>
      </c>
      <c r="X459" s="15">
        <f t="shared" si="31"/>
        <v>424.84899999999999</v>
      </c>
    </row>
    <row r="460" spans="1:24">
      <c r="A460" s="12" t="s">
        <v>1440</v>
      </c>
      <c r="B460" s="12" t="s">
        <v>1441</v>
      </c>
      <c r="C460" s="12" t="s">
        <v>36</v>
      </c>
      <c r="D460" s="12" t="s">
        <v>43</v>
      </c>
      <c r="E460" s="12" t="s">
        <v>100</v>
      </c>
      <c r="F460" s="13">
        <v>2886.69</v>
      </c>
      <c r="G460" s="13">
        <v>7.87</v>
      </c>
      <c r="H460" s="13">
        <v>2659.38</v>
      </c>
      <c r="I460" s="13">
        <v>3.3</v>
      </c>
      <c r="J460" s="13">
        <v>10</v>
      </c>
      <c r="K460" s="13">
        <v>154</v>
      </c>
      <c r="L460" s="12" t="s">
        <v>1442</v>
      </c>
      <c r="M460" s="12">
        <v>4.4000000000000004</v>
      </c>
      <c r="N460" s="14">
        <v>45604</v>
      </c>
      <c r="O460" s="13">
        <v>3</v>
      </c>
      <c r="P460" s="12" t="s">
        <v>45</v>
      </c>
      <c r="Q460" s="12" t="s">
        <v>31</v>
      </c>
      <c r="R460" s="12" t="s">
        <v>72</v>
      </c>
      <c r="S460" s="12" t="b">
        <v>0</v>
      </c>
      <c r="T460" s="12" t="s">
        <v>78</v>
      </c>
      <c r="U460" s="15">
        <f t="shared" si="28"/>
        <v>227.182503</v>
      </c>
      <c r="V460" s="15">
        <f t="shared" si="29"/>
        <v>1154.6759999999999</v>
      </c>
      <c r="W460" s="15">
        <f t="shared" si="30"/>
        <v>398.90699999999998</v>
      </c>
      <c r="X460" s="15">
        <f t="shared" si="31"/>
        <v>1105.797</v>
      </c>
    </row>
    <row r="461" spans="1:24">
      <c r="A461" s="12" t="s">
        <v>1443</v>
      </c>
      <c r="B461" s="12" t="s">
        <v>1444</v>
      </c>
      <c r="C461" s="12" t="s">
        <v>59</v>
      </c>
      <c r="D461" s="12" t="s">
        <v>60</v>
      </c>
      <c r="E461" s="12" t="s">
        <v>70</v>
      </c>
      <c r="F461" s="13">
        <v>11123.71</v>
      </c>
      <c r="G461" s="13">
        <v>5.47</v>
      </c>
      <c r="H461" s="13">
        <v>10514.71</v>
      </c>
      <c r="I461" s="13">
        <v>4.4000000000000004</v>
      </c>
      <c r="J461" s="13">
        <v>14</v>
      </c>
      <c r="K461" s="13">
        <v>402</v>
      </c>
      <c r="L461" s="12" t="s">
        <v>1445</v>
      </c>
      <c r="M461" s="12">
        <v>4</v>
      </c>
      <c r="N461" s="14">
        <v>45749</v>
      </c>
      <c r="O461" s="13">
        <v>3</v>
      </c>
      <c r="P461" s="12" t="s">
        <v>54</v>
      </c>
      <c r="Q461" s="12" t="s">
        <v>46</v>
      </c>
      <c r="R461" s="12" t="s">
        <v>86</v>
      </c>
      <c r="S461" s="12" t="b">
        <v>0</v>
      </c>
      <c r="T461" s="12" t="s">
        <v>62</v>
      </c>
      <c r="U461" s="15">
        <f t="shared" si="28"/>
        <v>608.46693700000003</v>
      </c>
      <c r="V461" s="15">
        <f t="shared" si="29"/>
        <v>4449.4840000000004</v>
      </c>
      <c r="W461" s="15">
        <f t="shared" si="30"/>
        <v>1577.2065</v>
      </c>
      <c r="X461" s="15">
        <f t="shared" si="31"/>
        <v>4488.0195000000003</v>
      </c>
    </row>
    <row r="462" spans="1:24">
      <c r="A462" s="12" t="s">
        <v>1446</v>
      </c>
      <c r="B462" s="12" t="s">
        <v>1447</v>
      </c>
      <c r="C462" s="12" t="s">
        <v>36</v>
      </c>
      <c r="D462" s="12" t="s">
        <v>37</v>
      </c>
      <c r="E462" s="12" t="s">
        <v>84</v>
      </c>
      <c r="F462" s="13">
        <v>13539.11</v>
      </c>
      <c r="G462" s="13">
        <v>33.06</v>
      </c>
      <c r="H462" s="13">
        <v>9063.39</v>
      </c>
      <c r="I462" s="13">
        <v>3.7</v>
      </c>
      <c r="J462" s="13">
        <v>9</v>
      </c>
      <c r="K462" s="13">
        <v>339</v>
      </c>
      <c r="L462" s="12" t="s">
        <v>1448</v>
      </c>
      <c r="M462" s="12">
        <v>4.2</v>
      </c>
      <c r="N462" s="14">
        <v>45483</v>
      </c>
      <c r="O462" s="13">
        <v>2</v>
      </c>
      <c r="P462" s="12" t="s">
        <v>30</v>
      </c>
      <c r="Q462" s="12" t="s">
        <v>55</v>
      </c>
      <c r="R462" s="12" t="s">
        <v>72</v>
      </c>
      <c r="S462" s="12" t="b">
        <v>0</v>
      </c>
      <c r="T462" s="12" t="s">
        <v>56</v>
      </c>
      <c r="U462" s="15">
        <f t="shared" si="28"/>
        <v>4476.0297659999997</v>
      </c>
      <c r="V462" s="15">
        <f t="shared" si="29"/>
        <v>5415.6440000000002</v>
      </c>
      <c r="W462" s="15">
        <f t="shared" si="30"/>
        <v>1359.5084999999999</v>
      </c>
      <c r="X462" s="15">
        <f t="shared" si="31"/>
        <v>2288.2375000000002</v>
      </c>
    </row>
    <row r="463" spans="1:24">
      <c r="A463" s="12" t="s">
        <v>1449</v>
      </c>
      <c r="B463" s="12" t="s">
        <v>1450</v>
      </c>
      <c r="C463" s="12" t="s">
        <v>75</v>
      </c>
      <c r="D463" s="12" t="s">
        <v>76</v>
      </c>
      <c r="E463" s="12" t="s">
        <v>131</v>
      </c>
      <c r="F463" s="13">
        <v>1841.03</v>
      </c>
      <c r="G463" s="13">
        <v>22.54</v>
      </c>
      <c r="H463" s="13">
        <v>1426.02</v>
      </c>
      <c r="I463" s="13">
        <v>4</v>
      </c>
      <c r="J463" s="13">
        <v>23</v>
      </c>
      <c r="K463" s="13">
        <v>4</v>
      </c>
      <c r="L463" s="12" t="s">
        <v>1451</v>
      </c>
      <c r="M463" s="12">
        <v>3.1</v>
      </c>
      <c r="N463" s="14">
        <v>46096</v>
      </c>
      <c r="O463" s="13">
        <v>5</v>
      </c>
      <c r="P463" s="12" t="s">
        <v>117</v>
      </c>
      <c r="Q463" s="12" t="s">
        <v>31</v>
      </c>
      <c r="R463" s="12" t="s">
        <v>72</v>
      </c>
      <c r="S463" s="12" t="b">
        <v>0</v>
      </c>
      <c r="T463" s="12" t="s">
        <v>56</v>
      </c>
      <c r="U463" s="15">
        <f t="shared" si="28"/>
        <v>414.96816200000001</v>
      </c>
      <c r="V463" s="15">
        <f t="shared" si="29"/>
        <v>736.41200000000003</v>
      </c>
      <c r="W463" s="15">
        <f t="shared" si="30"/>
        <v>213.90299999999999</v>
      </c>
      <c r="X463" s="15">
        <f t="shared" si="31"/>
        <v>475.70499999999998</v>
      </c>
    </row>
    <row r="464" spans="1:24">
      <c r="A464" s="12" t="s">
        <v>1452</v>
      </c>
      <c r="B464" s="12" t="s">
        <v>1453</v>
      </c>
      <c r="C464" s="12" t="s">
        <v>75</v>
      </c>
      <c r="D464" s="12" t="s">
        <v>76</v>
      </c>
      <c r="E464" s="12" t="s">
        <v>65</v>
      </c>
      <c r="F464" s="13">
        <v>4312.71</v>
      </c>
      <c r="G464" s="13">
        <v>69.150000000000006</v>
      </c>
      <c r="H464" s="13">
        <v>1330.55</v>
      </c>
      <c r="I464" s="13">
        <v>4</v>
      </c>
      <c r="J464" s="13">
        <v>31</v>
      </c>
      <c r="K464" s="13">
        <v>349</v>
      </c>
      <c r="L464" s="12" t="s">
        <v>1454</v>
      </c>
      <c r="M464" s="12">
        <v>3.6</v>
      </c>
      <c r="N464" s="14">
        <v>45770</v>
      </c>
      <c r="O464" s="13">
        <v>2</v>
      </c>
      <c r="P464" s="12" t="s">
        <v>45</v>
      </c>
      <c r="Q464" s="12" t="s">
        <v>55</v>
      </c>
      <c r="R464" s="12" t="s">
        <v>32</v>
      </c>
      <c r="S464" s="12" t="b">
        <v>1</v>
      </c>
      <c r="T464" s="12" t="s">
        <v>33</v>
      </c>
      <c r="U464" s="15">
        <f t="shared" si="28"/>
        <v>2982.238965</v>
      </c>
      <c r="V464" s="15">
        <f t="shared" si="29"/>
        <v>1725.0840000000001</v>
      </c>
      <c r="W464" s="15">
        <f t="shared" si="30"/>
        <v>199.58250000000001</v>
      </c>
      <c r="X464" s="15">
        <f t="shared" si="31"/>
        <v>-594.11649999999997</v>
      </c>
    </row>
    <row r="465" spans="1:24">
      <c r="A465" s="12" t="s">
        <v>1455</v>
      </c>
      <c r="B465" s="12" t="s">
        <v>1456</v>
      </c>
      <c r="C465" s="12" t="s">
        <v>50</v>
      </c>
      <c r="D465" s="12" t="s">
        <v>51</v>
      </c>
      <c r="E465" s="12" t="s">
        <v>131</v>
      </c>
      <c r="F465" s="13">
        <v>2784.14</v>
      </c>
      <c r="G465" s="13">
        <v>22.46</v>
      </c>
      <c r="H465" s="13">
        <v>2158.86</v>
      </c>
      <c r="I465" s="13">
        <v>3.7</v>
      </c>
      <c r="J465" s="13">
        <v>23</v>
      </c>
      <c r="K465" s="13">
        <v>420</v>
      </c>
      <c r="L465" s="12" t="s">
        <v>1457</v>
      </c>
      <c r="M465" s="12">
        <v>3.6</v>
      </c>
      <c r="N465" s="14">
        <v>45716</v>
      </c>
      <c r="O465" s="13">
        <v>6</v>
      </c>
      <c r="P465" s="12" t="s">
        <v>30</v>
      </c>
      <c r="Q465" s="12" t="s">
        <v>31</v>
      </c>
      <c r="R465" s="12" t="s">
        <v>86</v>
      </c>
      <c r="S465" s="12" t="b">
        <v>1</v>
      </c>
      <c r="T465" s="12" t="s">
        <v>33</v>
      </c>
      <c r="U465" s="15">
        <f t="shared" si="28"/>
        <v>625.31784400000004</v>
      </c>
      <c r="V465" s="15">
        <f t="shared" si="29"/>
        <v>1113.6559999999999</v>
      </c>
      <c r="W465" s="15">
        <f t="shared" si="30"/>
        <v>323.82900000000001</v>
      </c>
      <c r="X465" s="15">
        <f t="shared" si="31"/>
        <v>721.375</v>
      </c>
    </row>
    <row r="466" spans="1:24">
      <c r="A466" s="12" t="s">
        <v>1458</v>
      </c>
      <c r="B466" s="12" t="s">
        <v>1459</v>
      </c>
      <c r="C466" s="12" t="s">
        <v>50</v>
      </c>
      <c r="D466" s="12" t="s">
        <v>130</v>
      </c>
      <c r="E466" s="12" t="s">
        <v>52</v>
      </c>
      <c r="F466" s="13">
        <v>2257.4899999999998</v>
      </c>
      <c r="G466" s="13">
        <v>14.68</v>
      </c>
      <c r="H466" s="13">
        <v>1926.05</v>
      </c>
      <c r="I466" s="13">
        <v>4.2</v>
      </c>
      <c r="J466" s="13">
        <v>24</v>
      </c>
      <c r="K466" s="13">
        <v>42</v>
      </c>
      <c r="L466" s="12" t="s">
        <v>1460</v>
      </c>
      <c r="M466" s="12">
        <v>4.5</v>
      </c>
      <c r="N466" s="14">
        <v>45725</v>
      </c>
      <c r="O466" s="13">
        <v>2</v>
      </c>
      <c r="P466" s="12" t="s">
        <v>54</v>
      </c>
      <c r="Q466" s="12" t="s">
        <v>46</v>
      </c>
      <c r="R466" s="12" t="s">
        <v>32</v>
      </c>
      <c r="S466" s="12" t="b">
        <v>0</v>
      </c>
      <c r="T466" s="12" t="s">
        <v>62</v>
      </c>
      <c r="U466" s="15">
        <f t="shared" si="28"/>
        <v>331.39953200000002</v>
      </c>
      <c r="V466" s="15">
        <f t="shared" si="29"/>
        <v>902.99599999999998</v>
      </c>
      <c r="W466" s="15">
        <f t="shared" si="30"/>
        <v>288.90750000000003</v>
      </c>
      <c r="X466" s="15">
        <f t="shared" si="31"/>
        <v>734.14649999999995</v>
      </c>
    </row>
    <row r="467" spans="1:24">
      <c r="A467" s="12" t="s">
        <v>1461</v>
      </c>
      <c r="B467" s="12" t="s">
        <v>1462</v>
      </c>
      <c r="C467" s="12" t="s">
        <v>26</v>
      </c>
      <c r="D467" s="12" t="s">
        <v>123</v>
      </c>
      <c r="E467" s="12" t="s">
        <v>100</v>
      </c>
      <c r="F467" s="13">
        <v>60390.95</v>
      </c>
      <c r="G467" s="13">
        <v>39.4</v>
      </c>
      <c r="H467" s="13">
        <v>36595.019999999997</v>
      </c>
      <c r="I467" s="13">
        <v>5</v>
      </c>
      <c r="J467" s="13">
        <v>48</v>
      </c>
      <c r="K467" s="13">
        <v>427</v>
      </c>
      <c r="L467" s="12" t="s">
        <v>1463</v>
      </c>
      <c r="M467" s="12">
        <v>3.1</v>
      </c>
      <c r="N467" s="14">
        <v>45821</v>
      </c>
      <c r="O467" s="13">
        <v>1</v>
      </c>
      <c r="P467" s="12" t="s">
        <v>54</v>
      </c>
      <c r="Q467" s="12" t="s">
        <v>46</v>
      </c>
      <c r="R467" s="12" t="s">
        <v>86</v>
      </c>
      <c r="S467" s="12" t="b">
        <v>0</v>
      </c>
      <c r="T467" s="12" t="s">
        <v>62</v>
      </c>
      <c r="U467" s="15">
        <f t="shared" si="28"/>
        <v>23794.034299999999</v>
      </c>
      <c r="V467" s="15">
        <f t="shared" si="29"/>
        <v>24156.38</v>
      </c>
      <c r="W467" s="15">
        <f t="shared" si="30"/>
        <v>5489.2529999999997</v>
      </c>
      <c r="X467" s="15">
        <f t="shared" si="31"/>
        <v>6949.3869999999997</v>
      </c>
    </row>
    <row r="468" spans="1:24">
      <c r="A468" s="12" t="s">
        <v>1464</v>
      </c>
      <c r="B468" s="12" t="s">
        <v>1465</v>
      </c>
      <c r="C468" s="12" t="s">
        <v>26</v>
      </c>
      <c r="D468" s="12" t="s">
        <v>123</v>
      </c>
      <c r="E468" s="12" t="s">
        <v>38</v>
      </c>
      <c r="F468" s="13">
        <v>52165.47</v>
      </c>
      <c r="G468" s="13">
        <v>27.88</v>
      </c>
      <c r="H468" s="13">
        <v>37624.07</v>
      </c>
      <c r="I468" s="13">
        <v>4.5999999999999996</v>
      </c>
      <c r="J468" s="13">
        <v>4</v>
      </c>
      <c r="K468" s="13">
        <v>19</v>
      </c>
      <c r="L468" s="12" t="s">
        <v>1466</v>
      </c>
      <c r="M468" s="12">
        <v>3.6</v>
      </c>
      <c r="N468" s="14">
        <v>45533</v>
      </c>
      <c r="O468" s="13">
        <v>5</v>
      </c>
      <c r="P468" s="12" t="s">
        <v>117</v>
      </c>
      <c r="Q468" s="12" t="s">
        <v>46</v>
      </c>
      <c r="R468" s="12" t="s">
        <v>32</v>
      </c>
      <c r="S468" s="12" t="b">
        <v>0</v>
      </c>
      <c r="T468" s="12" t="s">
        <v>78</v>
      </c>
      <c r="U468" s="15">
        <f t="shared" si="28"/>
        <v>14543.733036</v>
      </c>
      <c r="V468" s="15">
        <f t="shared" si="29"/>
        <v>20866.187999999998</v>
      </c>
      <c r="W468" s="15">
        <f t="shared" si="30"/>
        <v>5643.6104999999998</v>
      </c>
      <c r="X468" s="15">
        <f t="shared" si="31"/>
        <v>11114.271500000001</v>
      </c>
    </row>
    <row r="469" spans="1:24">
      <c r="A469" s="12" t="s">
        <v>1467</v>
      </c>
      <c r="B469" s="12" t="s">
        <v>1468</v>
      </c>
      <c r="C469" s="12" t="s">
        <v>59</v>
      </c>
      <c r="D469" s="12" t="s">
        <v>60</v>
      </c>
      <c r="E469" s="12" t="s">
        <v>84</v>
      </c>
      <c r="F469" s="13">
        <v>2110.6999999999998</v>
      </c>
      <c r="G469" s="13">
        <v>12.56</v>
      </c>
      <c r="H469" s="13">
        <v>1845.58</v>
      </c>
      <c r="I469" s="13">
        <v>3.2</v>
      </c>
      <c r="J469" s="13">
        <v>3</v>
      </c>
      <c r="K469" s="13">
        <v>466</v>
      </c>
      <c r="L469" s="12" t="s">
        <v>1469</v>
      </c>
      <c r="M469" s="12">
        <v>3.9</v>
      </c>
      <c r="N469" s="14">
        <v>45874</v>
      </c>
      <c r="O469" s="13">
        <v>3</v>
      </c>
      <c r="P469" s="12" t="s">
        <v>45</v>
      </c>
      <c r="Q469" s="12" t="s">
        <v>55</v>
      </c>
      <c r="R469" s="12" t="s">
        <v>86</v>
      </c>
      <c r="S469" s="12" t="b">
        <v>0</v>
      </c>
      <c r="T469" s="12" t="s">
        <v>56</v>
      </c>
      <c r="U469" s="15">
        <f t="shared" si="28"/>
        <v>265.10392000000002</v>
      </c>
      <c r="V469" s="15">
        <f t="shared" si="29"/>
        <v>844.28</v>
      </c>
      <c r="W469" s="15">
        <f t="shared" si="30"/>
        <v>276.83699999999999</v>
      </c>
      <c r="X469" s="15">
        <f t="shared" si="31"/>
        <v>724.46299999999997</v>
      </c>
    </row>
    <row r="470" spans="1:24">
      <c r="A470" s="12" t="s">
        <v>1470</v>
      </c>
      <c r="B470" s="12" t="s">
        <v>1471</v>
      </c>
      <c r="C470" s="12" t="s">
        <v>50</v>
      </c>
      <c r="D470" s="12" t="s">
        <v>51</v>
      </c>
      <c r="E470" s="12" t="s">
        <v>112</v>
      </c>
      <c r="F470" s="13">
        <v>4019.17</v>
      </c>
      <c r="G470" s="13">
        <v>17.7</v>
      </c>
      <c r="H470" s="13">
        <v>3307.61</v>
      </c>
      <c r="I470" s="13">
        <v>3.1</v>
      </c>
      <c r="J470" s="13">
        <v>34</v>
      </c>
      <c r="K470" s="13">
        <v>60</v>
      </c>
      <c r="L470" s="12" t="s">
        <v>1472</v>
      </c>
      <c r="M470" s="12">
        <v>4.2</v>
      </c>
      <c r="N470" s="14">
        <v>45949</v>
      </c>
      <c r="O470" s="13">
        <v>1</v>
      </c>
      <c r="P470" s="12" t="s">
        <v>40</v>
      </c>
      <c r="Q470" s="12" t="s">
        <v>46</v>
      </c>
      <c r="R470" s="12" t="s">
        <v>32</v>
      </c>
      <c r="S470" s="12" t="b">
        <v>0</v>
      </c>
      <c r="T470" s="12" t="s">
        <v>62</v>
      </c>
      <c r="U470" s="15">
        <f t="shared" si="28"/>
        <v>711.39309000000003</v>
      </c>
      <c r="V470" s="15">
        <f t="shared" si="29"/>
        <v>1607.6679999999999</v>
      </c>
      <c r="W470" s="15">
        <f t="shared" si="30"/>
        <v>496.14150000000001</v>
      </c>
      <c r="X470" s="15">
        <f t="shared" si="31"/>
        <v>1203.8005000000001</v>
      </c>
    </row>
    <row r="471" spans="1:24">
      <c r="A471" s="12" t="s">
        <v>1473</v>
      </c>
      <c r="B471" s="12" t="s">
        <v>1474</v>
      </c>
      <c r="C471" s="12" t="s">
        <v>36</v>
      </c>
      <c r="D471" s="12" t="s">
        <v>43</v>
      </c>
      <c r="E471" s="12" t="s">
        <v>28</v>
      </c>
      <c r="F471" s="13">
        <v>7778.21</v>
      </c>
      <c r="G471" s="13">
        <v>45.95</v>
      </c>
      <c r="H471" s="13">
        <v>4204.37</v>
      </c>
      <c r="I471" s="13">
        <v>4.2</v>
      </c>
      <c r="J471" s="13">
        <v>103</v>
      </c>
      <c r="K471" s="13">
        <v>54</v>
      </c>
      <c r="L471" s="12" t="s">
        <v>1475</v>
      </c>
      <c r="M471" s="12">
        <v>3.6</v>
      </c>
      <c r="N471" s="14">
        <v>45928</v>
      </c>
      <c r="O471" s="13">
        <v>4</v>
      </c>
      <c r="P471" s="12" t="s">
        <v>40</v>
      </c>
      <c r="Q471" s="12" t="s">
        <v>31</v>
      </c>
      <c r="R471" s="12" t="s">
        <v>72</v>
      </c>
      <c r="S471" s="12" t="b">
        <v>0</v>
      </c>
      <c r="T471" s="12" t="s">
        <v>62</v>
      </c>
      <c r="U471" s="15">
        <f t="shared" si="28"/>
        <v>3574.0874950000002</v>
      </c>
      <c r="V471" s="15">
        <f t="shared" si="29"/>
        <v>3111.2840000000001</v>
      </c>
      <c r="W471" s="15">
        <f t="shared" si="30"/>
        <v>630.65549999999996</v>
      </c>
      <c r="X471" s="15">
        <f t="shared" si="31"/>
        <v>462.43049999999999</v>
      </c>
    </row>
    <row r="472" spans="1:24">
      <c r="A472" s="12" t="s">
        <v>1476</v>
      </c>
      <c r="B472" s="12" t="s">
        <v>1477</v>
      </c>
      <c r="C472" s="12" t="s">
        <v>26</v>
      </c>
      <c r="D472" s="12" t="s">
        <v>313</v>
      </c>
      <c r="E472" s="12" t="s">
        <v>235</v>
      </c>
      <c r="F472" s="13">
        <v>40633.129999999997</v>
      </c>
      <c r="G472" s="13">
        <v>35.200000000000003</v>
      </c>
      <c r="H472" s="13">
        <v>26328.81</v>
      </c>
      <c r="I472" s="13">
        <v>3.8</v>
      </c>
      <c r="J472" s="13">
        <v>19</v>
      </c>
      <c r="K472" s="13">
        <v>15</v>
      </c>
      <c r="L472" s="12" t="s">
        <v>1478</v>
      </c>
      <c r="M472" s="12">
        <v>4.7</v>
      </c>
      <c r="N472" s="14">
        <v>45400</v>
      </c>
      <c r="O472" s="13">
        <v>5</v>
      </c>
      <c r="P472" s="12" t="s">
        <v>117</v>
      </c>
      <c r="Q472" s="12" t="s">
        <v>46</v>
      </c>
      <c r="R472" s="12" t="s">
        <v>47</v>
      </c>
      <c r="S472" s="12" t="b">
        <v>0</v>
      </c>
      <c r="T472" s="12" t="s">
        <v>78</v>
      </c>
      <c r="U472" s="15">
        <f t="shared" si="28"/>
        <v>14302.86176</v>
      </c>
      <c r="V472" s="15">
        <f t="shared" si="29"/>
        <v>16253.252</v>
      </c>
      <c r="W472" s="15">
        <f t="shared" si="30"/>
        <v>3949.3215</v>
      </c>
      <c r="X472" s="15">
        <f t="shared" si="31"/>
        <v>6126.2365</v>
      </c>
    </row>
    <row r="473" spans="1:24">
      <c r="A473" s="12" t="s">
        <v>1479</v>
      </c>
      <c r="B473" s="12" t="s">
        <v>1480</v>
      </c>
      <c r="C473" s="12" t="s">
        <v>50</v>
      </c>
      <c r="D473" s="12" t="s">
        <v>213</v>
      </c>
      <c r="E473" s="12" t="s">
        <v>52</v>
      </c>
      <c r="F473" s="13">
        <v>462.13</v>
      </c>
      <c r="G473" s="13">
        <v>28.07</v>
      </c>
      <c r="H473" s="13">
        <v>332.42</v>
      </c>
      <c r="I473" s="13">
        <v>3.7</v>
      </c>
      <c r="J473" s="13">
        <v>3</v>
      </c>
      <c r="K473" s="13">
        <v>454</v>
      </c>
      <c r="L473" s="12" t="s">
        <v>1481</v>
      </c>
      <c r="M473" s="12">
        <v>4</v>
      </c>
      <c r="N473" s="14">
        <v>45593</v>
      </c>
      <c r="O473" s="13">
        <v>4</v>
      </c>
      <c r="P473" s="12" t="s">
        <v>54</v>
      </c>
      <c r="Q473" s="12" t="s">
        <v>46</v>
      </c>
      <c r="R473" s="12" t="s">
        <v>47</v>
      </c>
      <c r="S473" s="12" t="b">
        <v>0</v>
      </c>
      <c r="T473" s="12" t="s">
        <v>78</v>
      </c>
      <c r="U473" s="15">
        <f t="shared" si="28"/>
        <v>129.71989099999999</v>
      </c>
      <c r="V473" s="15">
        <f t="shared" si="29"/>
        <v>184.852</v>
      </c>
      <c r="W473" s="15">
        <f t="shared" si="30"/>
        <v>49.863</v>
      </c>
      <c r="X473" s="15">
        <f t="shared" si="31"/>
        <v>97.704999999999998</v>
      </c>
    </row>
    <row r="474" spans="1:24">
      <c r="A474" s="12" t="s">
        <v>1482</v>
      </c>
      <c r="B474" s="12" t="s">
        <v>1483</v>
      </c>
      <c r="C474" s="12" t="s">
        <v>26</v>
      </c>
      <c r="D474" s="12" t="s">
        <v>27</v>
      </c>
      <c r="E474" s="12" t="s">
        <v>65</v>
      </c>
      <c r="F474" s="13">
        <v>18175.41</v>
      </c>
      <c r="G474" s="13">
        <v>5.33</v>
      </c>
      <c r="H474" s="13">
        <v>17205.93</v>
      </c>
      <c r="I474" s="13">
        <v>3.9</v>
      </c>
      <c r="J474" s="13">
        <v>10</v>
      </c>
      <c r="K474" s="13">
        <v>280</v>
      </c>
      <c r="L474" s="12" t="s">
        <v>1484</v>
      </c>
      <c r="M474" s="12">
        <v>5</v>
      </c>
      <c r="N474" s="14">
        <v>45814</v>
      </c>
      <c r="O474" s="13">
        <v>2</v>
      </c>
      <c r="P474" s="12" t="s">
        <v>45</v>
      </c>
      <c r="Q474" s="12" t="s">
        <v>55</v>
      </c>
      <c r="R474" s="12" t="s">
        <v>47</v>
      </c>
      <c r="S474" s="12" t="b">
        <v>0</v>
      </c>
      <c r="T474" s="12" t="s">
        <v>62</v>
      </c>
      <c r="U474" s="15">
        <f t="shared" si="28"/>
        <v>968.74935300000004</v>
      </c>
      <c r="V474" s="15">
        <f t="shared" si="29"/>
        <v>7270.1639999999998</v>
      </c>
      <c r="W474" s="15">
        <f t="shared" si="30"/>
        <v>2580.8895000000002</v>
      </c>
      <c r="X474" s="15">
        <f t="shared" si="31"/>
        <v>7354.8765000000003</v>
      </c>
    </row>
    <row r="475" spans="1:24">
      <c r="A475" s="12" t="s">
        <v>1485</v>
      </c>
      <c r="B475" s="12" t="s">
        <v>1486</v>
      </c>
      <c r="C475" s="12" t="s">
        <v>59</v>
      </c>
      <c r="D475" s="12" t="s">
        <v>69</v>
      </c>
      <c r="E475" s="12" t="s">
        <v>96</v>
      </c>
      <c r="F475" s="13">
        <v>17931.66</v>
      </c>
      <c r="G475" s="13">
        <v>49.27</v>
      </c>
      <c r="H475" s="13">
        <v>9097.27</v>
      </c>
      <c r="I475" s="13">
        <v>3.5</v>
      </c>
      <c r="J475" s="13">
        <v>53</v>
      </c>
      <c r="K475" s="13">
        <v>94</v>
      </c>
      <c r="L475" s="12" t="s">
        <v>1487</v>
      </c>
      <c r="M475" s="12">
        <v>2.7</v>
      </c>
      <c r="N475" s="14">
        <v>45547</v>
      </c>
      <c r="O475" s="13">
        <v>5</v>
      </c>
      <c r="P475" s="12" t="s">
        <v>45</v>
      </c>
      <c r="Q475" s="12" t="s">
        <v>31</v>
      </c>
      <c r="R475" s="12" t="s">
        <v>72</v>
      </c>
      <c r="S475" s="12" t="b">
        <v>0</v>
      </c>
      <c r="T475" s="12" t="s">
        <v>78</v>
      </c>
      <c r="U475" s="15">
        <f t="shared" si="28"/>
        <v>8834.9288820000002</v>
      </c>
      <c r="V475" s="15">
        <f t="shared" si="29"/>
        <v>7172.6639999999998</v>
      </c>
      <c r="W475" s="15">
        <f t="shared" si="30"/>
        <v>1364.5905</v>
      </c>
      <c r="X475" s="15">
        <f t="shared" si="31"/>
        <v>560.01549999999997</v>
      </c>
    </row>
    <row r="476" spans="1:24">
      <c r="A476" s="12" t="s">
        <v>1488</v>
      </c>
      <c r="B476" s="12" t="s">
        <v>1489</v>
      </c>
      <c r="C476" s="12" t="s">
        <v>26</v>
      </c>
      <c r="D476" s="12" t="s">
        <v>123</v>
      </c>
      <c r="E476" s="12" t="s">
        <v>100</v>
      </c>
      <c r="F476" s="13">
        <v>8529.3799999999992</v>
      </c>
      <c r="G476" s="13">
        <v>21</v>
      </c>
      <c r="H476" s="13">
        <v>6738.46</v>
      </c>
      <c r="I476" s="13">
        <v>4.0999999999999996</v>
      </c>
      <c r="J476" s="13">
        <v>3</v>
      </c>
      <c r="K476" s="13">
        <v>435</v>
      </c>
      <c r="L476" s="12" t="s">
        <v>1490</v>
      </c>
      <c r="M476" s="12">
        <v>4.7</v>
      </c>
      <c r="N476" s="14">
        <v>45810</v>
      </c>
      <c r="O476" s="13">
        <v>5</v>
      </c>
      <c r="P476" s="12" t="s">
        <v>45</v>
      </c>
      <c r="Q476" s="12" t="s">
        <v>55</v>
      </c>
      <c r="R476" s="12" t="s">
        <v>32</v>
      </c>
      <c r="S476" s="12" t="b">
        <v>0</v>
      </c>
      <c r="T476" s="12" t="s">
        <v>56</v>
      </c>
      <c r="U476" s="15">
        <f t="shared" si="28"/>
        <v>1791.1697999999999</v>
      </c>
      <c r="V476" s="15">
        <f t="shared" si="29"/>
        <v>3411.752</v>
      </c>
      <c r="W476" s="15">
        <f t="shared" si="30"/>
        <v>1010.769</v>
      </c>
      <c r="X476" s="15">
        <f t="shared" si="31"/>
        <v>2315.9389999999999</v>
      </c>
    </row>
    <row r="477" spans="1:24">
      <c r="A477" s="12" t="s">
        <v>1491</v>
      </c>
      <c r="B477" s="12" t="s">
        <v>1492</v>
      </c>
      <c r="C477" s="12" t="s">
        <v>26</v>
      </c>
      <c r="D477" s="12" t="s">
        <v>313</v>
      </c>
      <c r="E477" s="12" t="s">
        <v>84</v>
      </c>
      <c r="F477" s="13">
        <v>37462.99</v>
      </c>
      <c r="G477" s="13">
        <v>36.29</v>
      </c>
      <c r="H477" s="13">
        <v>23868.54</v>
      </c>
      <c r="I477" s="13">
        <v>4.7</v>
      </c>
      <c r="J477" s="13">
        <v>4</v>
      </c>
      <c r="K477" s="13">
        <v>249</v>
      </c>
      <c r="L477" s="12" t="s">
        <v>1493</v>
      </c>
      <c r="M477" s="12">
        <v>3.6</v>
      </c>
      <c r="N477" s="14">
        <v>45576</v>
      </c>
      <c r="O477" s="13">
        <v>5</v>
      </c>
      <c r="P477" s="12" t="s">
        <v>54</v>
      </c>
      <c r="Q477" s="12" t="s">
        <v>55</v>
      </c>
      <c r="R477" s="12" t="s">
        <v>47</v>
      </c>
      <c r="S477" s="12" t="b">
        <v>0</v>
      </c>
      <c r="T477" s="12" t="s">
        <v>62</v>
      </c>
      <c r="U477" s="15">
        <f t="shared" si="28"/>
        <v>13595.319071</v>
      </c>
      <c r="V477" s="15">
        <f t="shared" si="29"/>
        <v>14985.196</v>
      </c>
      <c r="W477" s="15">
        <f t="shared" si="30"/>
        <v>3580.2809999999999</v>
      </c>
      <c r="X477" s="15">
        <f t="shared" si="31"/>
        <v>5303.0630000000001</v>
      </c>
    </row>
    <row r="478" spans="1:24">
      <c r="A478" s="12" t="s">
        <v>1494</v>
      </c>
      <c r="B478" s="12" t="s">
        <v>1432</v>
      </c>
      <c r="C478" s="12" t="s">
        <v>75</v>
      </c>
      <c r="D478" s="12" t="s">
        <v>135</v>
      </c>
      <c r="E478" s="12" t="s">
        <v>52</v>
      </c>
      <c r="F478" s="13">
        <v>4814.92</v>
      </c>
      <c r="G478" s="13">
        <v>26.74</v>
      </c>
      <c r="H478" s="13">
        <v>3527.39</v>
      </c>
      <c r="I478" s="13">
        <v>3.9</v>
      </c>
      <c r="J478" s="13">
        <v>10</v>
      </c>
      <c r="K478" s="13">
        <v>162</v>
      </c>
      <c r="L478" s="12" t="s">
        <v>1495</v>
      </c>
      <c r="M478" s="12">
        <v>4.3</v>
      </c>
      <c r="N478" s="14">
        <v>45994</v>
      </c>
      <c r="O478" s="13">
        <v>1</v>
      </c>
      <c r="P478" s="12" t="s">
        <v>45</v>
      </c>
      <c r="Q478" s="12" t="s">
        <v>55</v>
      </c>
      <c r="R478" s="12" t="s">
        <v>72</v>
      </c>
      <c r="S478" s="12" t="b">
        <v>0</v>
      </c>
      <c r="T478" s="12" t="s">
        <v>62</v>
      </c>
      <c r="U478" s="15">
        <f t="shared" si="28"/>
        <v>1287.5096080000001</v>
      </c>
      <c r="V478" s="15">
        <f t="shared" si="29"/>
        <v>1925.9680000000001</v>
      </c>
      <c r="W478" s="15">
        <f t="shared" si="30"/>
        <v>529.10850000000005</v>
      </c>
      <c r="X478" s="15">
        <f t="shared" si="31"/>
        <v>1072.3135</v>
      </c>
    </row>
    <row r="479" spans="1:24">
      <c r="A479" s="12" t="s">
        <v>1496</v>
      </c>
      <c r="B479" s="12" t="s">
        <v>1497</v>
      </c>
      <c r="C479" s="12" t="s">
        <v>59</v>
      </c>
      <c r="D479" s="12" t="s">
        <v>60</v>
      </c>
      <c r="E479" s="12" t="s">
        <v>65</v>
      </c>
      <c r="F479" s="13">
        <v>2412.36</v>
      </c>
      <c r="G479" s="13">
        <v>26.25</v>
      </c>
      <c r="H479" s="13">
        <v>1779.11</v>
      </c>
      <c r="I479" s="13">
        <v>3.4</v>
      </c>
      <c r="J479" s="13">
        <v>93</v>
      </c>
      <c r="K479" s="13">
        <v>186</v>
      </c>
      <c r="L479" s="12" t="s">
        <v>1498</v>
      </c>
      <c r="M479" s="12">
        <v>4.8</v>
      </c>
      <c r="N479" s="14">
        <v>45782</v>
      </c>
      <c r="O479" s="13">
        <v>4</v>
      </c>
      <c r="P479" s="12" t="s">
        <v>54</v>
      </c>
      <c r="Q479" s="12" t="s">
        <v>55</v>
      </c>
      <c r="R479" s="12" t="s">
        <v>47</v>
      </c>
      <c r="S479" s="12" t="b">
        <v>0</v>
      </c>
      <c r="T479" s="12" t="s">
        <v>78</v>
      </c>
      <c r="U479" s="15">
        <f t="shared" si="28"/>
        <v>633.24450000000002</v>
      </c>
      <c r="V479" s="15">
        <f t="shared" si="29"/>
        <v>964.94399999999996</v>
      </c>
      <c r="W479" s="15">
        <f t="shared" si="30"/>
        <v>266.86649999999997</v>
      </c>
      <c r="X479" s="15">
        <f t="shared" si="31"/>
        <v>547.29949999999997</v>
      </c>
    </row>
    <row r="480" spans="1:24">
      <c r="A480" s="12" t="s">
        <v>1499</v>
      </c>
      <c r="B480" s="12" t="s">
        <v>1500</v>
      </c>
      <c r="C480" s="12" t="s">
        <v>59</v>
      </c>
      <c r="D480" s="12" t="s">
        <v>69</v>
      </c>
      <c r="E480" s="12" t="s">
        <v>70</v>
      </c>
      <c r="F480" s="13">
        <v>19019.02</v>
      </c>
      <c r="G480" s="13">
        <v>48.23</v>
      </c>
      <c r="H480" s="13">
        <v>9845.4699999999993</v>
      </c>
      <c r="I480" s="13">
        <v>3.8</v>
      </c>
      <c r="J480" s="13">
        <v>20</v>
      </c>
      <c r="K480" s="13">
        <v>68</v>
      </c>
      <c r="L480" s="12" t="s">
        <v>1137</v>
      </c>
      <c r="M480" s="12">
        <v>4.2</v>
      </c>
      <c r="N480" s="14">
        <v>45761</v>
      </c>
      <c r="O480" s="13">
        <v>2</v>
      </c>
      <c r="P480" s="12" t="s">
        <v>117</v>
      </c>
      <c r="Q480" s="12" t="s">
        <v>55</v>
      </c>
      <c r="R480" s="12" t="s">
        <v>86</v>
      </c>
      <c r="S480" s="12" t="b">
        <v>0</v>
      </c>
      <c r="T480" s="12" t="s">
        <v>56</v>
      </c>
      <c r="U480" s="15">
        <f t="shared" si="28"/>
        <v>9172.8733460000003</v>
      </c>
      <c r="V480" s="15">
        <f t="shared" si="29"/>
        <v>7607.6080000000002</v>
      </c>
      <c r="W480" s="15">
        <f t="shared" si="30"/>
        <v>1476.8205</v>
      </c>
      <c r="X480" s="15">
        <f t="shared" si="31"/>
        <v>761.04149999999902</v>
      </c>
    </row>
    <row r="481" spans="1:24">
      <c r="A481" s="12" t="s">
        <v>1501</v>
      </c>
      <c r="B481" s="12" t="s">
        <v>1502</v>
      </c>
      <c r="C481" s="12" t="s">
        <v>59</v>
      </c>
      <c r="D481" s="12" t="s">
        <v>170</v>
      </c>
      <c r="E481" s="12" t="s">
        <v>235</v>
      </c>
      <c r="F481" s="13">
        <v>6462.71</v>
      </c>
      <c r="G481" s="13">
        <v>23.25</v>
      </c>
      <c r="H481" s="13">
        <v>4959.87</v>
      </c>
      <c r="I481" s="13">
        <v>3.9</v>
      </c>
      <c r="J481" s="13">
        <v>65</v>
      </c>
      <c r="K481" s="13">
        <v>330</v>
      </c>
      <c r="L481" s="12" t="s">
        <v>1503</v>
      </c>
      <c r="M481" s="12">
        <v>3.9</v>
      </c>
      <c r="N481" s="14">
        <v>45507</v>
      </c>
      <c r="O481" s="13">
        <v>5</v>
      </c>
      <c r="P481" s="12" t="s">
        <v>45</v>
      </c>
      <c r="Q481" s="12" t="s">
        <v>55</v>
      </c>
      <c r="R481" s="12" t="s">
        <v>47</v>
      </c>
      <c r="S481" s="12" t="b">
        <v>0</v>
      </c>
      <c r="T481" s="12" t="s">
        <v>62</v>
      </c>
      <c r="U481" s="15">
        <f t="shared" si="28"/>
        <v>1502.5800750000001</v>
      </c>
      <c r="V481" s="15">
        <f t="shared" si="29"/>
        <v>2585.0839999999998</v>
      </c>
      <c r="W481" s="15">
        <f t="shared" si="30"/>
        <v>743.98050000000001</v>
      </c>
      <c r="X481" s="15">
        <f t="shared" si="31"/>
        <v>1630.8054999999999</v>
      </c>
    </row>
    <row r="482" spans="1:24">
      <c r="A482" s="12" t="s">
        <v>1504</v>
      </c>
      <c r="B482" s="12" t="s">
        <v>1505</v>
      </c>
      <c r="C482" s="12" t="s">
        <v>75</v>
      </c>
      <c r="D482" s="12" t="s">
        <v>104</v>
      </c>
      <c r="E482" s="12" t="s">
        <v>28</v>
      </c>
      <c r="F482" s="13">
        <v>2818.25</v>
      </c>
      <c r="G482" s="13">
        <v>56.33</v>
      </c>
      <c r="H482" s="13">
        <v>1230.75</v>
      </c>
      <c r="I482" s="13">
        <v>3.6</v>
      </c>
      <c r="J482" s="13">
        <v>6</v>
      </c>
      <c r="K482" s="13">
        <v>456</v>
      </c>
      <c r="L482" s="12" t="s">
        <v>1506</v>
      </c>
      <c r="M482" s="12">
        <v>2.6</v>
      </c>
      <c r="N482" s="14">
        <v>45644</v>
      </c>
      <c r="O482" s="13">
        <v>3</v>
      </c>
      <c r="P482" s="12" t="s">
        <v>40</v>
      </c>
      <c r="Q482" s="12" t="s">
        <v>31</v>
      </c>
      <c r="R482" s="12" t="s">
        <v>32</v>
      </c>
      <c r="S482" s="12" t="b">
        <v>0</v>
      </c>
      <c r="T482" s="12" t="s">
        <v>62</v>
      </c>
      <c r="U482" s="15">
        <f t="shared" si="28"/>
        <v>1587.520225</v>
      </c>
      <c r="V482" s="15">
        <f t="shared" si="29"/>
        <v>1127.3</v>
      </c>
      <c r="W482" s="15">
        <f t="shared" si="30"/>
        <v>184.61250000000001</v>
      </c>
      <c r="X482" s="15">
        <f t="shared" si="31"/>
        <v>-81.162499999999895</v>
      </c>
    </row>
    <row r="483" spans="1:24">
      <c r="A483" s="12" t="s">
        <v>1507</v>
      </c>
      <c r="B483" s="12" t="s">
        <v>1508</v>
      </c>
      <c r="C483" s="12" t="s">
        <v>36</v>
      </c>
      <c r="D483" s="12" t="s">
        <v>37</v>
      </c>
      <c r="E483" s="12" t="s">
        <v>65</v>
      </c>
      <c r="F483" s="13">
        <v>10729.61</v>
      </c>
      <c r="G483" s="13">
        <v>13.44</v>
      </c>
      <c r="H483" s="13">
        <v>9287.7999999999993</v>
      </c>
      <c r="I483" s="13">
        <v>3.5</v>
      </c>
      <c r="J483" s="13">
        <v>43</v>
      </c>
      <c r="K483" s="13">
        <v>133</v>
      </c>
      <c r="L483" s="12" t="s">
        <v>1509</v>
      </c>
      <c r="M483" s="12">
        <v>4.0999999999999996</v>
      </c>
      <c r="N483" s="14">
        <v>45797</v>
      </c>
      <c r="O483" s="13">
        <v>2</v>
      </c>
      <c r="P483" s="12" t="s">
        <v>54</v>
      </c>
      <c r="Q483" s="12" t="s">
        <v>31</v>
      </c>
      <c r="R483" s="12" t="s">
        <v>86</v>
      </c>
      <c r="S483" s="12" t="b">
        <v>1</v>
      </c>
      <c r="T483" s="12" t="s">
        <v>33</v>
      </c>
      <c r="U483" s="15">
        <f t="shared" si="28"/>
        <v>1442.0595840000001</v>
      </c>
      <c r="V483" s="15">
        <f t="shared" si="29"/>
        <v>4291.8440000000001</v>
      </c>
      <c r="W483" s="15">
        <f t="shared" si="30"/>
        <v>1393.17</v>
      </c>
      <c r="X483" s="15">
        <f t="shared" si="31"/>
        <v>3602.7860000000001</v>
      </c>
    </row>
    <row r="484" spans="1:24">
      <c r="A484" s="12" t="s">
        <v>1510</v>
      </c>
      <c r="B484" s="12" t="s">
        <v>1511</v>
      </c>
      <c r="C484" s="12" t="s">
        <v>75</v>
      </c>
      <c r="D484" s="12" t="s">
        <v>104</v>
      </c>
      <c r="E484" s="12" t="s">
        <v>96</v>
      </c>
      <c r="F484" s="13">
        <v>2504.83</v>
      </c>
      <c r="G484" s="13">
        <v>18.37</v>
      </c>
      <c r="H484" s="13">
        <v>2044.77</v>
      </c>
      <c r="I484" s="13">
        <v>4.4000000000000004</v>
      </c>
      <c r="J484" s="13">
        <v>24</v>
      </c>
      <c r="K484" s="13">
        <v>375</v>
      </c>
      <c r="L484" s="12" t="s">
        <v>1512</v>
      </c>
      <c r="M484" s="12">
        <v>4.0999999999999996</v>
      </c>
      <c r="N484" s="14">
        <v>45554</v>
      </c>
      <c r="O484" s="13">
        <v>5</v>
      </c>
      <c r="P484" s="12" t="s">
        <v>54</v>
      </c>
      <c r="Q484" s="12" t="s">
        <v>46</v>
      </c>
      <c r="R484" s="12" t="s">
        <v>86</v>
      </c>
      <c r="S484" s="12" t="b">
        <v>0</v>
      </c>
      <c r="T484" s="12" t="s">
        <v>62</v>
      </c>
      <c r="U484" s="15">
        <f t="shared" si="28"/>
        <v>460.137271</v>
      </c>
      <c r="V484" s="15">
        <f t="shared" si="29"/>
        <v>1001.932</v>
      </c>
      <c r="W484" s="15">
        <f t="shared" si="30"/>
        <v>306.71550000000002</v>
      </c>
      <c r="X484" s="15">
        <f t="shared" si="31"/>
        <v>736.12249999999995</v>
      </c>
    </row>
    <row r="485" spans="1:24">
      <c r="A485" s="12" t="s">
        <v>1513</v>
      </c>
      <c r="B485" s="12" t="s">
        <v>1514</v>
      </c>
      <c r="C485" s="12" t="s">
        <v>36</v>
      </c>
      <c r="D485" s="12" t="s">
        <v>43</v>
      </c>
      <c r="E485" s="12" t="s">
        <v>96</v>
      </c>
      <c r="F485" s="13">
        <v>10913.44</v>
      </c>
      <c r="G485" s="13">
        <v>10.6</v>
      </c>
      <c r="H485" s="13">
        <v>9756.73</v>
      </c>
      <c r="I485" s="13">
        <v>4.5</v>
      </c>
      <c r="J485" s="13">
        <v>178</v>
      </c>
      <c r="K485" s="13">
        <v>339</v>
      </c>
      <c r="L485" s="12" t="s">
        <v>1515</v>
      </c>
      <c r="M485" s="12">
        <v>4.7</v>
      </c>
      <c r="N485" s="14">
        <v>45880</v>
      </c>
      <c r="O485" s="13">
        <v>6</v>
      </c>
      <c r="P485" s="12" t="s">
        <v>30</v>
      </c>
      <c r="Q485" s="12" t="s">
        <v>31</v>
      </c>
      <c r="R485" s="12" t="s">
        <v>47</v>
      </c>
      <c r="S485" s="12" t="b">
        <v>0</v>
      </c>
      <c r="T485" s="12" t="s">
        <v>62</v>
      </c>
      <c r="U485" s="15">
        <f t="shared" si="28"/>
        <v>1156.82464</v>
      </c>
      <c r="V485" s="15">
        <f t="shared" si="29"/>
        <v>4365.3760000000002</v>
      </c>
      <c r="W485" s="15">
        <f t="shared" si="30"/>
        <v>1463.5094999999999</v>
      </c>
      <c r="X485" s="15">
        <f t="shared" si="31"/>
        <v>3927.8445000000002</v>
      </c>
    </row>
    <row r="486" spans="1:24">
      <c r="A486" s="12" t="s">
        <v>1516</v>
      </c>
      <c r="B486" s="12" t="s">
        <v>1517</v>
      </c>
      <c r="C486" s="12" t="s">
        <v>75</v>
      </c>
      <c r="D486" s="12" t="s">
        <v>104</v>
      </c>
      <c r="E486" s="12" t="s">
        <v>92</v>
      </c>
      <c r="F486" s="13">
        <v>2495.48</v>
      </c>
      <c r="G486" s="13">
        <v>26.41</v>
      </c>
      <c r="H486" s="13">
        <v>1836.46</v>
      </c>
      <c r="I486" s="13">
        <v>3.8</v>
      </c>
      <c r="J486" s="13">
        <v>11</v>
      </c>
      <c r="K486" s="13">
        <v>337</v>
      </c>
      <c r="L486" s="12" t="s">
        <v>1518</v>
      </c>
      <c r="M486" s="12">
        <v>2.6</v>
      </c>
      <c r="N486" s="14">
        <v>46001</v>
      </c>
      <c r="O486" s="13">
        <v>1</v>
      </c>
      <c r="P486" s="12" t="s">
        <v>54</v>
      </c>
      <c r="Q486" s="12" t="s">
        <v>31</v>
      </c>
      <c r="R486" s="12" t="s">
        <v>86</v>
      </c>
      <c r="S486" s="12" t="b">
        <v>0</v>
      </c>
      <c r="T486" s="12" t="s">
        <v>56</v>
      </c>
      <c r="U486" s="15">
        <f t="shared" si="28"/>
        <v>659.05626800000005</v>
      </c>
      <c r="V486" s="15">
        <f t="shared" si="29"/>
        <v>998.19200000000001</v>
      </c>
      <c r="W486" s="15">
        <f t="shared" si="30"/>
        <v>275.46899999999999</v>
      </c>
      <c r="X486" s="15">
        <f t="shared" si="31"/>
        <v>562.79899999999998</v>
      </c>
    </row>
    <row r="487" spans="1:24">
      <c r="A487" s="12" t="s">
        <v>1519</v>
      </c>
      <c r="B487" s="12" t="s">
        <v>1520</v>
      </c>
      <c r="C487" s="12" t="s">
        <v>26</v>
      </c>
      <c r="D487" s="12" t="s">
        <v>123</v>
      </c>
      <c r="E487" s="12" t="s">
        <v>235</v>
      </c>
      <c r="F487" s="13">
        <v>76139.02</v>
      </c>
      <c r="G487" s="13">
        <v>32.28</v>
      </c>
      <c r="H487" s="13">
        <v>51563.03</v>
      </c>
      <c r="I487" s="13">
        <v>5</v>
      </c>
      <c r="J487" s="13">
        <v>28</v>
      </c>
      <c r="K487" s="13">
        <v>189</v>
      </c>
      <c r="L487" s="12" t="s">
        <v>1521</v>
      </c>
      <c r="M487" s="12">
        <v>4.2</v>
      </c>
      <c r="N487" s="14">
        <v>45820</v>
      </c>
      <c r="O487" s="13">
        <v>1</v>
      </c>
      <c r="P487" s="12" t="s">
        <v>54</v>
      </c>
      <c r="Q487" s="12" t="s">
        <v>46</v>
      </c>
      <c r="R487" s="12" t="s">
        <v>47</v>
      </c>
      <c r="S487" s="12" t="b">
        <v>0</v>
      </c>
      <c r="T487" s="12" t="s">
        <v>62</v>
      </c>
      <c r="U487" s="15">
        <f t="shared" si="28"/>
        <v>24577.675655999999</v>
      </c>
      <c r="V487" s="15">
        <f t="shared" si="29"/>
        <v>30455.608</v>
      </c>
      <c r="W487" s="15">
        <f t="shared" si="30"/>
        <v>7734.4544999999998</v>
      </c>
      <c r="X487" s="15">
        <f t="shared" si="31"/>
        <v>13372.967500000001</v>
      </c>
    </row>
    <row r="488" spans="1:24">
      <c r="A488" s="12" t="s">
        <v>1522</v>
      </c>
      <c r="B488" s="12" t="s">
        <v>1523</v>
      </c>
      <c r="C488" s="12" t="s">
        <v>59</v>
      </c>
      <c r="D488" s="12" t="s">
        <v>170</v>
      </c>
      <c r="E488" s="12" t="s">
        <v>235</v>
      </c>
      <c r="F488" s="13">
        <v>2682.99</v>
      </c>
      <c r="G488" s="13">
        <v>31.83</v>
      </c>
      <c r="H488" s="13">
        <v>1829.09</v>
      </c>
      <c r="I488" s="13">
        <v>3.4</v>
      </c>
      <c r="J488" s="13">
        <v>39</v>
      </c>
      <c r="K488" s="13">
        <v>332</v>
      </c>
      <c r="L488" s="12" t="s">
        <v>1524</v>
      </c>
      <c r="M488" s="12">
        <v>4.5</v>
      </c>
      <c r="N488" s="14">
        <v>45526</v>
      </c>
      <c r="O488" s="13">
        <v>4</v>
      </c>
      <c r="P488" s="12" t="s">
        <v>117</v>
      </c>
      <c r="Q488" s="12" t="s">
        <v>46</v>
      </c>
      <c r="R488" s="12" t="s">
        <v>72</v>
      </c>
      <c r="S488" s="12" t="b">
        <v>0</v>
      </c>
      <c r="T488" s="12" t="s">
        <v>62</v>
      </c>
      <c r="U488" s="15">
        <f t="shared" si="28"/>
        <v>853.99571700000001</v>
      </c>
      <c r="V488" s="15">
        <f t="shared" si="29"/>
        <v>1073.1959999999999</v>
      </c>
      <c r="W488" s="15">
        <f t="shared" si="30"/>
        <v>274.36349999999999</v>
      </c>
      <c r="X488" s="15">
        <f t="shared" si="31"/>
        <v>481.53050000000002</v>
      </c>
    </row>
    <row r="489" spans="1:24">
      <c r="A489" s="12" t="s">
        <v>1525</v>
      </c>
      <c r="B489" s="12" t="s">
        <v>1526</v>
      </c>
      <c r="C489" s="12" t="s">
        <v>59</v>
      </c>
      <c r="D489" s="12" t="s">
        <v>60</v>
      </c>
      <c r="E489" s="12" t="s">
        <v>131</v>
      </c>
      <c r="F489" s="13">
        <v>18818.689999999999</v>
      </c>
      <c r="G489" s="13">
        <v>8.1</v>
      </c>
      <c r="H489" s="13">
        <v>17294.05</v>
      </c>
      <c r="I489" s="13">
        <v>3.2</v>
      </c>
      <c r="J489" s="13">
        <v>18</v>
      </c>
      <c r="K489" s="13">
        <v>334</v>
      </c>
      <c r="L489" s="12" t="s">
        <v>1527</v>
      </c>
      <c r="M489" s="12">
        <v>2.8</v>
      </c>
      <c r="N489" s="14">
        <v>45421</v>
      </c>
      <c r="O489" s="13">
        <v>5</v>
      </c>
      <c r="P489" s="12" t="s">
        <v>45</v>
      </c>
      <c r="Q489" s="12" t="s">
        <v>55</v>
      </c>
      <c r="R489" s="12" t="s">
        <v>32</v>
      </c>
      <c r="S489" s="12" t="b">
        <v>0</v>
      </c>
      <c r="T489" s="12" t="s">
        <v>62</v>
      </c>
      <c r="U489" s="15">
        <f t="shared" si="28"/>
        <v>1524.3138899999999</v>
      </c>
      <c r="V489" s="15">
        <f t="shared" si="29"/>
        <v>7527.4759999999997</v>
      </c>
      <c r="W489" s="15">
        <f t="shared" si="30"/>
        <v>2594.1075000000001</v>
      </c>
      <c r="X489" s="15">
        <f t="shared" si="31"/>
        <v>7172.4665000000005</v>
      </c>
    </row>
    <row r="490" spans="1:24">
      <c r="A490" s="12" t="s">
        <v>1528</v>
      </c>
      <c r="B490" s="12" t="s">
        <v>1529</v>
      </c>
      <c r="C490" s="12" t="s">
        <v>59</v>
      </c>
      <c r="D490" s="12" t="s">
        <v>170</v>
      </c>
      <c r="E490" s="12" t="s">
        <v>70</v>
      </c>
      <c r="F490" s="13">
        <v>5057.3100000000004</v>
      </c>
      <c r="G490" s="13">
        <v>14.79</v>
      </c>
      <c r="H490" s="13">
        <v>4309.57</v>
      </c>
      <c r="I490" s="13">
        <v>3.2</v>
      </c>
      <c r="J490" s="13">
        <v>4</v>
      </c>
      <c r="K490" s="13">
        <v>418</v>
      </c>
      <c r="L490" s="12" t="s">
        <v>1530</v>
      </c>
      <c r="M490" s="12">
        <v>3.5</v>
      </c>
      <c r="N490" s="14">
        <v>45947</v>
      </c>
      <c r="O490" s="13">
        <v>4</v>
      </c>
      <c r="P490" s="12" t="s">
        <v>45</v>
      </c>
      <c r="Q490" s="12" t="s">
        <v>55</v>
      </c>
      <c r="R490" s="12" t="s">
        <v>86</v>
      </c>
      <c r="S490" s="12" t="b">
        <v>0</v>
      </c>
      <c r="T490" s="12" t="s">
        <v>62</v>
      </c>
      <c r="U490" s="15">
        <f t="shared" si="28"/>
        <v>747.97614899999996</v>
      </c>
      <c r="V490" s="15">
        <f t="shared" si="29"/>
        <v>2022.924</v>
      </c>
      <c r="W490" s="15">
        <f t="shared" si="30"/>
        <v>646.43550000000005</v>
      </c>
      <c r="X490" s="15">
        <f t="shared" si="31"/>
        <v>1640.2104999999999</v>
      </c>
    </row>
    <row r="491" spans="1:24">
      <c r="A491" s="12" t="s">
        <v>1531</v>
      </c>
      <c r="B491" s="12" t="s">
        <v>1532</v>
      </c>
      <c r="C491" s="12" t="s">
        <v>26</v>
      </c>
      <c r="D491" s="12" t="s">
        <v>123</v>
      </c>
      <c r="E491" s="12" t="s">
        <v>235</v>
      </c>
      <c r="F491" s="13">
        <v>38329.67</v>
      </c>
      <c r="G491" s="13">
        <v>20.13</v>
      </c>
      <c r="H491" s="13">
        <v>30614.639999999999</v>
      </c>
      <c r="I491" s="13">
        <v>4.3</v>
      </c>
      <c r="J491" s="13">
        <v>13</v>
      </c>
      <c r="K491" s="13">
        <v>263</v>
      </c>
      <c r="L491" s="12" t="s">
        <v>1533</v>
      </c>
      <c r="M491" s="12">
        <v>4.2</v>
      </c>
      <c r="N491" s="14">
        <v>45735</v>
      </c>
      <c r="O491" s="13">
        <v>4</v>
      </c>
      <c r="P491" s="12" t="s">
        <v>54</v>
      </c>
      <c r="Q491" s="12" t="s">
        <v>46</v>
      </c>
      <c r="R491" s="12" t="s">
        <v>47</v>
      </c>
      <c r="S491" s="12" t="b">
        <v>0</v>
      </c>
      <c r="T491" s="12" t="s">
        <v>78</v>
      </c>
      <c r="U491" s="15">
        <f t="shared" si="28"/>
        <v>7715.7625710000002</v>
      </c>
      <c r="V491" s="15">
        <f t="shared" si="29"/>
        <v>15331.868</v>
      </c>
      <c r="W491" s="15">
        <f t="shared" si="30"/>
        <v>4592.1959999999999</v>
      </c>
      <c r="X491" s="15">
        <f t="shared" si="31"/>
        <v>10690.575999999999</v>
      </c>
    </row>
    <row r="492" spans="1:24">
      <c r="A492" s="12" t="s">
        <v>1534</v>
      </c>
      <c r="B492" s="12" t="s">
        <v>1535</v>
      </c>
      <c r="C492" s="12" t="s">
        <v>75</v>
      </c>
      <c r="D492" s="12" t="s">
        <v>104</v>
      </c>
      <c r="E492" s="12" t="s">
        <v>65</v>
      </c>
      <c r="F492" s="13">
        <v>774.07</v>
      </c>
      <c r="G492" s="13">
        <v>29.76</v>
      </c>
      <c r="H492" s="13">
        <v>543.69000000000005</v>
      </c>
      <c r="I492" s="13">
        <v>4.3</v>
      </c>
      <c r="J492" s="13">
        <v>42</v>
      </c>
      <c r="K492" s="13">
        <v>212</v>
      </c>
      <c r="L492" s="12" t="s">
        <v>1536</v>
      </c>
      <c r="M492" s="12">
        <v>3.2</v>
      </c>
      <c r="N492" s="14">
        <v>45737</v>
      </c>
      <c r="O492" s="13">
        <v>2</v>
      </c>
      <c r="P492" s="12" t="s">
        <v>40</v>
      </c>
      <c r="Q492" s="12" t="s">
        <v>31</v>
      </c>
      <c r="R492" s="12" t="s">
        <v>32</v>
      </c>
      <c r="S492" s="12" t="b">
        <v>0</v>
      </c>
      <c r="T492" s="12" t="s">
        <v>56</v>
      </c>
      <c r="U492" s="15">
        <f t="shared" si="28"/>
        <v>230.36323200000001</v>
      </c>
      <c r="V492" s="15">
        <f t="shared" si="29"/>
        <v>309.62799999999999</v>
      </c>
      <c r="W492" s="15">
        <f t="shared" si="30"/>
        <v>81.5535</v>
      </c>
      <c r="X492" s="15">
        <f t="shared" si="31"/>
        <v>152.5085</v>
      </c>
    </row>
    <row r="493" spans="1:24">
      <c r="A493" s="12" t="s">
        <v>1537</v>
      </c>
      <c r="B493" s="12" t="s">
        <v>1538</v>
      </c>
      <c r="C493" s="12" t="s">
        <v>50</v>
      </c>
      <c r="D493" s="12" t="s">
        <v>51</v>
      </c>
      <c r="E493" s="12" t="s">
        <v>70</v>
      </c>
      <c r="F493" s="13">
        <v>4939.37</v>
      </c>
      <c r="G493" s="13">
        <v>34.799999999999997</v>
      </c>
      <c r="H493" s="13">
        <v>3220.26</v>
      </c>
      <c r="I493" s="13">
        <v>4.2</v>
      </c>
      <c r="J493" s="13">
        <v>24</v>
      </c>
      <c r="K493" s="13">
        <v>426</v>
      </c>
      <c r="L493" s="12" t="s">
        <v>1539</v>
      </c>
      <c r="M493" s="12">
        <v>3.6</v>
      </c>
      <c r="N493" s="14">
        <v>45557</v>
      </c>
      <c r="O493" s="13">
        <v>1</v>
      </c>
      <c r="P493" s="12" t="s">
        <v>45</v>
      </c>
      <c r="Q493" s="12" t="s">
        <v>46</v>
      </c>
      <c r="R493" s="12" t="s">
        <v>47</v>
      </c>
      <c r="S493" s="12" t="b">
        <v>0</v>
      </c>
      <c r="T493" s="12" t="s">
        <v>78</v>
      </c>
      <c r="U493" s="15">
        <f t="shared" si="28"/>
        <v>1718.90076</v>
      </c>
      <c r="V493" s="15">
        <f t="shared" si="29"/>
        <v>1975.748</v>
      </c>
      <c r="W493" s="15">
        <f t="shared" si="30"/>
        <v>483.03899999999999</v>
      </c>
      <c r="X493" s="15">
        <f t="shared" si="31"/>
        <v>761.47299999999996</v>
      </c>
    </row>
    <row r="494" spans="1:24">
      <c r="A494" s="12" t="s">
        <v>1540</v>
      </c>
      <c r="B494" s="12" t="s">
        <v>1541</v>
      </c>
      <c r="C494" s="12" t="s">
        <v>75</v>
      </c>
      <c r="D494" s="12" t="s">
        <v>76</v>
      </c>
      <c r="E494" s="12" t="s">
        <v>65</v>
      </c>
      <c r="F494" s="13">
        <v>509.34</v>
      </c>
      <c r="G494" s="13">
        <v>20.45</v>
      </c>
      <c r="H494" s="13">
        <v>405.18</v>
      </c>
      <c r="I494" s="13">
        <v>4.7</v>
      </c>
      <c r="J494" s="13">
        <v>29</v>
      </c>
      <c r="K494" s="13">
        <v>262</v>
      </c>
      <c r="L494" s="12" t="s">
        <v>1542</v>
      </c>
      <c r="M494" s="12">
        <v>3.1</v>
      </c>
      <c r="N494" s="14">
        <v>45734</v>
      </c>
      <c r="O494" s="13">
        <v>2</v>
      </c>
      <c r="P494" s="12" t="s">
        <v>54</v>
      </c>
      <c r="Q494" s="12" t="s">
        <v>31</v>
      </c>
      <c r="R494" s="12" t="s">
        <v>47</v>
      </c>
      <c r="S494" s="12" t="b">
        <v>1</v>
      </c>
      <c r="T494" s="12" t="s">
        <v>33</v>
      </c>
      <c r="U494" s="15">
        <f t="shared" si="28"/>
        <v>104.16003000000001</v>
      </c>
      <c r="V494" s="15">
        <f t="shared" si="29"/>
        <v>203.73599999999999</v>
      </c>
      <c r="W494" s="15">
        <f t="shared" si="30"/>
        <v>60.777000000000001</v>
      </c>
      <c r="X494" s="15">
        <f t="shared" si="31"/>
        <v>140.667</v>
      </c>
    </row>
    <row r="495" spans="1:24">
      <c r="A495" s="12" t="s">
        <v>1543</v>
      </c>
      <c r="B495" s="12" t="s">
        <v>1544</v>
      </c>
      <c r="C495" s="12" t="s">
        <v>26</v>
      </c>
      <c r="D495" s="12" t="s">
        <v>123</v>
      </c>
      <c r="E495" s="12" t="s">
        <v>52</v>
      </c>
      <c r="F495" s="13">
        <v>41900.129999999997</v>
      </c>
      <c r="G495" s="13">
        <v>14.03</v>
      </c>
      <c r="H495" s="13">
        <v>36019.96</v>
      </c>
      <c r="I495" s="13">
        <v>3.7</v>
      </c>
      <c r="J495" s="13">
        <v>18</v>
      </c>
      <c r="K495" s="13">
        <v>306</v>
      </c>
      <c r="L495" s="12" t="s">
        <v>1506</v>
      </c>
      <c r="M495" s="12">
        <v>2.9</v>
      </c>
      <c r="N495" s="14">
        <v>46012</v>
      </c>
      <c r="O495" s="13">
        <v>1</v>
      </c>
      <c r="P495" s="12" t="s">
        <v>54</v>
      </c>
      <c r="Q495" s="12" t="s">
        <v>31</v>
      </c>
      <c r="R495" s="12" t="s">
        <v>72</v>
      </c>
      <c r="S495" s="12" t="b">
        <v>0</v>
      </c>
      <c r="T495" s="12" t="s">
        <v>78</v>
      </c>
      <c r="U495" s="15">
        <f t="shared" si="28"/>
        <v>5878.5882389999997</v>
      </c>
      <c r="V495" s="15">
        <f t="shared" si="29"/>
        <v>16760.052</v>
      </c>
      <c r="W495" s="15">
        <f t="shared" si="30"/>
        <v>5402.9939999999997</v>
      </c>
      <c r="X495" s="15">
        <f t="shared" si="31"/>
        <v>13856.914000000001</v>
      </c>
    </row>
    <row r="496" spans="1:24">
      <c r="A496" s="12" t="s">
        <v>1545</v>
      </c>
      <c r="B496" s="12" t="s">
        <v>1546</v>
      </c>
      <c r="C496" s="12" t="s">
        <v>75</v>
      </c>
      <c r="D496" s="12" t="s">
        <v>104</v>
      </c>
      <c r="E496" s="12" t="s">
        <v>65</v>
      </c>
      <c r="F496" s="13">
        <v>3294.98</v>
      </c>
      <c r="G496" s="13">
        <v>36.32</v>
      </c>
      <c r="H496" s="13">
        <v>2098.2800000000002</v>
      </c>
      <c r="I496" s="13">
        <v>3.8</v>
      </c>
      <c r="J496" s="13">
        <v>11</v>
      </c>
      <c r="K496" s="13">
        <v>112</v>
      </c>
      <c r="L496" s="12" t="s">
        <v>662</v>
      </c>
      <c r="M496" s="12">
        <v>3.6</v>
      </c>
      <c r="N496" s="14">
        <v>45639</v>
      </c>
      <c r="O496" s="13">
        <v>1</v>
      </c>
      <c r="P496" s="12" t="s">
        <v>117</v>
      </c>
      <c r="Q496" s="12" t="s">
        <v>31</v>
      </c>
      <c r="R496" s="12" t="s">
        <v>47</v>
      </c>
      <c r="S496" s="12" t="b">
        <v>0</v>
      </c>
      <c r="T496" s="12" t="s">
        <v>62</v>
      </c>
      <c r="U496" s="15">
        <f t="shared" si="28"/>
        <v>1196.7367360000001</v>
      </c>
      <c r="V496" s="15">
        <f t="shared" si="29"/>
        <v>1317.992</v>
      </c>
      <c r="W496" s="15">
        <f t="shared" si="30"/>
        <v>314.74200000000002</v>
      </c>
      <c r="X496" s="15">
        <f t="shared" si="31"/>
        <v>465.54599999999999</v>
      </c>
    </row>
    <row r="497" spans="1:24">
      <c r="A497" s="12" t="s">
        <v>1547</v>
      </c>
      <c r="B497" s="12" t="s">
        <v>1548</v>
      </c>
      <c r="C497" s="12" t="s">
        <v>75</v>
      </c>
      <c r="D497" s="12" t="s">
        <v>76</v>
      </c>
      <c r="E497" s="12" t="s">
        <v>100</v>
      </c>
      <c r="F497" s="13">
        <v>654.70000000000005</v>
      </c>
      <c r="G497" s="13">
        <v>27.56</v>
      </c>
      <c r="H497" s="13">
        <v>474.27</v>
      </c>
      <c r="I497" s="13">
        <v>3.3</v>
      </c>
      <c r="J497" s="13">
        <v>22</v>
      </c>
      <c r="K497" s="13">
        <v>370</v>
      </c>
      <c r="L497" s="12" t="s">
        <v>1549</v>
      </c>
      <c r="M497" s="12">
        <v>2.9</v>
      </c>
      <c r="N497" s="14">
        <v>45592</v>
      </c>
      <c r="O497" s="13">
        <v>4</v>
      </c>
      <c r="P497" s="12" t="s">
        <v>45</v>
      </c>
      <c r="Q497" s="12" t="s">
        <v>55</v>
      </c>
      <c r="R497" s="12" t="s">
        <v>32</v>
      </c>
      <c r="S497" s="12" t="b">
        <v>0</v>
      </c>
      <c r="T497" s="12" t="s">
        <v>78</v>
      </c>
      <c r="U497" s="15">
        <f t="shared" si="28"/>
        <v>180.43531999999999</v>
      </c>
      <c r="V497" s="15">
        <f t="shared" si="29"/>
        <v>261.88</v>
      </c>
      <c r="W497" s="15">
        <f t="shared" si="30"/>
        <v>71.140500000000003</v>
      </c>
      <c r="X497" s="15">
        <f t="shared" si="31"/>
        <v>141.24950000000001</v>
      </c>
    </row>
    <row r="498" spans="1:24">
      <c r="A498" s="12" t="s">
        <v>1550</v>
      </c>
      <c r="B498" s="12" t="s">
        <v>1551</v>
      </c>
      <c r="C498" s="12" t="s">
        <v>50</v>
      </c>
      <c r="D498" s="12" t="s">
        <v>51</v>
      </c>
      <c r="E498" s="12" t="s">
        <v>92</v>
      </c>
      <c r="F498" s="13">
        <v>2735.31</v>
      </c>
      <c r="G498" s="13">
        <v>9.8000000000000007</v>
      </c>
      <c r="H498" s="13">
        <v>2467.19</v>
      </c>
      <c r="I498" s="13">
        <v>4.3</v>
      </c>
      <c r="J498" s="13">
        <v>28</v>
      </c>
      <c r="K498" s="13">
        <v>267</v>
      </c>
      <c r="L498" s="12" t="s">
        <v>1552</v>
      </c>
      <c r="M498" s="12">
        <v>4.0999999999999996</v>
      </c>
      <c r="N498" s="14">
        <v>45634</v>
      </c>
      <c r="O498" s="13">
        <v>4</v>
      </c>
      <c r="P498" s="12" t="s">
        <v>40</v>
      </c>
      <c r="Q498" s="12" t="s">
        <v>31</v>
      </c>
      <c r="R498" s="12" t="s">
        <v>86</v>
      </c>
      <c r="S498" s="12" t="b">
        <v>0</v>
      </c>
      <c r="T498" s="12" t="s">
        <v>78</v>
      </c>
      <c r="U498" s="15">
        <f t="shared" si="28"/>
        <v>268.06038000000001</v>
      </c>
      <c r="V498" s="15">
        <f t="shared" si="29"/>
        <v>1094.124</v>
      </c>
      <c r="W498" s="15">
        <f t="shared" si="30"/>
        <v>370.07850000000002</v>
      </c>
      <c r="X498" s="15">
        <f t="shared" si="31"/>
        <v>1002.9875</v>
      </c>
    </row>
    <row r="499" spans="1:24">
      <c r="A499" s="12" t="s">
        <v>1553</v>
      </c>
      <c r="B499" s="12" t="s">
        <v>1554</v>
      </c>
      <c r="C499" s="12" t="s">
        <v>36</v>
      </c>
      <c r="D499" s="12" t="s">
        <v>43</v>
      </c>
      <c r="E499" s="12" t="s">
        <v>92</v>
      </c>
      <c r="F499" s="13">
        <v>13541.48</v>
      </c>
      <c r="G499" s="13">
        <v>11.01</v>
      </c>
      <c r="H499" s="13">
        <v>12050.69</v>
      </c>
      <c r="I499" s="13">
        <v>4.5</v>
      </c>
      <c r="J499" s="13">
        <v>13</v>
      </c>
      <c r="K499" s="13">
        <v>19</v>
      </c>
      <c r="L499" s="12" t="s">
        <v>1555</v>
      </c>
      <c r="M499" s="12">
        <v>4.3</v>
      </c>
      <c r="N499" s="14">
        <v>45455</v>
      </c>
      <c r="O499" s="13">
        <v>5</v>
      </c>
      <c r="P499" s="12" t="s">
        <v>117</v>
      </c>
      <c r="Q499" s="12" t="s">
        <v>31</v>
      </c>
      <c r="R499" s="12" t="s">
        <v>32</v>
      </c>
      <c r="S499" s="12" t="b">
        <v>0</v>
      </c>
      <c r="T499" s="12" t="s">
        <v>78</v>
      </c>
      <c r="U499" s="15">
        <f t="shared" si="28"/>
        <v>1490.916948</v>
      </c>
      <c r="V499" s="15">
        <f t="shared" si="29"/>
        <v>5416.5919999999996</v>
      </c>
      <c r="W499" s="15">
        <f t="shared" si="30"/>
        <v>1807.6034999999999</v>
      </c>
      <c r="X499" s="15">
        <f t="shared" si="31"/>
        <v>4826.4944999999998</v>
      </c>
    </row>
    <row r="500" spans="1:24">
      <c r="A500" s="12" t="s">
        <v>1556</v>
      </c>
      <c r="B500" s="12" t="s">
        <v>1557</v>
      </c>
      <c r="C500" s="12" t="s">
        <v>50</v>
      </c>
      <c r="D500" s="12" t="s">
        <v>213</v>
      </c>
      <c r="E500" s="12" t="s">
        <v>92</v>
      </c>
      <c r="F500" s="13">
        <v>3267.72</v>
      </c>
      <c r="G500" s="13">
        <v>49.9</v>
      </c>
      <c r="H500" s="13">
        <v>1637.28</v>
      </c>
      <c r="I500" s="13">
        <v>3.4</v>
      </c>
      <c r="J500" s="13">
        <v>7</v>
      </c>
      <c r="K500" s="13">
        <v>459</v>
      </c>
      <c r="L500" s="12" t="s">
        <v>1558</v>
      </c>
      <c r="M500" s="12">
        <v>5</v>
      </c>
      <c r="N500" s="14">
        <v>45578</v>
      </c>
      <c r="O500" s="13">
        <v>4</v>
      </c>
      <c r="P500" s="12" t="s">
        <v>45</v>
      </c>
      <c r="Q500" s="12" t="s">
        <v>31</v>
      </c>
      <c r="R500" s="12" t="s">
        <v>86</v>
      </c>
      <c r="S500" s="12" t="b">
        <v>0</v>
      </c>
      <c r="T500" s="12" t="s">
        <v>56</v>
      </c>
      <c r="U500" s="15">
        <f t="shared" si="28"/>
        <v>1630.5922800000001</v>
      </c>
      <c r="V500" s="15">
        <f t="shared" si="29"/>
        <v>1307.088</v>
      </c>
      <c r="W500" s="15">
        <f t="shared" si="30"/>
        <v>245.59200000000001</v>
      </c>
      <c r="X500" s="15">
        <f t="shared" si="31"/>
        <v>84.6</v>
      </c>
    </row>
    <row r="501" spans="1:24">
      <c r="A501" s="12" t="s">
        <v>1559</v>
      </c>
      <c r="B501" s="12" t="s">
        <v>1560</v>
      </c>
      <c r="C501" s="12" t="s">
        <v>26</v>
      </c>
      <c r="D501" s="12" t="s">
        <v>148</v>
      </c>
      <c r="E501" s="12" t="s">
        <v>70</v>
      </c>
      <c r="F501" s="13">
        <v>10622</v>
      </c>
      <c r="G501" s="13">
        <v>8.2100000000000009</v>
      </c>
      <c r="H501" s="13">
        <v>9749.7000000000007</v>
      </c>
      <c r="I501" s="13">
        <v>4.3</v>
      </c>
      <c r="J501" s="13">
        <v>28</v>
      </c>
      <c r="K501" s="13">
        <v>179</v>
      </c>
      <c r="L501" s="12" t="s">
        <v>893</v>
      </c>
      <c r="M501" s="12">
        <v>3.1</v>
      </c>
      <c r="N501" s="14">
        <v>45636</v>
      </c>
      <c r="O501" s="13">
        <v>3</v>
      </c>
      <c r="P501" s="12" t="s">
        <v>117</v>
      </c>
      <c r="Q501" s="12" t="s">
        <v>55</v>
      </c>
      <c r="R501" s="12" t="s">
        <v>47</v>
      </c>
      <c r="S501" s="12" t="b">
        <v>0</v>
      </c>
      <c r="T501" s="12" t="s">
        <v>56</v>
      </c>
      <c r="U501" s="15">
        <f t="shared" si="28"/>
        <v>872.06619999999998</v>
      </c>
      <c r="V501" s="15">
        <f t="shared" si="29"/>
        <v>4248.8</v>
      </c>
      <c r="W501" s="15">
        <f t="shared" si="30"/>
        <v>1462.4549999999999</v>
      </c>
      <c r="X501" s="15">
        <f t="shared" si="31"/>
        <v>4038.4450000000002</v>
      </c>
    </row>
    <row r="502" spans="1:24">
      <c r="A502" s="12" t="s">
        <v>1561</v>
      </c>
      <c r="B502" s="12" t="s">
        <v>1562</v>
      </c>
      <c r="C502" s="12" t="s">
        <v>50</v>
      </c>
      <c r="D502" s="12" t="s">
        <v>130</v>
      </c>
      <c r="E502" s="12" t="s">
        <v>84</v>
      </c>
      <c r="F502" s="13">
        <v>1220.79</v>
      </c>
      <c r="G502" s="13">
        <v>7.89</v>
      </c>
      <c r="H502" s="13">
        <v>1124.46</v>
      </c>
      <c r="I502" s="13">
        <v>4.4000000000000004</v>
      </c>
      <c r="J502" s="13">
        <v>28</v>
      </c>
      <c r="K502" s="13">
        <v>209</v>
      </c>
      <c r="L502" s="12" t="s">
        <v>1563</v>
      </c>
      <c r="M502" s="12">
        <v>3.7</v>
      </c>
      <c r="N502" s="14">
        <v>45557</v>
      </c>
      <c r="O502" s="13">
        <v>1</v>
      </c>
      <c r="P502" s="12" t="s">
        <v>30</v>
      </c>
      <c r="Q502" s="12" t="s">
        <v>46</v>
      </c>
      <c r="R502" s="12" t="s">
        <v>32</v>
      </c>
      <c r="S502" s="12" t="b">
        <v>0</v>
      </c>
      <c r="T502" s="12" t="s">
        <v>62</v>
      </c>
      <c r="U502" s="15">
        <f t="shared" si="28"/>
        <v>96.320330999999996</v>
      </c>
      <c r="V502" s="15">
        <f t="shared" si="29"/>
        <v>488.31599999999997</v>
      </c>
      <c r="W502" s="15">
        <f t="shared" si="30"/>
        <v>168.66900000000001</v>
      </c>
      <c r="X502" s="15">
        <f t="shared" si="31"/>
        <v>467.47500000000002</v>
      </c>
    </row>
    <row r="503" spans="1:24">
      <c r="A503" s="12" t="s">
        <v>1564</v>
      </c>
      <c r="B503" s="12" t="s">
        <v>1565</v>
      </c>
      <c r="C503" s="12" t="s">
        <v>26</v>
      </c>
      <c r="D503" s="12" t="s">
        <v>27</v>
      </c>
      <c r="E503" s="12" t="s">
        <v>131</v>
      </c>
      <c r="F503" s="13">
        <v>74641.66</v>
      </c>
      <c r="G503" s="13">
        <v>39.04</v>
      </c>
      <c r="H503" s="13">
        <v>45501.64</v>
      </c>
      <c r="I503" s="13">
        <v>4.4000000000000004</v>
      </c>
      <c r="J503" s="13">
        <v>2</v>
      </c>
      <c r="K503" s="13">
        <v>105</v>
      </c>
      <c r="L503" s="12" t="s">
        <v>1566</v>
      </c>
      <c r="M503" s="12">
        <v>4.4000000000000004</v>
      </c>
      <c r="N503" s="14">
        <v>45971</v>
      </c>
      <c r="O503" s="13">
        <v>5</v>
      </c>
      <c r="P503" s="12" t="s">
        <v>40</v>
      </c>
      <c r="Q503" s="12" t="s">
        <v>55</v>
      </c>
      <c r="R503" s="12" t="s">
        <v>72</v>
      </c>
      <c r="S503" s="12" t="b">
        <v>0</v>
      </c>
      <c r="T503" s="12" t="s">
        <v>78</v>
      </c>
      <c r="U503" s="15">
        <f t="shared" si="28"/>
        <v>29140.104063999999</v>
      </c>
      <c r="V503" s="15">
        <f t="shared" si="29"/>
        <v>29856.664000000001</v>
      </c>
      <c r="W503" s="15">
        <f t="shared" si="30"/>
        <v>6825.2460000000001</v>
      </c>
      <c r="X503" s="15">
        <f t="shared" si="31"/>
        <v>8819.73</v>
      </c>
    </row>
    <row r="504" spans="1:24">
      <c r="A504" s="12" t="s">
        <v>1567</v>
      </c>
      <c r="B504" s="12" t="s">
        <v>1568</v>
      </c>
      <c r="C504" s="12" t="s">
        <v>75</v>
      </c>
      <c r="D504" s="12" t="s">
        <v>104</v>
      </c>
      <c r="E504" s="12" t="s">
        <v>100</v>
      </c>
      <c r="F504" s="13">
        <v>1881.19</v>
      </c>
      <c r="G504" s="13">
        <v>16.149999999999999</v>
      </c>
      <c r="H504" s="13">
        <v>1577.34</v>
      </c>
      <c r="I504" s="13">
        <v>3.8</v>
      </c>
      <c r="J504" s="13">
        <v>29</v>
      </c>
      <c r="K504" s="13">
        <v>437</v>
      </c>
      <c r="L504" s="12" t="s">
        <v>1569</v>
      </c>
      <c r="M504" s="12">
        <v>4.5999999999999996</v>
      </c>
      <c r="N504" s="14">
        <v>45709</v>
      </c>
      <c r="O504" s="13">
        <v>2</v>
      </c>
      <c r="P504" s="12" t="s">
        <v>45</v>
      </c>
      <c r="Q504" s="12" t="s">
        <v>55</v>
      </c>
      <c r="R504" s="12" t="s">
        <v>72</v>
      </c>
      <c r="S504" s="12" t="b">
        <v>0</v>
      </c>
      <c r="T504" s="12" t="s">
        <v>62</v>
      </c>
      <c r="U504" s="15">
        <f t="shared" si="28"/>
        <v>303.812185</v>
      </c>
      <c r="V504" s="15">
        <f t="shared" si="29"/>
        <v>752.476</v>
      </c>
      <c r="W504" s="15">
        <f t="shared" si="30"/>
        <v>236.601</v>
      </c>
      <c r="X504" s="15">
        <f t="shared" si="31"/>
        <v>588.26300000000003</v>
      </c>
    </row>
    <row r="505" spans="1:24">
      <c r="A505" s="12" t="s">
        <v>1570</v>
      </c>
      <c r="B505" s="12" t="s">
        <v>1571</v>
      </c>
      <c r="C505" s="12" t="s">
        <v>59</v>
      </c>
      <c r="D505" s="12" t="s">
        <v>60</v>
      </c>
      <c r="E505" s="12" t="s">
        <v>96</v>
      </c>
      <c r="F505" s="13">
        <v>16937.95</v>
      </c>
      <c r="G505" s="13">
        <v>29.78</v>
      </c>
      <c r="H505" s="13">
        <v>11894.56</v>
      </c>
      <c r="I505" s="13">
        <v>3.9</v>
      </c>
      <c r="J505" s="13">
        <v>65</v>
      </c>
      <c r="K505" s="13">
        <v>401</v>
      </c>
      <c r="L505" s="12" t="s">
        <v>1572</v>
      </c>
      <c r="M505" s="12">
        <v>4</v>
      </c>
      <c r="N505" s="14">
        <v>45950</v>
      </c>
      <c r="O505" s="13">
        <v>1</v>
      </c>
      <c r="P505" s="12" t="s">
        <v>54</v>
      </c>
      <c r="Q505" s="12" t="s">
        <v>46</v>
      </c>
      <c r="R505" s="12" t="s">
        <v>72</v>
      </c>
      <c r="S505" s="12" t="b">
        <v>0</v>
      </c>
      <c r="T505" s="12" t="s">
        <v>62</v>
      </c>
      <c r="U505" s="15">
        <f t="shared" si="28"/>
        <v>5044.1215099999999</v>
      </c>
      <c r="V505" s="15">
        <f t="shared" si="29"/>
        <v>6775.18</v>
      </c>
      <c r="W505" s="15">
        <f t="shared" si="30"/>
        <v>1784.184</v>
      </c>
      <c r="X505" s="15">
        <f t="shared" si="31"/>
        <v>3335.1959999999999</v>
      </c>
    </row>
    <row r="506" spans="1:24">
      <c r="A506" s="12" t="s">
        <v>1573</v>
      </c>
      <c r="B506" s="12" t="s">
        <v>1574</v>
      </c>
      <c r="C506" s="12" t="s">
        <v>36</v>
      </c>
      <c r="D506" s="12" t="s">
        <v>37</v>
      </c>
      <c r="E506" s="12" t="s">
        <v>52</v>
      </c>
      <c r="F506" s="13">
        <v>3246.93</v>
      </c>
      <c r="G506" s="13">
        <v>23.05</v>
      </c>
      <c r="H506" s="13">
        <v>2498.46</v>
      </c>
      <c r="I506" s="13">
        <v>3.8</v>
      </c>
      <c r="J506" s="13">
        <v>35</v>
      </c>
      <c r="K506" s="13">
        <v>396</v>
      </c>
      <c r="L506" s="12" t="s">
        <v>1575</v>
      </c>
      <c r="M506" s="12">
        <v>2.6</v>
      </c>
      <c r="N506" s="14">
        <v>45733</v>
      </c>
      <c r="O506" s="13">
        <v>5</v>
      </c>
      <c r="P506" s="12" t="s">
        <v>30</v>
      </c>
      <c r="Q506" s="12" t="s">
        <v>31</v>
      </c>
      <c r="R506" s="12" t="s">
        <v>47</v>
      </c>
      <c r="S506" s="12" t="b">
        <v>1</v>
      </c>
      <c r="T506" s="12" t="s">
        <v>33</v>
      </c>
      <c r="U506" s="15">
        <f t="shared" si="28"/>
        <v>748.41736500000002</v>
      </c>
      <c r="V506" s="15">
        <f t="shared" si="29"/>
        <v>1298.7719999999999</v>
      </c>
      <c r="W506" s="15">
        <f t="shared" si="30"/>
        <v>374.76900000000001</v>
      </c>
      <c r="X506" s="15">
        <f t="shared" si="31"/>
        <v>824.91899999999998</v>
      </c>
    </row>
    <row r="507" spans="1:24">
      <c r="A507" s="12" t="s">
        <v>1576</v>
      </c>
      <c r="B507" s="12" t="s">
        <v>1577</v>
      </c>
      <c r="C507" s="12" t="s">
        <v>26</v>
      </c>
      <c r="D507" s="12" t="s">
        <v>123</v>
      </c>
      <c r="E507" s="12" t="s">
        <v>235</v>
      </c>
      <c r="F507" s="13">
        <v>47957.77</v>
      </c>
      <c r="G507" s="13">
        <v>14.6</v>
      </c>
      <c r="H507" s="13">
        <v>40957.160000000003</v>
      </c>
      <c r="I507" s="13">
        <v>4.9000000000000004</v>
      </c>
      <c r="J507" s="13">
        <v>127</v>
      </c>
      <c r="K507" s="13">
        <v>260</v>
      </c>
      <c r="L507" s="12" t="s">
        <v>1578</v>
      </c>
      <c r="M507" s="12">
        <v>3</v>
      </c>
      <c r="N507" s="14">
        <v>45805</v>
      </c>
      <c r="O507" s="13">
        <v>4</v>
      </c>
      <c r="P507" s="12" t="s">
        <v>54</v>
      </c>
      <c r="Q507" s="12" t="s">
        <v>55</v>
      </c>
      <c r="R507" s="12" t="s">
        <v>32</v>
      </c>
      <c r="S507" s="12" t="b">
        <v>0</v>
      </c>
      <c r="T507" s="12" t="s">
        <v>78</v>
      </c>
      <c r="U507" s="15">
        <f t="shared" si="28"/>
        <v>7001.8344200000001</v>
      </c>
      <c r="V507" s="15">
        <f t="shared" si="29"/>
        <v>19183.108</v>
      </c>
      <c r="W507" s="15">
        <f t="shared" si="30"/>
        <v>6143.5739999999996</v>
      </c>
      <c r="X507" s="15">
        <f t="shared" si="31"/>
        <v>15630.477999999999</v>
      </c>
    </row>
    <row r="508" spans="1:24">
      <c r="A508" s="12" t="s">
        <v>1579</v>
      </c>
      <c r="B508" s="12" t="s">
        <v>1580</v>
      </c>
      <c r="C508" s="12" t="s">
        <v>50</v>
      </c>
      <c r="D508" s="12" t="s">
        <v>213</v>
      </c>
      <c r="E508" s="12" t="s">
        <v>38</v>
      </c>
      <c r="F508" s="13">
        <v>3445.74</v>
      </c>
      <c r="G508" s="13">
        <v>48.32</v>
      </c>
      <c r="H508" s="13">
        <v>1780.66</v>
      </c>
      <c r="I508" s="13">
        <v>3.3</v>
      </c>
      <c r="J508" s="13">
        <v>32</v>
      </c>
      <c r="K508" s="13">
        <v>241</v>
      </c>
      <c r="L508" s="12" t="s">
        <v>1581</v>
      </c>
      <c r="M508" s="12">
        <v>4</v>
      </c>
      <c r="N508" s="14">
        <v>45815</v>
      </c>
      <c r="O508" s="13">
        <v>5</v>
      </c>
      <c r="P508" s="12" t="s">
        <v>40</v>
      </c>
      <c r="Q508" s="12" t="s">
        <v>46</v>
      </c>
      <c r="R508" s="12" t="s">
        <v>32</v>
      </c>
      <c r="S508" s="12" t="b">
        <v>0</v>
      </c>
      <c r="T508" s="12" t="s">
        <v>56</v>
      </c>
      <c r="U508" s="15">
        <f t="shared" si="28"/>
        <v>1664.9815679999999</v>
      </c>
      <c r="V508" s="15">
        <f t="shared" si="29"/>
        <v>1378.296</v>
      </c>
      <c r="W508" s="15">
        <f t="shared" si="30"/>
        <v>267.09899999999999</v>
      </c>
      <c r="X508" s="15">
        <f t="shared" si="31"/>
        <v>135.26499999999999</v>
      </c>
    </row>
    <row r="509" spans="1:24">
      <c r="A509" s="12" t="s">
        <v>1582</v>
      </c>
      <c r="B509" s="12" t="s">
        <v>1583</v>
      </c>
      <c r="C509" s="12" t="s">
        <v>75</v>
      </c>
      <c r="D509" s="12" t="s">
        <v>104</v>
      </c>
      <c r="E509" s="12" t="s">
        <v>84</v>
      </c>
      <c r="F509" s="13">
        <v>3996.02</v>
      </c>
      <c r="G509" s="13">
        <v>50.37</v>
      </c>
      <c r="H509" s="13">
        <v>1983.23</v>
      </c>
      <c r="I509" s="13">
        <v>4.2</v>
      </c>
      <c r="J509" s="13">
        <v>20</v>
      </c>
      <c r="K509" s="13">
        <v>476</v>
      </c>
      <c r="L509" s="12" t="s">
        <v>1584</v>
      </c>
      <c r="M509" s="12">
        <v>3.3</v>
      </c>
      <c r="N509" s="14">
        <v>46025</v>
      </c>
      <c r="O509" s="13">
        <v>4</v>
      </c>
      <c r="P509" s="12" t="s">
        <v>45</v>
      </c>
      <c r="Q509" s="12" t="s">
        <v>31</v>
      </c>
      <c r="R509" s="12" t="s">
        <v>72</v>
      </c>
      <c r="S509" s="12" t="b">
        <v>0</v>
      </c>
      <c r="T509" s="12" t="s">
        <v>62</v>
      </c>
      <c r="U509" s="15">
        <f t="shared" si="28"/>
        <v>2012.7952740000001</v>
      </c>
      <c r="V509" s="15">
        <f t="shared" si="29"/>
        <v>1598.4079999999999</v>
      </c>
      <c r="W509" s="15">
        <f t="shared" si="30"/>
        <v>297.48450000000003</v>
      </c>
      <c r="X509" s="15">
        <f t="shared" si="31"/>
        <v>87.337499999999906</v>
      </c>
    </row>
    <row r="510" spans="1:24">
      <c r="A510" s="12" t="s">
        <v>1585</v>
      </c>
      <c r="B510" s="12" t="s">
        <v>1586</v>
      </c>
      <c r="C510" s="12" t="s">
        <v>36</v>
      </c>
      <c r="D510" s="12" t="s">
        <v>43</v>
      </c>
      <c r="E510" s="12" t="s">
        <v>92</v>
      </c>
      <c r="F510" s="13">
        <v>10827.19</v>
      </c>
      <c r="G510" s="13">
        <v>12.92</v>
      </c>
      <c r="H510" s="13">
        <v>9428.85</v>
      </c>
      <c r="I510" s="13">
        <v>3.9</v>
      </c>
      <c r="J510" s="13">
        <v>4</v>
      </c>
      <c r="K510" s="13">
        <v>103</v>
      </c>
      <c r="L510" s="12" t="s">
        <v>1587</v>
      </c>
      <c r="M510" s="12">
        <v>2.5</v>
      </c>
      <c r="N510" s="14">
        <v>45407</v>
      </c>
      <c r="O510" s="13">
        <v>2</v>
      </c>
      <c r="P510" s="12" t="s">
        <v>117</v>
      </c>
      <c r="Q510" s="12" t="s">
        <v>55</v>
      </c>
      <c r="R510" s="12" t="s">
        <v>47</v>
      </c>
      <c r="S510" s="12" t="b">
        <v>0</v>
      </c>
      <c r="T510" s="12" t="s">
        <v>78</v>
      </c>
      <c r="U510" s="15">
        <f t="shared" si="28"/>
        <v>1398.872948</v>
      </c>
      <c r="V510" s="15">
        <f t="shared" si="29"/>
        <v>4330.8760000000002</v>
      </c>
      <c r="W510" s="15">
        <f t="shared" si="30"/>
        <v>1414.3275000000001</v>
      </c>
      <c r="X510" s="15">
        <f t="shared" si="31"/>
        <v>3683.6464999999998</v>
      </c>
    </row>
    <row r="511" spans="1:24">
      <c r="A511" s="12" t="s">
        <v>1588</v>
      </c>
      <c r="B511" s="12" t="s">
        <v>1589</v>
      </c>
      <c r="C511" s="12" t="s">
        <v>36</v>
      </c>
      <c r="D511" s="12" t="s">
        <v>108</v>
      </c>
      <c r="E511" s="12" t="s">
        <v>131</v>
      </c>
      <c r="F511" s="13">
        <v>11428.94</v>
      </c>
      <c r="G511" s="13">
        <v>16.399999999999999</v>
      </c>
      <c r="H511" s="13">
        <v>9554.36</v>
      </c>
      <c r="I511" s="13">
        <v>4</v>
      </c>
      <c r="J511" s="13">
        <v>50</v>
      </c>
      <c r="K511" s="13">
        <v>345</v>
      </c>
      <c r="L511" s="12" t="s">
        <v>1590</v>
      </c>
      <c r="M511" s="12">
        <v>4.4000000000000004</v>
      </c>
      <c r="N511" s="14">
        <v>45740</v>
      </c>
      <c r="O511" s="13">
        <v>1</v>
      </c>
      <c r="P511" s="12" t="s">
        <v>54</v>
      </c>
      <c r="Q511" s="12" t="s">
        <v>55</v>
      </c>
      <c r="R511" s="12" t="s">
        <v>47</v>
      </c>
      <c r="S511" s="12" t="b">
        <v>0</v>
      </c>
      <c r="T511" s="12" t="s">
        <v>62</v>
      </c>
      <c r="U511" s="15">
        <f t="shared" si="28"/>
        <v>1874.3461600000001</v>
      </c>
      <c r="V511" s="15">
        <f t="shared" si="29"/>
        <v>4571.576</v>
      </c>
      <c r="W511" s="15">
        <f t="shared" si="30"/>
        <v>1433.154</v>
      </c>
      <c r="X511" s="15">
        <f t="shared" si="31"/>
        <v>3549.63</v>
      </c>
    </row>
    <row r="512" spans="1:24">
      <c r="A512" s="12" t="s">
        <v>1591</v>
      </c>
      <c r="B512" s="12" t="s">
        <v>1592</v>
      </c>
      <c r="C512" s="12" t="s">
        <v>26</v>
      </c>
      <c r="D512" s="12" t="s">
        <v>123</v>
      </c>
      <c r="E512" s="12" t="s">
        <v>84</v>
      </c>
      <c r="F512" s="13">
        <v>28209.69</v>
      </c>
      <c r="G512" s="13">
        <v>15.32</v>
      </c>
      <c r="H512" s="13">
        <v>23888.36</v>
      </c>
      <c r="I512" s="13">
        <v>4.5</v>
      </c>
      <c r="J512" s="13">
        <v>2</v>
      </c>
      <c r="K512" s="13">
        <v>180</v>
      </c>
      <c r="L512" s="12" t="s">
        <v>1593</v>
      </c>
      <c r="M512" s="12">
        <v>3.1</v>
      </c>
      <c r="N512" s="14">
        <v>45484</v>
      </c>
      <c r="O512" s="13">
        <v>3</v>
      </c>
      <c r="P512" s="12" t="s">
        <v>30</v>
      </c>
      <c r="Q512" s="12" t="s">
        <v>55</v>
      </c>
      <c r="R512" s="12" t="s">
        <v>47</v>
      </c>
      <c r="S512" s="12" t="b">
        <v>0</v>
      </c>
      <c r="T512" s="12" t="s">
        <v>62</v>
      </c>
      <c r="U512" s="15">
        <f t="shared" si="28"/>
        <v>4321.7245080000002</v>
      </c>
      <c r="V512" s="15">
        <f t="shared" si="29"/>
        <v>11283.876</v>
      </c>
      <c r="W512" s="15">
        <f t="shared" si="30"/>
        <v>3583.2539999999999</v>
      </c>
      <c r="X512" s="15">
        <f t="shared" si="31"/>
        <v>9021.23</v>
      </c>
    </row>
    <row r="513" spans="1:24">
      <c r="A513" s="12" t="s">
        <v>1594</v>
      </c>
      <c r="B513" s="12" t="s">
        <v>1595</v>
      </c>
      <c r="C513" s="12" t="s">
        <v>26</v>
      </c>
      <c r="D513" s="12" t="s">
        <v>27</v>
      </c>
      <c r="E513" s="12" t="s">
        <v>84</v>
      </c>
      <c r="F513" s="13">
        <v>70905.990000000005</v>
      </c>
      <c r="G513" s="13">
        <v>12.81</v>
      </c>
      <c r="H513" s="13">
        <v>61824.34</v>
      </c>
      <c r="I513" s="13">
        <v>5</v>
      </c>
      <c r="J513" s="13">
        <v>32</v>
      </c>
      <c r="K513" s="13">
        <v>468</v>
      </c>
      <c r="L513" s="12" t="s">
        <v>1596</v>
      </c>
      <c r="M513" s="12">
        <v>3.7</v>
      </c>
      <c r="N513" s="14">
        <v>45514</v>
      </c>
      <c r="O513" s="13">
        <v>4</v>
      </c>
      <c r="P513" s="12" t="s">
        <v>45</v>
      </c>
      <c r="Q513" s="12" t="s">
        <v>55</v>
      </c>
      <c r="R513" s="12" t="s">
        <v>72</v>
      </c>
      <c r="S513" s="12" t="b">
        <v>0</v>
      </c>
      <c r="T513" s="12" t="s">
        <v>78</v>
      </c>
      <c r="U513" s="15">
        <f t="shared" si="28"/>
        <v>9083.0573189999996</v>
      </c>
      <c r="V513" s="15">
        <f t="shared" si="29"/>
        <v>28362.396000000001</v>
      </c>
      <c r="W513" s="15">
        <f t="shared" si="30"/>
        <v>9273.6509999999998</v>
      </c>
      <c r="X513" s="15">
        <f t="shared" si="31"/>
        <v>24188.293000000001</v>
      </c>
    </row>
    <row r="514" spans="1:24">
      <c r="A514" s="12" t="s">
        <v>1597</v>
      </c>
      <c r="B514" s="12" t="s">
        <v>1598</v>
      </c>
      <c r="C514" s="12" t="s">
        <v>36</v>
      </c>
      <c r="D514" s="12" t="s">
        <v>43</v>
      </c>
      <c r="E514" s="12" t="s">
        <v>235</v>
      </c>
      <c r="F514" s="13">
        <v>7964.37</v>
      </c>
      <c r="G514" s="13">
        <v>28.1</v>
      </c>
      <c r="H514" s="13">
        <v>5726.64</v>
      </c>
      <c r="I514" s="13">
        <v>3.8</v>
      </c>
      <c r="J514" s="13">
        <v>7</v>
      </c>
      <c r="K514" s="13">
        <v>133</v>
      </c>
      <c r="L514" s="12" t="s">
        <v>1599</v>
      </c>
      <c r="M514" s="12">
        <v>4.5999999999999996</v>
      </c>
      <c r="N514" s="14">
        <v>45705</v>
      </c>
      <c r="O514" s="13">
        <v>3</v>
      </c>
      <c r="P514" s="12" t="s">
        <v>117</v>
      </c>
      <c r="Q514" s="12" t="s">
        <v>55</v>
      </c>
      <c r="R514" s="12" t="s">
        <v>32</v>
      </c>
      <c r="S514" s="12" t="b">
        <v>0</v>
      </c>
      <c r="T514" s="12" t="s">
        <v>62</v>
      </c>
      <c r="U514" s="15">
        <f t="shared" si="28"/>
        <v>2237.9879700000001</v>
      </c>
      <c r="V514" s="15">
        <f t="shared" si="29"/>
        <v>3185.748</v>
      </c>
      <c r="W514" s="15">
        <f t="shared" si="30"/>
        <v>858.99599999999998</v>
      </c>
      <c r="X514" s="15">
        <f t="shared" si="31"/>
        <v>1681.896</v>
      </c>
    </row>
    <row r="515" spans="1:24">
      <c r="A515" s="12" t="s">
        <v>1600</v>
      </c>
      <c r="B515" s="12" t="s">
        <v>1601</v>
      </c>
      <c r="C515" s="12" t="s">
        <v>26</v>
      </c>
      <c r="D515" s="12" t="s">
        <v>313</v>
      </c>
      <c r="E515" s="12" t="s">
        <v>112</v>
      </c>
      <c r="F515" s="13">
        <v>45873.67</v>
      </c>
      <c r="G515" s="13">
        <v>17.809999999999999</v>
      </c>
      <c r="H515" s="13">
        <v>37705.19</v>
      </c>
      <c r="I515" s="13">
        <v>3.9</v>
      </c>
      <c r="J515" s="13">
        <v>10</v>
      </c>
      <c r="K515" s="13">
        <v>489</v>
      </c>
      <c r="L515" s="12" t="s">
        <v>1602</v>
      </c>
      <c r="M515" s="12">
        <v>3.2</v>
      </c>
      <c r="N515" s="14">
        <v>45651</v>
      </c>
      <c r="O515" s="13">
        <v>3</v>
      </c>
      <c r="P515" s="12" t="s">
        <v>40</v>
      </c>
      <c r="Q515" s="12" t="s">
        <v>31</v>
      </c>
      <c r="R515" s="12" t="s">
        <v>72</v>
      </c>
      <c r="S515" s="12" t="b">
        <v>0</v>
      </c>
      <c r="T515" s="12" t="s">
        <v>62</v>
      </c>
      <c r="U515" s="15">
        <f t="shared" ref="U515:U578" si="32">F515*(G515/100)</f>
        <v>8170.1006269999998</v>
      </c>
      <c r="V515" s="15">
        <f t="shared" ref="V515:V578" si="33">F515*0.4</f>
        <v>18349.468000000001</v>
      </c>
      <c r="W515" s="15">
        <f t="shared" ref="W515:W578" si="34">H515*0.15</f>
        <v>5655.7785000000003</v>
      </c>
      <c r="X515" s="15">
        <f t="shared" ref="X515:X578" si="35">H515-V515-W515</f>
        <v>13699.943499999999</v>
      </c>
    </row>
    <row r="516" spans="1:24">
      <c r="A516" s="12" t="s">
        <v>1603</v>
      </c>
      <c r="B516" s="12" t="s">
        <v>1604</v>
      </c>
      <c r="C516" s="12" t="s">
        <v>50</v>
      </c>
      <c r="D516" s="12" t="s">
        <v>51</v>
      </c>
      <c r="E516" s="12" t="s">
        <v>65</v>
      </c>
      <c r="F516" s="13">
        <v>2933.59</v>
      </c>
      <c r="G516" s="13">
        <v>49.62</v>
      </c>
      <c r="H516" s="13">
        <v>1477.85</v>
      </c>
      <c r="I516" s="13">
        <v>4.0999999999999996</v>
      </c>
      <c r="J516" s="13">
        <v>8</v>
      </c>
      <c r="K516" s="13">
        <v>387</v>
      </c>
      <c r="L516" s="12" t="s">
        <v>1605</v>
      </c>
      <c r="M516" s="12">
        <v>4.2</v>
      </c>
      <c r="N516" s="14">
        <v>45913</v>
      </c>
      <c r="O516" s="13">
        <v>6</v>
      </c>
      <c r="P516" s="12" t="s">
        <v>117</v>
      </c>
      <c r="Q516" s="12" t="s">
        <v>55</v>
      </c>
      <c r="R516" s="12" t="s">
        <v>86</v>
      </c>
      <c r="S516" s="12" t="b">
        <v>0</v>
      </c>
      <c r="T516" s="12" t="s">
        <v>62</v>
      </c>
      <c r="U516" s="15">
        <f t="shared" si="32"/>
        <v>1455.6473579999999</v>
      </c>
      <c r="V516" s="15">
        <f t="shared" si="33"/>
        <v>1173.4359999999999</v>
      </c>
      <c r="W516" s="15">
        <f t="shared" si="34"/>
        <v>221.67750000000001</v>
      </c>
      <c r="X516" s="15">
        <f t="shared" si="35"/>
        <v>82.736499999999793</v>
      </c>
    </row>
    <row r="517" spans="1:24">
      <c r="A517" s="12" t="s">
        <v>1606</v>
      </c>
      <c r="B517" s="12" t="s">
        <v>1607</v>
      </c>
      <c r="C517" s="12" t="s">
        <v>26</v>
      </c>
      <c r="D517" s="12" t="s">
        <v>148</v>
      </c>
      <c r="E517" s="12" t="s">
        <v>84</v>
      </c>
      <c r="F517" s="13">
        <v>21970.799999999999</v>
      </c>
      <c r="G517" s="13">
        <v>35</v>
      </c>
      <c r="H517" s="13">
        <v>14281.37</v>
      </c>
      <c r="I517" s="13">
        <v>3.9</v>
      </c>
      <c r="J517" s="13">
        <v>74</v>
      </c>
      <c r="K517" s="13">
        <v>324</v>
      </c>
      <c r="L517" s="12" t="s">
        <v>1608</v>
      </c>
      <c r="M517" s="12">
        <v>3.6</v>
      </c>
      <c r="N517" s="14">
        <v>45642</v>
      </c>
      <c r="O517" s="13">
        <v>5</v>
      </c>
      <c r="P517" s="12" t="s">
        <v>30</v>
      </c>
      <c r="Q517" s="12" t="s">
        <v>31</v>
      </c>
      <c r="R517" s="12" t="s">
        <v>47</v>
      </c>
      <c r="S517" s="12" t="b">
        <v>0</v>
      </c>
      <c r="T517" s="12" t="s">
        <v>56</v>
      </c>
      <c r="U517" s="15">
        <f t="shared" si="32"/>
        <v>7689.78</v>
      </c>
      <c r="V517" s="15">
        <f t="shared" si="33"/>
        <v>8788.32</v>
      </c>
      <c r="W517" s="15">
        <f t="shared" si="34"/>
        <v>2142.2055</v>
      </c>
      <c r="X517" s="15">
        <f t="shared" si="35"/>
        <v>3350.8445000000002</v>
      </c>
    </row>
    <row r="518" spans="1:24">
      <c r="A518" s="12" t="s">
        <v>1609</v>
      </c>
      <c r="B518" s="12" t="s">
        <v>1610</v>
      </c>
      <c r="C518" s="12" t="s">
        <v>50</v>
      </c>
      <c r="D518" s="12" t="s">
        <v>51</v>
      </c>
      <c r="E518" s="12" t="s">
        <v>131</v>
      </c>
      <c r="F518" s="13">
        <v>4715.6000000000004</v>
      </c>
      <c r="G518" s="13">
        <v>44.36</v>
      </c>
      <c r="H518" s="13">
        <v>2623.6</v>
      </c>
      <c r="I518" s="13">
        <v>3.4</v>
      </c>
      <c r="J518" s="13">
        <v>47</v>
      </c>
      <c r="K518" s="13">
        <v>127</v>
      </c>
      <c r="L518" s="12" t="s">
        <v>1611</v>
      </c>
      <c r="M518" s="12">
        <v>3.2</v>
      </c>
      <c r="N518" s="14">
        <v>45746</v>
      </c>
      <c r="O518" s="13">
        <v>4</v>
      </c>
      <c r="P518" s="12" t="s">
        <v>45</v>
      </c>
      <c r="Q518" s="12" t="s">
        <v>46</v>
      </c>
      <c r="R518" s="12" t="s">
        <v>86</v>
      </c>
      <c r="S518" s="12" t="b">
        <v>0</v>
      </c>
      <c r="T518" s="12" t="s">
        <v>62</v>
      </c>
      <c r="U518" s="15">
        <f t="shared" si="32"/>
        <v>2091.8401600000002</v>
      </c>
      <c r="V518" s="15">
        <f t="shared" si="33"/>
        <v>1886.24</v>
      </c>
      <c r="W518" s="15">
        <f t="shared" si="34"/>
        <v>393.54</v>
      </c>
      <c r="X518" s="15">
        <f t="shared" si="35"/>
        <v>343.82</v>
      </c>
    </row>
    <row r="519" spans="1:24">
      <c r="A519" s="12" t="s">
        <v>1612</v>
      </c>
      <c r="B519" s="12" t="s">
        <v>1613</v>
      </c>
      <c r="C519" s="12" t="s">
        <v>59</v>
      </c>
      <c r="D519" s="12" t="s">
        <v>69</v>
      </c>
      <c r="E519" s="12" t="s">
        <v>131</v>
      </c>
      <c r="F519" s="13">
        <v>7640.93</v>
      </c>
      <c r="G519" s="13">
        <v>35.630000000000003</v>
      </c>
      <c r="H519" s="13">
        <v>4918.83</v>
      </c>
      <c r="I519" s="13">
        <v>3.7</v>
      </c>
      <c r="J519" s="13">
        <v>3</v>
      </c>
      <c r="K519" s="13">
        <v>181</v>
      </c>
      <c r="L519" s="12" t="s">
        <v>1614</v>
      </c>
      <c r="M519" s="12">
        <v>3.1</v>
      </c>
      <c r="N519" s="14">
        <v>45478</v>
      </c>
      <c r="O519" s="13">
        <v>1</v>
      </c>
      <c r="P519" s="12" t="s">
        <v>54</v>
      </c>
      <c r="Q519" s="12" t="s">
        <v>31</v>
      </c>
      <c r="R519" s="12" t="s">
        <v>72</v>
      </c>
      <c r="S519" s="12" t="b">
        <v>0</v>
      </c>
      <c r="T519" s="12" t="s">
        <v>78</v>
      </c>
      <c r="U519" s="15">
        <f t="shared" si="32"/>
        <v>2722.4633589999999</v>
      </c>
      <c r="V519" s="15">
        <f t="shared" si="33"/>
        <v>3056.3719999999998</v>
      </c>
      <c r="W519" s="15">
        <f t="shared" si="34"/>
        <v>737.82449999999994</v>
      </c>
      <c r="X519" s="15">
        <f t="shared" si="35"/>
        <v>1124.6334999999999</v>
      </c>
    </row>
    <row r="520" spans="1:24">
      <c r="A520" s="12" t="s">
        <v>1615</v>
      </c>
      <c r="B520" s="12" t="s">
        <v>1616</v>
      </c>
      <c r="C520" s="12" t="s">
        <v>75</v>
      </c>
      <c r="D520" s="12" t="s">
        <v>104</v>
      </c>
      <c r="E520" s="12" t="s">
        <v>28</v>
      </c>
      <c r="F520" s="13">
        <v>2323.39</v>
      </c>
      <c r="G520" s="13">
        <v>64.569999999999993</v>
      </c>
      <c r="H520" s="13">
        <v>823.09</v>
      </c>
      <c r="I520" s="13">
        <v>4.2</v>
      </c>
      <c r="J520" s="13">
        <v>11</v>
      </c>
      <c r="K520" s="13">
        <v>446</v>
      </c>
      <c r="L520" s="12" t="s">
        <v>1617</v>
      </c>
      <c r="M520" s="12">
        <v>2.7</v>
      </c>
      <c r="N520" s="14">
        <v>45631</v>
      </c>
      <c r="O520" s="13">
        <v>1</v>
      </c>
      <c r="P520" s="12" t="s">
        <v>54</v>
      </c>
      <c r="Q520" s="12" t="s">
        <v>46</v>
      </c>
      <c r="R520" s="12" t="s">
        <v>47</v>
      </c>
      <c r="S520" s="12" t="b">
        <v>0</v>
      </c>
      <c r="T520" s="12" t="s">
        <v>78</v>
      </c>
      <c r="U520" s="15">
        <f t="shared" si="32"/>
        <v>1500.212923</v>
      </c>
      <c r="V520" s="15">
        <f t="shared" si="33"/>
        <v>929.35599999999999</v>
      </c>
      <c r="W520" s="15">
        <f t="shared" si="34"/>
        <v>123.4635</v>
      </c>
      <c r="X520" s="15">
        <f t="shared" si="35"/>
        <v>-229.7295</v>
      </c>
    </row>
    <row r="521" spans="1:24">
      <c r="A521" s="12" t="s">
        <v>1618</v>
      </c>
      <c r="B521" s="12" t="s">
        <v>1619</v>
      </c>
      <c r="C521" s="12" t="s">
        <v>75</v>
      </c>
      <c r="D521" s="12" t="s">
        <v>76</v>
      </c>
      <c r="E521" s="12" t="s">
        <v>112</v>
      </c>
      <c r="F521" s="13">
        <v>3554.99</v>
      </c>
      <c r="G521" s="13">
        <v>47.81</v>
      </c>
      <c r="H521" s="13">
        <v>1855.33</v>
      </c>
      <c r="I521" s="13">
        <v>3.9</v>
      </c>
      <c r="J521" s="13">
        <v>17</v>
      </c>
      <c r="K521" s="13">
        <v>61</v>
      </c>
      <c r="L521" s="12" t="s">
        <v>1620</v>
      </c>
      <c r="M521" s="12">
        <v>3.2</v>
      </c>
      <c r="N521" s="14">
        <v>46111</v>
      </c>
      <c r="O521" s="13">
        <v>2</v>
      </c>
      <c r="P521" s="12" t="s">
        <v>54</v>
      </c>
      <c r="Q521" s="12" t="s">
        <v>31</v>
      </c>
      <c r="R521" s="12" t="s">
        <v>86</v>
      </c>
      <c r="S521" s="12" t="b">
        <v>0</v>
      </c>
      <c r="T521" s="12" t="s">
        <v>62</v>
      </c>
      <c r="U521" s="15">
        <f t="shared" si="32"/>
        <v>1699.640719</v>
      </c>
      <c r="V521" s="15">
        <f t="shared" si="33"/>
        <v>1421.9960000000001</v>
      </c>
      <c r="W521" s="15">
        <f t="shared" si="34"/>
        <v>278.29950000000002</v>
      </c>
      <c r="X521" s="15">
        <f t="shared" si="35"/>
        <v>155.03450000000001</v>
      </c>
    </row>
    <row r="522" spans="1:24">
      <c r="A522" s="12" t="s">
        <v>1621</v>
      </c>
      <c r="B522" s="12" t="s">
        <v>1622</v>
      </c>
      <c r="C522" s="12" t="s">
        <v>26</v>
      </c>
      <c r="D522" s="12" t="s">
        <v>27</v>
      </c>
      <c r="E522" s="12" t="s">
        <v>235</v>
      </c>
      <c r="F522" s="13">
        <v>66196.679999999993</v>
      </c>
      <c r="G522" s="13">
        <v>27.04</v>
      </c>
      <c r="H522" s="13">
        <v>48297.81</v>
      </c>
      <c r="I522" s="13">
        <v>3.9</v>
      </c>
      <c r="J522" s="13">
        <v>14</v>
      </c>
      <c r="K522" s="13">
        <v>252</v>
      </c>
      <c r="L522" s="12" t="s">
        <v>1623</v>
      </c>
      <c r="M522" s="12">
        <v>2.6</v>
      </c>
      <c r="N522" s="14">
        <v>45865</v>
      </c>
      <c r="O522" s="13">
        <v>4</v>
      </c>
      <c r="P522" s="12" t="s">
        <v>30</v>
      </c>
      <c r="Q522" s="12" t="s">
        <v>55</v>
      </c>
      <c r="R522" s="12" t="s">
        <v>47</v>
      </c>
      <c r="S522" s="12" t="b">
        <v>0</v>
      </c>
      <c r="T522" s="12" t="s">
        <v>62</v>
      </c>
      <c r="U522" s="15">
        <f t="shared" si="32"/>
        <v>17899.582272</v>
      </c>
      <c r="V522" s="15">
        <f t="shared" si="33"/>
        <v>26478.671999999999</v>
      </c>
      <c r="W522" s="15">
        <f t="shared" si="34"/>
        <v>7244.6715000000004</v>
      </c>
      <c r="X522" s="15">
        <f t="shared" si="35"/>
        <v>14574.4665</v>
      </c>
    </row>
    <row r="523" spans="1:24">
      <c r="A523" s="12" t="s">
        <v>1624</v>
      </c>
      <c r="B523" s="12" t="s">
        <v>1625</v>
      </c>
      <c r="C523" s="12" t="s">
        <v>59</v>
      </c>
      <c r="D523" s="12" t="s">
        <v>170</v>
      </c>
      <c r="E523" s="12" t="s">
        <v>70</v>
      </c>
      <c r="F523" s="13">
        <v>13501.04</v>
      </c>
      <c r="G523" s="13">
        <v>15.97</v>
      </c>
      <c r="H523" s="13">
        <v>11345.35</v>
      </c>
      <c r="I523" s="13">
        <v>3.9</v>
      </c>
      <c r="J523" s="13">
        <v>2</v>
      </c>
      <c r="K523" s="13">
        <v>269</v>
      </c>
      <c r="L523" s="12" t="s">
        <v>1626</v>
      </c>
      <c r="M523" s="12">
        <v>4.3</v>
      </c>
      <c r="N523" s="14">
        <v>45529</v>
      </c>
      <c r="O523" s="13">
        <v>2</v>
      </c>
      <c r="P523" s="12" t="s">
        <v>45</v>
      </c>
      <c r="Q523" s="12" t="s">
        <v>55</v>
      </c>
      <c r="R523" s="12" t="s">
        <v>32</v>
      </c>
      <c r="S523" s="12" t="b">
        <v>0</v>
      </c>
      <c r="T523" s="12" t="s">
        <v>62</v>
      </c>
      <c r="U523" s="15">
        <f t="shared" si="32"/>
        <v>2156.1160880000002</v>
      </c>
      <c r="V523" s="15">
        <f t="shared" si="33"/>
        <v>5400.4160000000002</v>
      </c>
      <c r="W523" s="15">
        <f t="shared" si="34"/>
        <v>1701.8025</v>
      </c>
      <c r="X523" s="15">
        <f t="shared" si="35"/>
        <v>4243.1315000000004</v>
      </c>
    </row>
    <row r="524" spans="1:24">
      <c r="A524" s="12" t="s">
        <v>1627</v>
      </c>
      <c r="B524" s="12" t="s">
        <v>1628</v>
      </c>
      <c r="C524" s="12" t="s">
        <v>59</v>
      </c>
      <c r="D524" s="12" t="s">
        <v>170</v>
      </c>
      <c r="E524" s="12" t="s">
        <v>100</v>
      </c>
      <c r="F524" s="13">
        <v>13108.74</v>
      </c>
      <c r="G524" s="13">
        <v>29.07</v>
      </c>
      <c r="H524" s="13">
        <v>9298.56</v>
      </c>
      <c r="I524" s="13">
        <v>3.9</v>
      </c>
      <c r="J524" s="13">
        <v>23</v>
      </c>
      <c r="K524" s="13">
        <v>357</v>
      </c>
      <c r="L524" s="12" t="s">
        <v>1629</v>
      </c>
      <c r="M524" s="12">
        <v>3.4</v>
      </c>
      <c r="N524" s="14">
        <v>45761</v>
      </c>
      <c r="O524" s="13">
        <v>5</v>
      </c>
      <c r="P524" s="12" t="s">
        <v>54</v>
      </c>
      <c r="Q524" s="12" t="s">
        <v>55</v>
      </c>
      <c r="R524" s="12" t="s">
        <v>72</v>
      </c>
      <c r="S524" s="12" t="b">
        <v>0</v>
      </c>
      <c r="T524" s="12" t="s">
        <v>62</v>
      </c>
      <c r="U524" s="15">
        <f t="shared" si="32"/>
        <v>3810.7107179999998</v>
      </c>
      <c r="V524" s="15">
        <f t="shared" si="33"/>
        <v>5243.4960000000001</v>
      </c>
      <c r="W524" s="15">
        <f t="shared" si="34"/>
        <v>1394.7840000000001</v>
      </c>
      <c r="X524" s="15">
        <f t="shared" si="35"/>
        <v>2660.28</v>
      </c>
    </row>
    <row r="525" spans="1:24">
      <c r="A525" s="12" t="s">
        <v>1630</v>
      </c>
      <c r="B525" s="12" t="s">
        <v>1631</v>
      </c>
      <c r="C525" s="12" t="s">
        <v>26</v>
      </c>
      <c r="D525" s="12" t="s">
        <v>27</v>
      </c>
      <c r="E525" s="12" t="s">
        <v>100</v>
      </c>
      <c r="F525" s="13">
        <v>34272.17</v>
      </c>
      <c r="G525" s="13">
        <v>36.86</v>
      </c>
      <c r="H525" s="13">
        <v>21640.28</v>
      </c>
      <c r="I525" s="13">
        <v>4.3</v>
      </c>
      <c r="J525" s="13">
        <v>7</v>
      </c>
      <c r="K525" s="13">
        <v>51</v>
      </c>
      <c r="L525" s="12" t="s">
        <v>1632</v>
      </c>
      <c r="M525" s="12">
        <v>4.7</v>
      </c>
      <c r="N525" s="14">
        <v>45853</v>
      </c>
      <c r="O525" s="13">
        <v>3</v>
      </c>
      <c r="P525" s="12" t="s">
        <v>54</v>
      </c>
      <c r="Q525" s="12" t="s">
        <v>55</v>
      </c>
      <c r="R525" s="12" t="s">
        <v>72</v>
      </c>
      <c r="S525" s="12" t="b">
        <v>1</v>
      </c>
      <c r="T525" s="12" t="s">
        <v>33</v>
      </c>
      <c r="U525" s="15">
        <f t="shared" si="32"/>
        <v>12632.721862</v>
      </c>
      <c r="V525" s="15">
        <f t="shared" si="33"/>
        <v>13708.868</v>
      </c>
      <c r="W525" s="15">
        <f t="shared" si="34"/>
        <v>3246.0419999999999</v>
      </c>
      <c r="X525" s="15">
        <f t="shared" si="35"/>
        <v>4685.37</v>
      </c>
    </row>
    <row r="526" spans="1:24">
      <c r="A526" s="12" t="s">
        <v>1633</v>
      </c>
      <c r="B526" s="12" t="s">
        <v>1634</v>
      </c>
      <c r="C526" s="12" t="s">
        <v>75</v>
      </c>
      <c r="D526" s="12" t="s">
        <v>76</v>
      </c>
      <c r="E526" s="12" t="s">
        <v>52</v>
      </c>
      <c r="F526" s="13">
        <v>1451.78</v>
      </c>
      <c r="G526" s="13">
        <v>19.75</v>
      </c>
      <c r="H526" s="13">
        <v>1165.04</v>
      </c>
      <c r="I526" s="13">
        <v>3.7</v>
      </c>
      <c r="J526" s="13">
        <v>56</v>
      </c>
      <c r="K526" s="13">
        <v>490</v>
      </c>
      <c r="L526" s="12" t="s">
        <v>1635</v>
      </c>
      <c r="M526" s="12">
        <v>2.5</v>
      </c>
      <c r="N526" s="14">
        <v>45922</v>
      </c>
      <c r="O526" s="13">
        <v>2</v>
      </c>
      <c r="P526" s="12" t="s">
        <v>54</v>
      </c>
      <c r="Q526" s="12" t="s">
        <v>55</v>
      </c>
      <c r="R526" s="12" t="s">
        <v>47</v>
      </c>
      <c r="S526" s="12" t="b">
        <v>1</v>
      </c>
      <c r="T526" s="12" t="s">
        <v>33</v>
      </c>
      <c r="U526" s="15">
        <f t="shared" si="32"/>
        <v>286.72654999999997</v>
      </c>
      <c r="V526" s="15">
        <f t="shared" si="33"/>
        <v>580.71199999999999</v>
      </c>
      <c r="W526" s="15">
        <f t="shared" si="34"/>
        <v>174.756</v>
      </c>
      <c r="X526" s="15">
        <f t="shared" si="35"/>
        <v>409.572</v>
      </c>
    </row>
    <row r="527" spans="1:24">
      <c r="A527" s="12" t="s">
        <v>1636</v>
      </c>
      <c r="B527" s="12" t="s">
        <v>1637</v>
      </c>
      <c r="C527" s="12" t="s">
        <v>50</v>
      </c>
      <c r="D527" s="12" t="s">
        <v>51</v>
      </c>
      <c r="E527" s="12" t="s">
        <v>70</v>
      </c>
      <c r="F527" s="13">
        <v>235.82</v>
      </c>
      <c r="G527" s="13">
        <v>37.31</v>
      </c>
      <c r="H527" s="13">
        <v>147.83000000000001</v>
      </c>
      <c r="I527" s="13">
        <v>4.5999999999999996</v>
      </c>
      <c r="J527" s="13">
        <v>13</v>
      </c>
      <c r="K527" s="13">
        <v>186</v>
      </c>
      <c r="L527" s="12" t="s">
        <v>1638</v>
      </c>
      <c r="M527" s="12">
        <v>3.4</v>
      </c>
      <c r="N527" s="14">
        <v>45911</v>
      </c>
      <c r="O527" s="13">
        <v>2</v>
      </c>
      <c r="P527" s="12" t="s">
        <v>117</v>
      </c>
      <c r="Q527" s="12" t="s">
        <v>55</v>
      </c>
      <c r="R527" s="12" t="s">
        <v>86</v>
      </c>
      <c r="S527" s="12" t="b">
        <v>0</v>
      </c>
      <c r="T527" s="12" t="s">
        <v>78</v>
      </c>
      <c r="U527" s="15">
        <f t="shared" si="32"/>
        <v>87.984442000000001</v>
      </c>
      <c r="V527" s="15">
        <f t="shared" si="33"/>
        <v>94.328000000000003</v>
      </c>
      <c r="W527" s="15">
        <f t="shared" si="34"/>
        <v>22.174499999999998</v>
      </c>
      <c r="X527" s="15">
        <f t="shared" si="35"/>
        <v>31.327500000000001</v>
      </c>
    </row>
    <row r="528" spans="1:24">
      <c r="A528" s="12" t="s">
        <v>1639</v>
      </c>
      <c r="B528" s="12" t="s">
        <v>1640</v>
      </c>
      <c r="C528" s="12" t="s">
        <v>36</v>
      </c>
      <c r="D528" s="12" t="s">
        <v>43</v>
      </c>
      <c r="E528" s="12" t="s">
        <v>65</v>
      </c>
      <c r="F528" s="13">
        <v>11214.49</v>
      </c>
      <c r="G528" s="13">
        <v>6.31</v>
      </c>
      <c r="H528" s="13">
        <v>10506.56</v>
      </c>
      <c r="I528" s="13">
        <v>3.6</v>
      </c>
      <c r="J528" s="13">
        <v>21</v>
      </c>
      <c r="K528" s="13">
        <v>369</v>
      </c>
      <c r="L528" s="12" t="s">
        <v>1641</v>
      </c>
      <c r="M528" s="12">
        <v>4.0999999999999996</v>
      </c>
      <c r="N528" s="14">
        <v>45443</v>
      </c>
      <c r="O528" s="13">
        <v>1</v>
      </c>
      <c r="P528" s="12" t="s">
        <v>54</v>
      </c>
      <c r="Q528" s="12" t="s">
        <v>46</v>
      </c>
      <c r="R528" s="12" t="s">
        <v>86</v>
      </c>
      <c r="S528" s="12" t="b">
        <v>0</v>
      </c>
      <c r="T528" s="12" t="s">
        <v>56</v>
      </c>
      <c r="U528" s="15">
        <f t="shared" si="32"/>
        <v>707.634319</v>
      </c>
      <c r="V528" s="15">
        <f t="shared" si="33"/>
        <v>4485.7960000000003</v>
      </c>
      <c r="W528" s="15">
        <f t="shared" si="34"/>
        <v>1575.9839999999999</v>
      </c>
      <c r="X528" s="15">
        <f t="shared" si="35"/>
        <v>4444.78</v>
      </c>
    </row>
    <row r="529" spans="1:24">
      <c r="A529" s="12" t="s">
        <v>1642</v>
      </c>
      <c r="B529" s="12" t="s">
        <v>1643</v>
      </c>
      <c r="C529" s="12" t="s">
        <v>75</v>
      </c>
      <c r="D529" s="12" t="s">
        <v>135</v>
      </c>
      <c r="E529" s="12" t="s">
        <v>28</v>
      </c>
      <c r="F529" s="13">
        <v>4980.3999999999996</v>
      </c>
      <c r="G529" s="13">
        <v>65.010000000000005</v>
      </c>
      <c r="H529" s="13">
        <v>1742.87</v>
      </c>
      <c r="I529" s="13">
        <v>3.7</v>
      </c>
      <c r="J529" s="13">
        <v>80</v>
      </c>
      <c r="K529" s="13">
        <v>90</v>
      </c>
      <c r="L529" s="12" t="s">
        <v>1644</v>
      </c>
      <c r="M529" s="12">
        <v>3.7</v>
      </c>
      <c r="N529" s="14">
        <v>45934</v>
      </c>
      <c r="O529" s="13">
        <v>1</v>
      </c>
      <c r="P529" s="12" t="s">
        <v>54</v>
      </c>
      <c r="Q529" s="12" t="s">
        <v>55</v>
      </c>
      <c r="R529" s="12" t="s">
        <v>47</v>
      </c>
      <c r="S529" s="12" t="b">
        <v>0</v>
      </c>
      <c r="T529" s="12" t="s">
        <v>62</v>
      </c>
      <c r="U529" s="15">
        <f t="shared" si="32"/>
        <v>3237.7580400000002</v>
      </c>
      <c r="V529" s="15">
        <f t="shared" si="33"/>
        <v>1992.16</v>
      </c>
      <c r="W529" s="15">
        <f t="shared" si="34"/>
        <v>261.43049999999999</v>
      </c>
      <c r="X529" s="15">
        <f t="shared" si="35"/>
        <v>-510.72050000000002</v>
      </c>
    </row>
    <row r="530" spans="1:24">
      <c r="A530" s="12" t="s">
        <v>1645</v>
      </c>
      <c r="B530" s="12" t="s">
        <v>1646</v>
      </c>
      <c r="C530" s="12" t="s">
        <v>36</v>
      </c>
      <c r="D530" s="12" t="s">
        <v>108</v>
      </c>
      <c r="E530" s="12" t="s">
        <v>28</v>
      </c>
      <c r="F530" s="13">
        <v>5363.4</v>
      </c>
      <c r="G530" s="13">
        <v>47.85</v>
      </c>
      <c r="H530" s="13">
        <v>2796.91</v>
      </c>
      <c r="I530" s="13">
        <v>5</v>
      </c>
      <c r="J530" s="13">
        <v>35</v>
      </c>
      <c r="K530" s="13">
        <v>153</v>
      </c>
      <c r="L530" s="12" t="s">
        <v>1647</v>
      </c>
      <c r="M530" s="12">
        <v>3.6</v>
      </c>
      <c r="N530" s="14">
        <v>45883</v>
      </c>
      <c r="O530" s="13">
        <v>6</v>
      </c>
      <c r="P530" s="12" t="s">
        <v>30</v>
      </c>
      <c r="Q530" s="12" t="s">
        <v>31</v>
      </c>
      <c r="R530" s="12" t="s">
        <v>32</v>
      </c>
      <c r="S530" s="12" t="b">
        <v>0</v>
      </c>
      <c r="T530" s="12" t="s">
        <v>56</v>
      </c>
      <c r="U530" s="15">
        <f t="shared" si="32"/>
        <v>2566.3869</v>
      </c>
      <c r="V530" s="15">
        <f t="shared" si="33"/>
        <v>2145.36</v>
      </c>
      <c r="W530" s="15">
        <f t="shared" si="34"/>
        <v>419.53649999999999</v>
      </c>
      <c r="X530" s="15">
        <f t="shared" si="35"/>
        <v>232.01349999999999</v>
      </c>
    </row>
    <row r="531" spans="1:24">
      <c r="A531" s="12" t="s">
        <v>1648</v>
      </c>
      <c r="B531" s="12" t="s">
        <v>1649</v>
      </c>
      <c r="C531" s="12" t="s">
        <v>26</v>
      </c>
      <c r="D531" s="12" t="s">
        <v>123</v>
      </c>
      <c r="E531" s="12" t="s">
        <v>38</v>
      </c>
      <c r="F531" s="13">
        <v>16207.72</v>
      </c>
      <c r="G531" s="13">
        <v>6.78</v>
      </c>
      <c r="H531" s="13">
        <v>15109.15</v>
      </c>
      <c r="I531" s="13">
        <v>4.5</v>
      </c>
      <c r="J531" s="13">
        <v>18</v>
      </c>
      <c r="K531" s="13">
        <v>243</v>
      </c>
      <c r="L531" s="12" t="s">
        <v>1650</v>
      </c>
      <c r="M531" s="12">
        <v>3.5</v>
      </c>
      <c r="N531" s="14">
        <v>46047</v>
      </c>
      <c r="O531" s="13">
        <v>1</v>
      </c>
      <c r="P531" s="12" t="s">
        <v>54</v>
      </c>
      <c r="Q531" s="12" t="s">
        <v>55</v>
      </c>
      <c r="R531" s="12" t="s">
        <v>72</v>
      </c>
      <c r="S531" s="12" t="b">
        <v>0</v>
      </c>
      <c r="T531" s="12" t="s">
        <v>56</v>
      </c>
      <c r="U531" s="15">
        <f t="shared" si="32"/>
        <v>1098.8834159999999</v>
      </c>
      <c r="V531" s="15">
        <f t="shared" si="33"/>
        <v>6483.0879999999997</v>
      </c>
      <c r="W531" s="15">
        <f t="shared" si="34"/>
        <v>2266.3724999999999</v>
      </c>
      <c r="X531" s="15">
        <f t="shared" si="35"/>
        <v>6359.6895000000004</v>
      </c>
    </row>
    <row r="532" spans="1:24">
      <c r="A532" s="12" t="s">
        <v>1651</v>
      </c>
      <c r="B532" s="12" t="s">
        <v>1652</v>
      </c>
      <c r="C532" s="12" t="s">
        <v>59</v>
      </c>
      <c r="D532" s="12" t="s">
        <v>170</v>
      </c>
      <c r="E532" s="12" t="s">
        <v>131</v>
      </c>
      <c r="F532" s="13">
        <v>19706.939999999999</v>
      </c>
      <c r="G532" s="13">
        <v>31.36</v>
      </c>
      <c r="H532" s="13">
        <v>13526.57</v>
      </c>
      <c r="I532" s="13">
        <v>4.2</v>
      </c>
      <c r="J532" s="13">
        <v>6</v>
      </c>
      <c r="K532" s="13">
        <v>176</v>
      </c>
      <c r="L532" s="12" t="s">
        <v>1653</v>
      </c>
      <c r="M532" s="12">
        <v>3.7</v>
      </c>
      <c r="N532" s="14">
        <v>45602</v>
      </c>
      <c r="O532" s="13">
        <v>3</v>
      </c>
      <c r="P532" s="12" t="s">
        <v>45</v>
      </c>
      <c r="Q532" s="12" t="s">
        <v>55</v>
      </c>
      <c r="R532" s="12" t="s">
        <v>32</v>
      </c>
      <c r="S532" s="12" t="b">
        <v>0</v>
      </c>
      <c r="T532" s="12" t="s">
        <v>56</v>
      </c>
      <c r="U532" s="15">
        <f t="shared" si="32"/>
        <v>6180.0963840000004</v>
      </c>
      <c r="V532" s="15">
        <f t="shared" si="33"/>
        <v>7882.7759999999998</v>
      </c>
      <c r="W532" s="15">
        <f t="shared" si="34"/>
        <v>2028.9855</v>
      </c>
      <c r="X532" s="15">
        <f t="shared" si="35"/>
        <v>3614.8085000000001</v>
      </c>
    </row>
    <row r="533" spans="1:24">
      <c r="A533" s="12" t="s">
        <v>1654</v>
      </c>
      <c r="B533" s="12" t="s">
        <v>1655</v>
      </c>
      <c r="C533" s="12" t="s">
        <v>36</v>
      </c>
      <c r="D533" s="12" t="s">
        <v>43</v>
      </c>
      <c r="E533" s="12" t="s">
        <v>65</v>
      </c>
      <c r="F533" s="13">
        <v>7882.79</v>
      </c>
      <c r="G533" s="13">
        <v>6.11</v>
      </c>
      <c r="H533" s="13">
        <v>7401.14</v>
      </c>
      <c r="I533" s="13">
        <v>3.2</v>
      </c>
      <c r="J533" s="13">
        <v>12</v>
      </c>
      <c r="K533" s="13">
        <v>275</v>
      </c>
      <c r="L533" s="12" t="s">
        <v>1656</v>
      </c>
      <c r="M533" s="12">
        <v>4.2</v>
      </c>
      <c r="N533" s="14">
        <v>45466</v>
      </c>
      <c r="O533" s="13">
        <v>6</v>
      </c>
      <c r="P533" s="12" t="s">
        <v>45</v>
      </c>
      <c r="Q533" s="12" t="s">
        <v>55</v>
      </c>
      <c r="R533" s="12" t="s">
        <v>72</v>
      </c>
      <c r="S533" s="12" t="b">
        <v>0</v>
      </c>
      <c r="T533" s="12" t="s">
        <v>56</v>
      </c>
      <c r="U533" s="15">
        <f t="shared" si="32"/>
        <v>481.63846899999999</v>
      </c>
      <c r="V533" s="15">
        <f t="shared" si="33"/>
        <v>3153.116</v>
      </c>
      <c r="W533" s="15">
        <f t="shared" si="34"/>
        <v>1110.171</v>
      </c>
      <c r="X533" s="15">
        <f t="shared" si="35"/>
        <v>3137.8530000000001</v>
      </c>
    </row>
    <row r="534" spans="1:24">
      <c r="A534" s="12" t="s">
        <v>1657</v>
      </c>
      <c r="B534" s="12" t="s">
        <v>1658</v>
      </c>
      <c r="C534" s="12" t="s">
        <v>36</v>
      </c>
      <c r="D534" s="12" t="s">
        <v>37</v>
      </c>
      <c r="E534" s="12" t="s">
        <v>28</v>
      </c>
      <c r="F534" s="13">
        <v>3897.71</v>
      </c>
      <c r="G534" s="13">
        <v>5.88</v>
      </c>
      <c r="H534" s="13">
        <v>3668.36</v>
      </c>
      <c r="I534" s="13">
        <v>3.2</v>
      </c>
      <c r="J534" s="13">
        <v>5</v>
      </c>
      <c r="K534" s="13">
        <v>314</v>
      </c>
      <c r="L534" s="12" t="s">
        <v>1659</v>
      </c>
      <c r="M534" s="12">
        <v>4.5999999999999996</v>
      </c>
      <c r="N534" s="14">
        <v>45630</v>
      </c>
      <c r="O534" s="13">
        <v>2</v>
      </c>
      <c r="P534" s="12" t="s">
        <v>117</v>
      </c>
      <c r="Q534" s="12" t="s">
        <v>55</v>
      </c>
      <c r="R534" s="12" t="s">
        <v>47</v>
      </c>
      <c r="S534" s="12" t="b">
        <v>0</v>
      </c>
      <c r="T534" s="12" t="s">
        <v>78</v>
      </c>
      <c r="U534" s="15">
        <f t="shared" si="32"/>
        <v>229.185348</v>
      </c>
      <c r="V534" s="15">
        <f t="shared" si="33"/>
        <v>1559.0840000000001</v>
      </c>
      <c r="W534" s="15">
        <f t="shared" si="34"/>
        <v>550.25400000000002</v>
      </c>
      <c r="X534" s="15">
        <f t="shared" si="35"/>
        <v>1559.0219999999999</v>
      </c>
    </row>
    <row r="535" spans="1:24">
      <c r="A535" s="12" t="s">
        <v>1660</v>
      </c>
      <c r="B535" s="12" t="s">
        <v>1661</v>
      </c>
      <c r="C535" s="12" t="s">
        <v>59</v>
      </c>
      <c r="D535" s="12" t="s">
        <v>170</v>
      </c>
      <c r="E535" s="12" t="s">
        <v>100</v>
      </c>
      <c r="F535" s="13">
        <v>16011.58</v>
      </c>
      <c r="G535" s="13">
        <v>33.01</v>
      </c>
      <c r="H535" s="13">
        <v>10725.42</v>
      </c>
      <c r="I535" s="13">
        <v>3.5</v>
      </c>
      <c r="J535" s="13">
        <v>4</v>
      </c>
      <c r="K535" s="13">
        <v>434</v>
      </c>
      <c r="L535" s="12" t="s">
        <v>1662</v>
      </c>
      <c r="M535" s="12">
        <v>3.5</v>
      </c>
      <c r="N535" s="14">
        <v>45847</v>
      </c>
      <c r="O535" s="13">
        <v>5</v>
      </c>
      <c r="P535" s="12" t="s">
        <v>45</v>
      </c>
      <c r="Q535" s="12" t="s">
        <v>46</v>
      </c>
      <c r="R535" s="12" t="s">
        <v>47</v>
      </c>
      <c r="S535" s="12" t="b">
        <v>0</v>
      </c>
      <c r="T535" s="12" t="s">
        <v>56</v>
      </c>
      <c r="U535" s="15">
        <f t="shared" si="32"/>
        <v>5285.4225580000002</v>
      </c>
      <c r="V535" s="15">
        <f t="shared" si="33"/>
        <v>6404.6319999999996</v>
      </c>
      <c r="W535" s="15">
        <f t="shared" si="34"/>
        <v>1608.8130000000001</v>
      </c>
      <c r="X535" s="15">
        <f t="shared" si="35"/>
        <v>2711.9749999999999</v>
      </c>
    </row>
    <row r="536" spans="1:24">
      <c r="A536" s="12" t="s">
        <v>1663</v>
      </c>
      <c r="B536" s="12" t="s">
        <v>1664</v>
      </c>
      <c r="C536" s="12" t="s">
        <v>75</v>
      </c>
      <c r="D536" s="12" t="s">
        <v>104</v>
      </c>
      <c r="E536" s="12" t="s">
        <v>112</v>
      </c>
      <c r="F536" s="13">
        <v>2329.08</v>
      </c>
      <c r="G536" s="13">
        <v>64.47</v>
      </c>
      <c r="H536" s="13">
        <v>827.62</v>
      </c>
      <c r="I536" s="13">
        <v>4.0999999999999996</v>
      </c>
      <c r="J536" s="13">
        <v>34</v>
      </c>
      <c r="K536" s="13">
        <v>309</v>
      </c>
      <c r="L536" s="12" t="s">
        <v>1665</v>
      </c>
      <c r="M536" s="12">
        <v>4.5999999999999996</v>
      </c>
      <c r="N536" s="14">
        <v>45660</v>
      </c>
      <c r="O536" s="13">
        <v>6</v>
      </c>
      <c r="P536" s="12" t="s">
        <v>30</v>
      </c>
      <c r="Q536" s="12" t="s">
        <v>55</v>
      </c>
      <c r="R536" s="12" t="s">
        <v>86</v>
      </c>
      <c r="S536" s="12" t="b">
        <v>0</v>
      </c>
      <c r="T536" s="12" t="s">
        <v>56</v>
      </c>
      <c r="U536" s="15">
        <f t="shared" si="32"/>
        <v>1501.5578760000001</v>
      </c>
      <c r="V536" s="15">
        <f t="shared" si="33"/>
        <v>931.63199999999995</v>
      </c>
      <c r="W536" s="15">
        <f t="shared" si="34"/>
        <v>124.143</v>
      </c>
      <c r="X536" s="15">
        <f t="shared" si="35"/>
        <v>-228.155</v>
      </c>
    </row>
    <row r="537" spans="1:24">
      <c r="A537" s="12" t="s">
        <v>1666</v>
      </c>
      <c r="B537" s="12" t="s">
        <v>1667</v>
      </c>
      <c r="C537" s="12" t="s">
        <v>36</v>
      </c>
      <c r="D537" s="12" t="s">
        <v>108</v>
      </c>
      <c r="E537" s="12" t="s">
        <v>235</v>
      </c>
      <c r="F537" s="13">
        <v>8294.93</v>
      </c>
      <c r="G537" s="13">
        <v>30.91</v>
      </c>
      <c r="H537" s="13">
        <v>5730.91</v>
      </c>
      <c r="I537" s="13">
        <v>4.2</v>
      </c>
      <c r="J537" s="13">
        <v>22</v>
      </c>
      <c r="K537" s="13">
        <v>437</v>
      </c>
      <c r="L537" s="12" t="s">
        <v>1668</v>
      </c>
      <c r="M537" s="12">
        <v>2.5</v>
      </c>
      <c r="N537" s="14">
        <v>45386</v>
      </c>
      <c r="O537" s="13">
        <v>5</v>
      </c>
      <c r="P537" s="12" t="s">
        <v>117</v>
      </c>
      <c r="Q537" s="12" t="s">
        <v>46</v>
      </c>
      <c r="R537" s="12" t="s">
        <v>47</v>
      </c>
      <c r="S537" s="12" t="b">
        <v>0</v>
      </c>
      <c r="T537" s="12" t="s">
        <v>62</v>
      </c>
      <c r="U537" s="15">
        <f t="shared" si="32"/>
        <v>2563.9628630000002</v>
      </c>
      <c r="V537" s="15">
        <f t="shared" si="33"/>
        <v>3317.9720000000002</v>
      </c>
      <c r="W537" s="15">
        <f t="shared" si="34"/>
        <v>859.63649999999996</v>
      </c>
      <c r="X537" s="15">
        <f t="shared" si="35"/>
        <v>1553.3015</v>
      </c>
    </row>
    <row r="538" spans="1:24">
      <c r="A538" s="12" t="s">
        <v>1669</v>
      </c>
      <c r="B538" s="12" t="s">
        <v>1670</v>
      </c>
      <c r="C538" s="12" t="s">
        <v>59</v>
      </c>
      <c r="D538" s="12" t="s">
        <v>60</v>
      </c>
      <c r="E538" s="12" t="s">
        <v>28</v>
      </c>
      <c r="F538" s="13">
        <v>10480.39</v>
      </c>
      <c r="G538" s="13">
        <v>27.64</v>
      </c>
      <c r="H538" s="13">
        <v>7583.09</v>
      </c>
      <c r="I538" s="13">
        <v>3.9</v>
      </c>
      <c r="J538" s="13">
        <v>98</v>
      </c>
      <c r="K538" s="13">
        <v>203</v>
      </c>
      <c r="L538" s="12" t="s">
        <v>1671</v>
      </c>
      <c r="M538" s="12">
        <v>3.8</v>
      </c>
      <c r="N538" s="14">
        <v>45691</v>
      </c>
      <c r="O538" s="13">
        <v>1</v>
      </c>
      <c r="P538" s="12" t="s">
        <v>40</v>
      </c>
      <c r="Q538" s="12" t="s">
        <v>46</v>
      </c>
      <c r="R538" s="12" t="s">
        <v>32</v>
      </c>
      <c r="S538" s="12" t="b">
        <v>0</v>
      </c>
      <c r="T538" s="12" t="s">
        <v>56</v>
      </c>
      <c r="U538" s="15">
        <f t="shared" si="32"/>
        <v>2896.7797959999998</v>
      </c>
      <c r="V538" s="15">
        <f t="shared" si="33"/>
        <v>4192.1559999999999</v>
      </c>
      <c r="W538" s="15">
        <f t="shared" si="34"/>
        <v>1137.4635000000001</v>
      </c>
      <c r="X538" s="15">
        <f t="shared" si="35"/>
        <v>2253.4704999999999</v>
      </c>
    </row>
    <row r="539" spans="1:24">
      <c r="A539" s="12" t="s">
        <v>1672</v>
      </c>
      <c r="B539" s="12" t="s">
        <v>1673</v>
      </c>
      <c r="C539" s="12" t="s">
        <v>36</v>
      </c>
      <c r="D539" s="12" t="s">
        <v>43</v>
      </c>
      <c r="E539" s="12" t="s">
        <v>38</v>
      </c>
      <c r="F539" s="13">
        <v>9824.3799999999992</v>
      </c>
      <c r="G539" s="13">
        <v>39.31</v>
      </c>
      <c r="H539" s="13">
        <v>5962.02</v>
      </c>
      <c r="I539" s="13">
        <v>3.1</v>
      </c>
      <c r="J539" s="13">
        <v>35</v>
      </c>
      <c r="K539" s="13">
        <v>53</v>
      </c>
      <c r="L539" s="12" t="s">
        <v>1674</v>
      </c>
      <c r="M539" s="12">
        <v>4.5</v>
      </c>
      <c r="N539" s="14">
        <v>46040</v>
      </c>
      <c r="O539" s="13">
        <v>1</v>
      </c>
      <c r="P539" s="12" t="s">
        <v>117</v>
      </c>
      <c r="Q539" s="12" t="s">
        <v>31</v>
      </c>
      <c r="R539" s="12" t="s">
        <v>47</v>
      </c>
      <c r="S539" s="12" t="b">
        <v>0</v>
      </c>
      <c r="T539" s="12" t="s">
        <v>78</v>
      </c>
      <c r="U539" s="15">
        <f t="shared" si="32"/>
        <v>3861.9637779999998</v>
      </c>
      <c r="V539" s="15">
        <f t="shared" si="33"/>
        <v>3929.752</v>
      </c>
      <c r="W539" s="15">
        <f t="shared" si="34"/>
        <v>894.303</v>
      </c>
      <c r="X539" s="15">
        <f t="shared" si="35"/>
        <v>1137.9649999999999</v>
      </c>
    </row>
    <row r="540" spans="1:24">
      <c r="A540" s="12" t="s">
        <v>1675</v>
      </c>
      <c r="B540" s="12" t="s">
        <v>1676</v>
      </c>
      <c r="C540" s="12" t="s">
        <v>50</v>
      </c>
      <c r="D540" s="12" t="s">
        <v>51</v>
      </c>
      <c r="E540" s="12" t="s">
        <v>70</v>
      </c>
      <c r="F540" s="13">
        <v>3816.68</v>
      </c>
      <c r="G540" s="13">
        <v>29.61</v>
      </c>
      <c r="H540" s="13">
        <v>2686.52</v>
      </c>
      <c r="I540" s="13">
        <v>3.4</v>
      </c>
      <c r="J540" s="13">
        <v>22</v>
      </c>
      <c r="K540" s="13">
        <v>226</v>
      </c>
      <c r="L540" s="12" t="s">
        <v>1677</v>
      </c>
      <c r="M540" s="12">
        <v>2.5</v>
      </c>
      <c r="N540" s="14">
        <v>45597</v>
      </c>
      <c r="O540" s="13">
        <v>3</v>
      </c>
      <c r="P540" s="12" t="s">
        <v>54</v>
      </c>
      <c r="Q540" s="12" t="s">
        <v>46</v>
      </c>
      <c r="R540" s="12" t="s">
        <v>47</v>
      </c>
      <c r="S540" s="12" t="b">
        <v>0</v>
      </c>
      <c r="T540" s="12" t="s">
        <v>78</v>
      </c>
      <c r="U540" s="15">
        <f t="shared" si="32"/>
        <v>1130.118948</v>
      </c>
      <c r="V540" s="15">
        <f t="shared" si="33"/>
        <v>1526.672</v>
      </c>
      <c r="W540" s="15">
        <f t="shared" si="34"/>
        <v>402.97800000000001</v>
      </c>
      <c r="X540" s="15">
        <f t="shared" si="35"/>
        <v>756.87</v>
      </c>
    </row>
    <row r="541" spans="1:24">
      <c r="A541" s="12" t="s">
        <v>1678</v>
      </c>
      <c r="B541" s="12" t="s">
        <v>1679</v>
      </c>
      <c r="C541" s="12" t="s">
        <v>26</v>
      </c>
      <c r="D541" s="12" t="s">
        <v>313</v>
      </c>
      <c r="E541" s="12" t="s">
        <v>112</v>
      </c>
      <c r="F541" s="13">
        <v>77232.06</v>
      </c>
      <c r="G541" s="13">
        <v>8.57</v>
      </c>
      <c r="H541" s="13">
        <v>70616.2</v>
      </c>
      <c r="I541" s="13">
        <v>4.5999999999999996</v>
      </c>
      <c r="J541" s="13">
        <v>17</v>
      </c>
      <c r="K541" s="13">
        <v>478</v>
      </c>
      <c r="L541" s="12" t="s">
        <v>1680</v>
      </c>
      <c r="M541" s="12">
        <v>4.5</v>
      </c>
      <c r="N541" s="14">
        <v>45459</v>
      </c>
      <c r="O541" s="13">
        <v>4</v>
      </c>
      <c r="P541" s="12" t="s">
        <v>117</v>
      </c>
      <c r="Q541" s="12" t="s">
        <v>31</v>
      </c>
      <c r="R541" s="12" t="s">
        <v>86</v>
      </c>
      <c r="S541" s="12" t="b">
        <v>0</v>
      </c>
      <c r="T541" s="12" t="s">
        <v>78</v>
      </c>
      <c r="U541" s="15">
        <f t="shared" si="32"/>
        <v>6618.787542</v>
      </c>
      <c r="V541" s="15">
        <f t="shared" si="33"/>
        <v>30892.824000000001</v>
      </c>
      <c r="W541" s="15">
        <f t="shared" si="34"/>
        <v>10592.43</v>
      </c>
      <c r="X541" s="15">
        <f t="shared" si="35"/>
        <v>29130.946</v>
      </c>
    </row>
    <row r="542" spans="1:24">
      <c r="A542" s="12" t="s">
        <v>1681</v>
      </c>
      <c r="B542" s="12" t="s">
        <v>1682</v>
      </c>
      <c r="C542" s="12" t="s">
        <v>36</v>
      </c>
      <c r="D542" s="12" t="s">
        <v>43</v>
      </c>
      <c r="E542" s="12" t="s">
        <v>65</v>
      </c>
      <c r="F542" s="13">
        <v>13168.33</v>
      </c>
      <c r="G542" s="13">
        <v>10.71</v>
      </c>
      <c r="H542" s="13">
        <v>11758.52</v>
      </c>
      <c r="I542" s="13">
        <v>4.0999999999999996</v>
      </c>
      <c r="J542" s="13">
        <v>55</v>
      </c>
      <c r="K542" s="13">
        <v>383</v>
      </c>
      <c r="L542" s="12" t="s">
        <v>1113</v>
      </c>
      <c r="M542" s="12">
        <v>3.6</v>
      </c>
      <c r="N542" s="14">
        <v>45636</v>
      </c>
      <c r="O542" s="13">
        <v>4</v>
      </c>
      <c r="P542" s="12" t="s">
        <v>45</v>
      </c>
      <c r="Q542" s="12" t="s">
        <v>31</v>
      </c>
      <c r="R542" s="12" t="s">
        <v>72</v>
      </c>
      <c r="S542" s="12" t="b">
        <v>0</v>
      </c>
      <c r="T542" s="12" t="s">
        <v>56</v>
      </c>
      <c r="U542" s="15">
        <f t="shared" si="32"/>
        <v>1410.328143</v>
      </c>
      <c r="V542" s="15">
        <f t="shared" si="33"/>
        <v>5267.3320000000003</v>
      </c>
      <c r="W542" s="15">
        <f t="shared" si="34"/>
        <v>1763.778</v>
      </c>
      <c r="X542" s="15">
        <f t="shared" si="35"/>
        <v>4727.41</v>
      </c>
    </row>
    <row r="543" spans="1:24">
      <c r="A543" s="12" t="s">
        <v>1683</v>
      </c>
      <c r="B543" s="12" t="s">
        <v>1684</v>
      </c>
      <c r="C543" s="12" t="s">
        <v>50</v>
      </c>
      <c r="D543" s="12" t="s">
        <v>213</v>
      </c>
      <c r="E543" s="12" t="s">
        <v>70</v>
      </c>
      <c r="F543" s="13">
        <v>2990.34</v>
      </c>
      <c r="G543" s="13">
        <v>13.63</v>
      </c>
      <c r="H543" s="13">
        <v>2582.9</v>
      </c>
      <c r="I543" s="13">
        <v>2.7</v>
      </c>
      <c r="J543" s="13">
        <v>13</v>
      </c>
      <c r="K543" s="13">
        <v>187</v>
      </c>
      <c r="L543" s="12" t="s">
        <v>1685</v>
      </c>
      <c r="M543" s="12">
        <v>3.5</v>
      </c>
      <c r="N543" s="14">
        <v>45421</v>
      </c>
      <c r="O543" s="13">
        <v>1</v>
      </c>
      <c r="P543" s="12" t="s">
        <v>40</v>
      </c>
      <c r="Q543" s="12" t="s">
        <v>55</v>
      </c>
      <c r="R543" s="12" t="s">
        <v>47</v>
      </c>
      <c r="S543" s="12" t="b">
        <v>0</v>
      </c>
      <c r="T543" s="12" t="s">
        <v>56</v>
      </c>
      <c r="U543" s="15">
        <f t="shared" si="32"/>
        <v>407.58334200000002</v>
      </c>
      <c r="V543" s="15">
        <f t="shared" si="33"/>
        <v>1196.136</v>
      </c>
      <c r="W543" s="15">
        <f t="shared" si="34"/>
        <v>387.435</v>
      </c>
      <c r="X543" s="15">
        <f t="shared" si="35"/>
        <v>999.32899999999995</v>
      </c>
    </row>
    <row r="544" spans="1:24">
      <c r="A544" s="12" t="s">
        <v>1686</v>
      </c>
      <c r="B544" s="12" t="s">
        <v>1687</v>
      </c>
      <c r="C544" s="12" t="s">
        <v>26</v>
      </c>
      <c r="D544" s="12" t="s">
        <v>27</v>
      </c>
      <c r="E544" s="12" t="s">
        <v>131</v>
      </c>
      <c r="F544" s="13">
        <v>68615.23</v>
      </c>
      <c r="G544" s="13">
        <v>34.119999999999997</v>
      </c>
      <c r="H544" s="13">
        <v>45205.120000000003</v>
      </c>
      <c r="I544" s="13">
        <v>3.6</v>
      </c>
      <c r="J544" s="13">
        <v>7</v>
      </c>
      <c r="K544" s="13">
        <v>240</v>
      </c>
      <c r="L544" s="12" t="s">
        <v>1688</v>
      </c>
      <c r="M544" s="12">
        <v>4.8</v>
      </c>
      <c r="N544" s="14">
        <v>45680</v>
      </c>
      <c r="O544" s="13">
        <v>4</v>
      </c>
      <c r="P544" s="12" t="s">
        <v>54</v>
      </c>
      <c r="Q544" s="12" t="s">
        <v>46</v>
      </c>
      <c r="R544" s="12" t="s">
        <v>86</v>
      </c>
      <c r="S544" s="12" t="b">
        <v>0</v>
      </c>
      <c r="T544" s="12" t="s">
        <v>56</v>
      </c>
      <c r="U544" s="15">
        <f t="shared" si="32"/>
        <v>23411.516476000001</v>
      </c>
      <c r="V544" s="15">
        <f t="shared" si="33"/>
        <v>27446.092000000001</v>
      </c>
      <c r="W544" s="15">
        <f t="shared" si="34"/>
        <v>6780.768</v>
      </c>
      <c r="X544" s="15">
        <f t="shared" si="35"/>
        <v>10978.26</v>
      </c>
    </row>
    <row r="545" spans="1:24">
      <c r="A545" s="12" t="s">
        <v>1689</v>
      </c>
      <c r="B545" s="12" t="s">
        <v>1690</v>
      </c>
      <c r="C545" s="12" t="s">
        <v>59</v>
      </c>
      <c r="D545" s="12" t="s">
        <v>69</v>
      </c>
      <c r="E545" s="12" t="s">
        <v>96</v>
      </c>
      <c r="F545" s="13">
        <v>11027.48</v>
      </c>
      <c r="G545" s="13">
        <v>39.79</v>
      </c>
      <c r="H545" s="13">
        <v>6639.36</v>
      </c>
      <c r="I545" s="13">
        <v>4</v>
      </c>
      <c r="J545" s="13">
        <v>14</v>
      </c>
      <c r="K545" s="13">
        <v>407</v>
      </c>
      <c r="L545" s="12" t="s">
        <v>1691</v>
      </c>
      <c r="M545" s="12">
        <v>3.3</v>
      </c>
      <c r="N545" s="14">
        <v>45442</v>
      </c>
      <c r="O545" s="13">
        <v>5</v>
      </c>
      <c r="P545" s="12" t="s">
        <v>30</v>
      </c>
      <c r="Q545" s="12" t="s">
        <v>31</v>
      </c>
      <c r="R545" s="12" t="s">
        <v>72</v>
      </c>
      <c r="S545" s="12" t="b">
        <v>0</v>
      </c>
      <c r="T545" s="12" t="s">
        <v>78</v>
      </c>
      <c r="U545" s="15">
        <f t="shared" si="32"/>
        <v>4387.8342919999996</v>
      </c>
      <c r="V545" s="15">
        <f t="shared" si="33"/>
        <v>4410.9920000000002</v>
      </c>
      <c r="W545" s="15">
        <f t="shared" si="34"/>
        <v>995.904</v>
      </c>
      <c r="X545" s="15">
        <f t="shared" si="35"/>
        <v>1232.4639999999999</v>
      </c>
    </row>
    <row r="546" spans="1:24">
      <c r="A546" s="12" t="s">
        <v>1692</v>
      </c>
      <c r="B546" s="12" t="s">
        <v>1693</v>
      </c>
      <c r="C546" s="12" t="s">
        <v>50</v>
      </c>
      <c r="D546" s="12" t="s">
        <v>213</v>
      </c>
      <c r="E546" s="12" t="s">
        <v>96</v>
      </c>
      <c r="F546" s="13">
        <v>2848.22</v>
      </c>
      <c r="G546" s="13">
        <v>25.13</v>
      </c>
      <c r="H546" s="13">
        <v>2132.5</v>
      </c>
      <c r="I546" s="13">
        <v>3.8</v>
      </c>
      <c r="J546" s="13">
        <v>29</v>
      </c>
      <c r="K546" s="13">
        <v>366</v>
      </c>
      <c r="L546" s="12" t="s">
        <v>1694</v>
      </c>
      <c r="M546" s="12">
        <v>3.7</v>
      </c>
      <c r="N546" s="14">
        <v>45886</v>
      </c>
      <c r="O546" s="13">
        <v>1</v>
      </c>
      <c r="P546" s="12" t="s">
        <v>117</v>
      </c>
      <c r="Q546" s="12" t="s">
        <v>55</v>
      </c>
      <c r="R546" s="12" t="s">
        <v>47</v>
      </c>
      <c r="S546" s="12" t="b">
        <v>0</v>
      </c>
      <c r="T546" s="12" t="s">
        <v>56</v>
      </c>
      <c r="U546" s="15">
        <f t="shared" si="32"/>
        <v>715.75768600000004</v>
      </c>
      <c r="V546" s="15">
        <f t="shared" si="33"/>
        <v>1139.288</v>
      </c>
      <c r="W546" s="15">
        <f t="shared" si="34"/>
        <v>319.875</v>
      </c>
      <c r="X546" s="15">
        <f t="shared" si="35"/>
        <v>673.33699999999999</v>
      </c>
    </row>
    <row r="547" spans="1:24">
      <c r="A547" s="12" t="s">
        <v>1695</v>
      </c>
      <c r="B547" s="12" t="s">
        <v>1696</v>
      </c>
      <c r="C547" s="12" t="s">
        <v>26</v>
      </c>
      <c r="D547" s="12" t="s">
        <v>148</v>
      </c>
      <c r="E547" s="12" t="s">
        <v>100</v>
      </c>
      <c r="F547" s="13">
        <v>25696.16</v>
      </c>
      <c r="G547" s="13">
        <v>22.12</v>
      </c>
      <c r="H547" s="13">
        <v>20010.939999999999</v>
      </c>
      <c r="I547" s="13">
        <v>4.5999999999999996</v>
      </c>
      <c r="J547" s="13">
        <v>7</v>
      </c>
      <c r="K547" s="13">
        <v>413</v>
      </c>
      <c r="L547" s="12" t="s">
        <v>1697</v>
      </c>
      <c r="M547" s="12">
        <v>4.4000000000000004</v>
      </c>
      <c r="N547" s="14">
        <v>46028</v>
      </c>
      <c r="O547" s="13">
        <v>4</v>
      </c>
      <c r="P547" s="12" t="s">
        <v>54</v>
      </c>
      <c r="Q547" s="12" t="s">
        <v>55</v>
      </c>
      <c r="R547" s="12" t="s">
        <v>72</v>
      </c>
      <c r="S547" s="12" t="b">
        <v>0</v>
      </c>
      <c r="T547" s="12" t="s">
        <v>56</v>
      </c>
      <c r="U547" s="15">
        <f t="shared" si="32"/>
        <v>5683.9905920000001</v>
      </c>
      <c r="V547" s="15">
        <f t="shared" si="33"/>
        <v>10278.464</v>
      </c>
      <c r="W547" s="15">
        <f t="shared" si="34"/>
        <v>3001.6410000000001</v>
      </c>
      <c r="X547" s="15">
        <f t="shared" si="35"/>
        <v>6730.835</v>
      </c>
    </row>
    <row r="548" spans="1:24">
      <c r="A548" s="12" t="s">
        <v>1698</v>
      </c>
      <c r="B548" s="12" t="s">
        <v>1699</v>
      </c>
      <c r="C548" s="12" t="s">
        <v>75</v>
      </c>
      <c r="D548" s="12" t="s">
        <v>135</v>
      </c>
      <c r="E548" s="12" t="s">
        <v>92</v>
      </c>
      <c r="F548" s="13">
        <v>4336.4399999999996</v>
      </c>
      <c r="G548" s="13">
        <v>53.36</v>
      </c>
      <c r="H548" s="13">
        <v>2022.47</v>
      </c>
      <c r="I548" s="13">
        <v>4.2</v>
      </c>
      <c r="J548" s="13">
        <v>15</v>
      </c>
      <c r="K548" s="13">
        <v>326</v>
      </c>
      <c r="L548" s="12" t="s">
        <v>377</v>
      </c>
      <c r="M548" s="12">
        <v>3.8</v>
      </c>
      <c r="N548" s="14">
        <v>45834</v>
      </c>
      <c r="O548" s="13">
        <v>1</v>
      </c>
      <c r="P548" s="12" t="s">
        <v>54</v>
      </c>
      <c r="Q548" s="12" t="s">
        <v>31</v>
      </c>
      <c r="R548" s="12" t="s">
        <v>86</v>
      </c>
      <c r="S548" s="12" t="b">
        <v>0</v>
      </c>
      <c r="T548" s="12" t="s">
        <v>56</v>
      </c>
      <c r="U548" s="15">
        <f t="shared" si="32"/>
        <v>2313.9243839999999</v>
      </c>
      <c r="V548" s="15">
        <f t="shared" si="33"/>
        <v>1734.576</v>
      </c>
      <c r="W548" s="15">
        <f t="shared" si="34"/>
        <v>303.37049999999999</v>
      </c>
      <c r="X548" s="15">
        <f t="shared" si="35"/>
        <v>-15.4765</v>
      </c>
    </row>
    <row r="549" spans="1:24">
      <c r="A549" s="12" t="s">
        <v>1700</v>
      </c>
      <c r="B549" s="12" t="s">
        <v>1701</v>
      </c>
      <c r="C549" s="12" t="s">
        <v>36</v>
      </c>
      <c r="D549" s="12" t="s">
        <v>37</v>
      </c>
      <c r="E549" s="12" t="s">
        <v>70</v>
      </c>
      <c r="F549" s="13">
        <v>11154.01</v>
      </c>
      <c r="G549" s="13">
        <v>19.47</v>
      </c>
      <c r="H549" s="13">
        <v>8982.44</v>
      </c>
      <c r="I549" s="13">
        <v>3.9</v>
      </c>
      <c r="J549" s="13">
        <v>47</v>
      </c>
      <c r="K549" s="13">
        <v>25</v>
      </c>
      <c r="L549" s="12" t="s">
        <v>1702</v>
      </c>
      <c r="M549" s="12">
        <v>3.2</v>
      </c>
      <c r="N549" s="14">
        <v>45674</v>
      </c>
      <c r="O549" s="13">
        <v>3</v>
      </c>
      <c r="P549" s="12" t="s">
        <v>30</v>
      </c>
      <c r="Q549" s="12" t="s">
        <v>46</v>
      </c>
      <c r="R549" s="12" t="s">
        <v>47</v>
      </c>
      <c r="S549" s="12" t="b">
        <v>0</v>
      </c>
      <c r="T549" s="12" t="s">
        <v>78</v>
      </c>
      <c r="U549" s="15">
        <f t="shared" si="32"/>
        <v>2171.685747</v>
      </c>
      <c r="V549" s="15">
        <f t="shared" si="33"/>
        <v>4461.6040000000003</v>
      </c>
      <c r="W549" s="15">
        <f t="shared" si="34"/>
        <v>1347.366</v>
      </c>
      <c r="X549" s="15">
        <f t="shared" si="35"/>
        <v>3173.47</v>
      </c>
    </row>
    <row r="550" spans="1:24">
      <c r="A550" s="12" t="s">
        <v>1703</v>
      </c>
      <c r="B550" s="12" t="s">
        <v>1704</v>
      </c>
      <c r="C550" s="12" t="s">
        <v>59</v>
      </c>
      <c r="D550" s="12" t="s">
        <v>170</v>
      </c>
      <c r="E550" s="12" t="s">
        <v>92</v>
      </c>
      <c r="F550" s="13">
        <v>3159.27</v>
      </c>
      <c r="G550" s="13">
        <v>41.1</v>
      </c>
      <c r="H550" s="13">
        <v>1860.74</v>
      </c>
      <c r="I550" s="13">
        <v>3.9</v>
      </c>
      <c r="J550" s="13">
        <v>89</v>
      </c>
      <c r="K550" s="13">
        <v>119</v>
      </c>
      <c r="L550" s="12" t="s">
        <v>1705</v>
      </c>
      <c r="M550" s="12">
        <v>3.2</v>
      </c>
      <c r="N550" s="14">
        <v>45532</v>
      </c>
      <c r="O550" s="13">
        <v>3</v>
      </c>
      <c r="P550" s="12" t="s">
        <v>117</v>
      </c>
      <c r="Q550" s="12" t="s">
        <v>46</v>
      </c>
      <c r="R550" s="12" t="s">
        <v>32</v>
      </c>
      <c r="S550" s="12" t="b">
        <v>0</v>
      </c>
      <c r="T550" s="12" t="s">
        <v>56</v>
      </c>
      <c r="U550" s="15">
        <f t="shared" si="32"/>
        <v>1298.4599700000001</v>
      </c>
      <c r="V550" s="15">
        <f t="shared" si="33"/>
        <v>1263.7080000000001</v>
      </c>
      <c r="W550" s="15">
        <f t="shared" si="34"/>
        <v>279.11099999999999</v>
      </c>
      <c r="X550" s="15">
        <f t="shared" si="35"/>
        <v>317.92099999999999</v>
      </c>
    </row>
    <row r="551" spans="1:24">
      <c r="A551" s="12" t="s">
        <v>1706</v>
      </c>
      <c r="B551" s="12" t="s">
        <v>1707</v>
      </c>
      <c r="C551" s="12" t="s">
        <v>75</v>
      </c>
      <c r="D551" s="12" t="s">
        <v>104</v>
      </c>
      <c r="E551" s="12" t="s">
        <v>96</v>
      </c>
      <c r="F551" s="13">
        <v>3903.4</v>
      </c>
      <c r="G551" s="13">
        <v>16.14</v>
      </c>
      <c r="H551" s="13">
        <v>3273.39</v>
      </c>
      <c r="I551" s="13">
        <v>4.2</v>
      </c>
      <c r="J551" s="13">
        <v>17</v>
      </c>
      <c r="K551" s="13">
        <v>190</v>
      </c>
      <c r="L551" s="12" t="s">
        <v>1708</v>
      </c>
      <c r="M551" s="12">
        <v>3.7</v>
      </c>
      <c r="N551" s="14">
        <v>45699</v>
      </c>
      <c r="O551" s="13">
        <v>3</v>
      </c>
      <c r="P551" s="12" t="s">
        <v>30</v>
      </c>
      <c r="Q551" s="12" t="s">
        <v>31</v>
      </c>
      <c r="R551" s="12" t="s">
        <v>32</v>
      </c>
      <c r="S551" s="12" t="b">
        <v>0</v>
      </c>
      <c r="T551" s="12" t="s">
        <v>56</v>
      </c>
      <c r="U551" s="15">
        <f t="shared" si="32"/>
        <v>630.00876000000005</v>
      </c>
      <c r="V551" s="15">
        <f t="shared" si="33"/>
        <v>1561.36</v>
      </c>
      <c r="W551" s="15">
        <f t="shared" si="34"/>
        <v>491.00850000000003</v>
      </c>
      <c r="X551" s="15">
        <f t="shared" si="35"/>
        <v>1221.0215000000001</v>
      </c>
    </row>
    <row r="552" spans="1:24">
      <c r="A552" s="12" t="s">
        <v>1709</v>
      </c>
      <c r="B552" s="12" t="s">
        <v>1710</v>
      </c>
      <c r="C552" s="12" t="s">
        <v>26</v>
      </c>
      <c r="D552" s="12" t="s">
        <v>123</v>
      </c>
      <c r="E552" s="12" t="s">
        <v>38</v>
      </c>
      <c r="F552" s="13">
        <v>32124.959999999999</v>
      </c>
      <c r="G552" s="13">
        <v>22.93</v>
      </c>
      <c r="H552" s="13">
        <v>24758.99</v>
      </c>
      <c r="I552" s="13">
        <v>5</v>
      </c>
      <c r="J552" s="13">
        <v>15</v>
      </c>
      <c r="K552" s="13">
        <v>36</v>
      </c>
      <c r="L552" s="12" t="s">
        <v>1711</v>
      </c>
      <c r="M552" s="12">
        <v>4.2</v>
      </c>
      <c r="N552" s="14">
        <v>45712</v>
      </c>
      <c r="O552" s="13">
        <v>3</v>
      </c>
      <c r="P552" s="12" t="s">
        <v>30</v>
      </c>
      <c r="Q552" s="12" t="s">
        <v>55</v>
      </c>
      <c r="R552" s="12" t="s">
        <v>47</v>
      </c>
      <c r="S552" s="12" t="b">
        <v>0</v>
      </c>
      <c r="T552" s="12" t="s">
        <v>78</v>
      </c>
      <c r="U552" s="15">
        <f t="shared" si="32"/>
        <v>7366.2533279999998</v>
      </c>
      <c r="V552" s="15">
        <f t="shared" si="33"/>
        <v>12849.984</v>
      </c>
      <c r="W552" s="15">
        <f t="shared" si="34"/>
        <v>3713.8485000000001</v>
      </c>
      <c r="X552" s="15">
        <f t="shared" si="35"/>
        <v>8195.1574999999993</v>
      </c>
    </row>
    <row r="553" spans="1:24">
      <c r="A553" s="12" t="s">
        <v>1712</v>
      </c>
      <c r="B553" s="12" t="s">
        <v>1713</v>
      </c>
      <c r="C553" s="12" t="s">
        <v>59</v>
      </c>
      <c r="D553" s="12" t="s">
        <v>170</v>
      </c>
      <c r="E553" s="12" t="s">
        <v>38</v>
      </c>
      <c r="F553" s="13">
        <v>10601.72</v>
      </c>
      <c r="G553" s="13">
        <v>38.549999999999997</v>
      </c>
      <c r="H553" s="13">
        <v>6514.41</v>
      </c>
      <c r="I553" s="13">
        <v>4.3</v>
      </c>
      <c r="J553" s="13">
        <v>19</v>
      </c>
      <c r="K553" s="13">
        <v>197</v>
      </c>
      <c r="L553" s="12" t="s">
        <v>1714</v>
      </c>
      <c r="M553" s="12">
        <v>4.7</v>
      </c>
      <c r="N553" s="14">
        <v>46026</v>
      </c>
      <c r="O553" s="13">
        <v>1</v>
      </c>
      <c r="P553" s="12" t="s">
        <v>40</v>
      </c>
      <c r="Q553" s="12" t="s">
        <v>46</v>
      </c>
      <c r="R553" s="12" t="s">
        <v>32</v>
      </c>
      <c r="S553" s="12" t="b">
        <v>0</v>
      </c>
      <c r="T553" s="12" t="s">
        <v>78</v>
      </c>
      <c r="U553" s="15">
        <f t="shared" si="32"/>
        <v>4086.96306</v>
      </c>
      <c r="V553" s="15">
        <f t="shared" si="33"/>
        <v>4240.6880000000001</v>
      </c>
      <c r="W553" s="15">
        <f t="shared" si="34"/>
        <v>977.16150000000005</v>
      </c>
      <c r="X553" s="15">
        <f t="shared" si="35"/>
        <v>1296.5605</v>
      </c>
    </row>
    <row r="554" spans="1:24">
      <c r="A554" s="12" t="s">
        <v>1715</v>
      </c>
      <c r="B554" s="12" t="s">
        <v>1716</v>
      </c>
      <c r="C554" s="12" t="s">
        <v>50</v>
      </c>
      <c r="D554" s="12" t="s">
        <v>213</v>
      </c>
      <c r="E554" s="12" t="s">
        <v>84</v>
      </c>
      <c r="F554" s="13">
        <v>2919.29</v>
      </c>
      <c r="G554" s="13">
        <v>18.62</v>
      </c>
      <c r="H554" s="13">
        <v>2375.7800000000002</v>
      </c>
      <c r="I554" s="13">
        <v>2.9</v>
      </c>
      <c r="J554" s="13">
        <v>14</v>
      </c>
      <c r="K554" s="13">
        <v>242</v>
      </c>
      <c r="L554" s="12" t="s">
        <v>890</v>
      </c>
      <c r="M554" s="12">
        <v>3.8</v>
      </c>
      <c r="N554" s="14">
        <v>45814</v>
      </c>
      <c r="O554" s="13">
        <v>1</v>
      </c>
      <c r="P554" s="12" t="s">
        <v>45</v>
      </c>
      <c r="Q554" s="12" t="s">
        <v>31</v>
      </c>
      <c r="R554" s="12" t="s">
        <v>72</v>
      </c>
      <c r="S554" s="12" t="b">
        <v>0</v>
      </c>
      <c r="T554" s="12" t="s">
        <v>56</v>
      </c>
      <c r="U554" s="15">
        <f t="shared" si="32"/>
        <v>543.57179799999994</v>
      </c>
      <c r="V554" s="15">
        <f t="shared" si="33"/>
        <v>1167.7159999999999</v>
      </c>
      <c r="W554" s="15">
        <f t="shared" si="34"/>
        <v>356.36700000000002</v>
      </c>
      <c r="X554" s="15">
        <f t="shared" si="35"/>
        <v>851.697</v>
      </c>
    </row>
    <row r="555" spans="1:24">
      <c r="A555" s="12" t="s">
        <v>1717</v>
      </c>
      <c r="B555" s="12" t="s">
        <v>1718</v>
      </c>
      <c r="C555" s="12" t="s">
        <v>75</v>
      </c>
      <c r="D555" s="12" t="s">
        <v>76</v>
      </c>
      <c r="E555" s="12" t="s">
        <v>28</v>
      </c>
      <c r="F555" s="13">
        <v>3027.18</v>
      </c>
      <c r="G555" s="13">
        <v>45.61</v>
      </c>
      <c r="H555" s="13">
        <v>1646.49</v>
      </c>
      <c r="I555" s="13">
        <v>3.7</v>
      </c>
      <c r="J555" s="13">
        <v>15</v>
      </c>
      <c r="K555" s="13">
        <v>266</v>
      </c>
      <c r="L555" s="12" t="s">
        <v>1719</v>
      </c>
      <c r="M555" s="12">
        <v>3.1</v>
      </c>
      <c r="N555" s="14">
        <v>45595</v>
      </c>
      <c r="O555" s="13">
        <v>3</v>
      </c>
      <c r="P555" s="12" t="s">
        <v>40</v>
      </c>
      <c r="Q555" s="12" t="s">
        <v>55</v>
      </c>
      <c r="R555" s="12" t="s">
        <v>86</v>
      </c>
      <c r="S555" s="12" t="b">
        <v>0</v>
      </c>
      <c r="T555" s="12" t="s">
        <v>62</v>
      </c>
      <c r="U555" s="15">
        <f t="shared" si="32"/>
        <v>1380.6967979999999</v>
      </c>
      <c r="V555" s="15">
        <f t="shared" si="33"/>
        <v>1210.8720000000001</v>
      </c>
      <c r="W555" s="15">
        <f t="shared" si="34"/>
        <v>246.9735</v>
      </c>
      <c r="X555" s="15">
        <f t="shared" si="35"/>
        <v>188.64449999999999</v>
      </c>
    </row>
    <row r="556" spans="1:24">
      <c r="A556" s="12" t="s">
        <v>1720</v>
      </c>
      <c r="B556" s="12" t="s">
        <v>1721</v>
      </c>
      <c r="C556" s="12" t="s">
        <v>59</v>
      </c>
      <c r="D556" s="12" t="s">
        <v>69</v>
      </c>
      <c r="E556" s="12" t="s">
        <v>112</v>
      </c>
      <c r="F556" s="13">
        <v>2706.62</v>
      </c>
      <c r="G556" s="13">
        <v>9.5399999999999991</v>
      </c>
      <c r="H556" s="13">
        <v>2448.34</v>
      </c>
      <c r="I556" s="13">
        <v>3.9</v>
      </c>
      <c r="J556" s="13">
        <v>53</v>
      </c>
      <c r="K556" s="13">
        <v>498</v>
      </c>
      <c r="L556" s="12" t="s">
        <v>1722</v>
      </c>
      <c r="M556" s="12">
        <v>4.9000000000000004</v>
      </c>
      <c r="N556" s="14">
        <v>45527</v>
      </c>
      <c r="O556" s="13">
        <v>1</v>
      </c>
      <c r="P556" s="12" t="s">
        <v>40</v>
      </c>
      <c r="Q556" s="12" t="s">
        <v>46</v>
      </c>
      <c r="R556" s="12" t="s">
        <v>86</v>
      </c>
      <c r="S556" s="12" t="b">
        <v>1</v>
      </c>
      <c r="T556" s="12" t="s">
        <v>33</v>
      </c>
      <c r="U556" s="15">
        <f t="shared" si="32"/>
        <v>258.21154799999999</v>
      </c>
      <c r="V556" s="15">
        <f t="shared" si="33"/>
        <v>1082.6479999999999</v>
      </c>
      <c r="W556" s="15">
        <f t="shared" si="34"/>
        <v>367.25099999999998</v>
      </c>
      <c r="X556" s="15">
        <f t="shared" si="35"/>
        <v>998.44100000000003</v>
      </c>
    </row>
    <row r="557" spans="1:24">
      <c r="A557" s="12" t="s">
        <v>1723</v>
      </c>
      <c r="B557" s="12" t="s">
        <v>1724</v>
      </c>
      <c r="C557" s="12" t="s">
        <v>59</v>
      </c>
      <c r="D557" s="12" t="s">
        <v>69</v>
      </c>
      <c r="E557" s="12" t="s">
        <v>92</v>
      </c>
      <c r="F557" s="13">
        <v>8642.9500000000007</v>
      </c>
      <c r="G557" s="13">
        <v>10.55</v>
      </c>
      <c r="H557" s="13">
        <v>7731.18</v>
      </c>
      <c r="I557" s="13">
        <v>3</v>
      </c>
      <c r="J557" s="13">
        <v>6</v>
      </c>
      <c r="K557" s="13">
        <v>202</v>
      </c>
      <c r="L557" s="12" t="s">
        <v>1725</v>
      </c>
      <c r="M557" s="12">
        <v>3.2</v>
      </c>
      <c r="N557" s="14">
        <v>45451</v>
      </c>
      <c r="O557" s="13">
        <v>5</v>
      </c>
      <c r="P557" s="12" t="s">
        <v>30</v>
      </c>
      <c r="Q557" s="12" t="s">
        <v>46</v>
      </c>
      <c r="R557" s="12" t="s">
        <v>32</v>
      </c>
      <c r="S557" s="12" t="b">
        <v>0</v>
      </c>
      <c r="T557" s="12" t="s">
        <v>62</v>
      </c>
      <c r="U557" s="15">
        <f t="shared" si="32"/>
        <v>911.83122500000002</v>
      </c>
      <c r="V557" s="15">
        <f t="shared" si="33"/>
        <v>3457.18</v>
      </c>
      <c r="W557" s="15">
        <f t="shared" si="34"/>
        <v>1159.6769999999999</v>
      </c>
      <c r="X557" s="15">
        <f t="shared" si="35"/>
        <v>3114.3229999999999</v>
      </c>
    </row>
    <row r="558" spans="1:24">
      <c r="A558" s="12" t="s">
        <v>1726</v>
      </c>
      <c r="B558" s="12" t="s">
        <v>1727</v>
      </c>
      <c r="C558" s="12" t="s">
        <v>50</v>
      </c>
      <c r="D558" s="12" t="s">
        <v>213</v>
      </c>
      <c r="E558" s="12" t="s">
        <v>65</v>
      </c>
      <c r="F558" s="13">
        <v>3946.75</v>
      </c>
      <c r="G558" s="13">
        <v>23.29</v>
      </c>
      <c r="H558" s="13">
        <v>3027.6</v>
      </c>
      <c r="I558" s="13">
        <v>3.6</v>
      </c>
      <c r="J558" s="13">
        <v>66</v>
      </c>
      <c r="K558" s="13">
        <v>127</v>
      </c>
      <c r="L558" s="12" t="s">
        <v>1728</v>
      </c>
      <c r="M558" s="12">
        <v>4.9000000000000004</v>
      </c>
      <c r="N558" s="14">
        <v>45464</v>
      </c>
      <c r="O558" s="13">
        <v>5</v>
      </c>
      <c r="P558" s="12" t="s">
        <v>54</v>
      </c>
      <c r="Q558" s="12" t="s">
        <v>55</v>
      </c>
      <c r="R558" s="12" t="s">
        <v>32</v>
      </c>
      <c r="S558" s="12" t="b">
        <v>0</v>
      </c>
      <c r="T558" s="12" t="s">
        <v>62</v>
      </c>
      <c r="U558" s="15">
        <f t="shared" si="32"/>
        <v>919.19807500000002</v>
      </c>
      <c r="V558" s="15">
        <f t="shared" si="33"/>
        <v>1578.7</v>
      </c>
      <c r="W558" s="15">
        <f t="shared" si="34"/>
        <v>454.14</v>
      </c>
      <c r="X558" s="15">
        <f t="shared" si="35"/>
        <v>994.76</v>
      </c>
    </row>
    <row r="559" spans="1:24">
      <c r="A559" s="12" t="s">
        <v>1729</v>
      </c>
      <c r="B559" s="12" t="s">
        <v>1730</v>
      </c>
      <c r="C559" s="12" t="s">
        <v>36</v>
      </c>
      <c r="D559" s="12" t="s">
        <v>37</v>
      </c>
      <c r="E559" s="12" t="s">
        <v>100</v>
      </c>
      <c r="F559" s="13">
        <v>557.41999999999996</v>
      </c>
      <c r="G559" s="13">
        <v>27.55</v>
      </c>
      <c r="H559" s="13">
        <v>403.84</v>
      </c>
      <c r="I559" s="13">
        <v>4</v>
      </c>
      <c r="J559" s="13">
        <v>18</v>
      </c>
      <c r="K559" s="13">
        <v>330</v>
      </c>
      <c r="L559" s="12" t="s">
        <v>1731</v>
      </c>
      <c r="M559" s="12">
        <v>4.0999999999999996</v>
      </c>
      <c r="N559" s="14">
        <v>45597</v>
      </c>
      <c r="O559" s="13">
        <v>2</v>
      </c>
      <c r="P559" s="12" t="s">
        <v>40</v>
      </c>
      <c r="Q559" s="12" t="s">
        <v>31</v>
      </c>
      <c r="R559" s="12" t="s">
        <v>32</v>
      </c>
      <c r="S559" s="12" t="b">
        <v>0</v>
      </c>
      <c r="T559" s="12" t="s">
        <v>78</v>
      </c>
      <c r="U559" s="15">
        <f t="shared" si="32"/>
        <v>153.56921</v>
      </c>
      <c r="V559" s="15">
        <f t="shared" si="33"/>
        <v>222.96799999999999</v>
      </c>
      <c r="W559" s="15">
        <f t="shared" si="34"/>
        <v>60.576000000000001</v>
      </c>
      <c r="X559" s="15">
        <f t="shared" si="35"/>
        <v>120.29600000000001</v>
      </c>
    </row>
    <row r="560" spans="1:24">
      <c r="A560" s="12" t="s">
        <v>1732</v>
      </c>
      <c r="B560" s="12" t="s">
        <v>1733</v>
      </c>
      <c r="C560" s="12" t="s">
        <v>50</v>
      </c>
      <c r="D560" s="12" t="s">
        <v>130</v>
      </c>
      <c r="E560" s="12" t="s">
        <v>112</v>
      </c>
      <c r="F560" s="13">
        <v>655.28</v>
      </c>
      <c r="G560" s="13">
        <v>38.32</v>
      </c>
      <c r="H560" s="13">
        <v>404.16</v>
      </c>
      <c r="I560" s="13">
        <v>4.0999999999999996</v>
      </c>
      <c r="J560" s="13">
        <v>82</v>
      </c>
      <c r="K560" s="13">
        <v>387</v>
      </c>
      <c r="L560" s="12" t="s">
        <v>1734</v>
      </c>
      <c r="M560" s="12">
        <v>4.3</v>
      </c>
      <c r="N560" s="14">
        <v>45495</v>
      </c>
      <c r="O560" s="13">
        <v>5</v>
      </c>
      <c r="P560" s="12" t="s">
        <v>45</v>
      </c>
      <c r="Q560" s="12" t="s">
        <v>55</v>
      </c>
      <c r="R560" s="12" t="s">
        <v>47</v>
      </c>
      <c r="S560" s="12" t="b">
        <v>0</v>
      </c>
      <c r="T560" s="12" t="s">
        <v>78</v>
      </c>
      <c r="U560" s="15">
        <f t="shared" si="32"/>
        <v>251.103296</v>
      </c>
      <c r="V560" s="15">
        <f t="shared" si="33"/>
        <v>262.11200000000002</v>
      </c>
      <c r="W560" s="15">
        <f t="shared" si="34"/>
        <v>60.624000000000002</v>
      </c>
      <c r="X560" s="15">
        <f t="shared" si="35"/>
        <v>81.424000000000007</v>
      </c>
    </row>
    <row r="561" spans="1:24">
      <c r="A561" s="12" t="s">
        <v>1735</v>
      </c>
      <c r="B561" s="12" t="s">
        <v>1736</v>
      </c>
      <c r="C561" s="12" t="s">
        <v>50</v>
      </c>
      <c r="D561" s="12" t="s">
        <v>51</v>
      </c>
      <c r="E561" s="12" t="s">
        <v>28</v>
      </c>
      <c r="F561" s="13">
        <v>1819.89</v>
      </c>
      <c r="G561" s="13">
        <v>23.01</v>
      </c>
      <c r="H561" s="13">
        <v>1401.05</v>
      </c>
      <c r="I561" s="13">
        <v>4.9000000000000004</v>
      </c>
      <c r="J561" s="13">
        <v>49</v>
      </c>
      <c r="K561" s="13">
        <v>248</v>
      </c>
      <c r="L561" s="12" t="s">
        <v>1737</v>
      </c>
      <c r="M561" s="12">
        <v>5</v>
      </c>
      <c r="N561" s="14">
        <v>45569</v>
      </c>
      <c r="O561" s="13">
        <v>4</v>
      </c>
      <c r="P561" s="12" t="s">
        <v>54</v>
      </c>
      <c r="Q561" s="12" t="s">
        <v>31</v>
      </c>
      <c r="R561" s="12" t="s">
        <v>72</v>
      </c>
      <c r="S561" s="12" t="b">
        <v>0</v>
      </c>
      <c r="T561" s="12" t="s">
        <v>62</v>
      </c>
      <c r="U561" s="15">
        <f t="shared" si="32"/>
        <v>418.75668899999999</v>
      </c>
      <c r="V561" s="15">
        <f t="shared" si="33"/>
        <v>727.95600000000002</v>
      </c>
      <c r="W561" s="15">
        <f t="shared" si="34"/>
        <v>210.1575</v>
      </c>
      <c r="X561" s="15">
        <f t="shared" si="35"/>
        <v>462.93650000000002</v>
      </c>
    </row>
    <row r="562" spans="1:24">
      <c r="A562" s="12" t="s">
        <v>1738</v>
      </c>
      <c r="B562" s="12" t="s">
        <v>1739</v>
      </c>
      <c r="C562" s="12" t="s">
        <v>50</v>
      </c>
      <c r="D562" s="12" t="s">
        <v>130</v>
      </c>
      <c r="E562" s="12" t="s">
        <v>65</v>
      </c>
      <c r="F562" s="13">
        <v>1114.77</v>
      </c>
      <c r="G562" s="13">
        <v>45.64</v>
      </c>
      <c r="H562" s="13">
        <v>606.03</v>
      </c>
      <c r="I562" s="13">
        <v>4.2</v>
      </c>
      <c r="J562" s="13">
        <v>15</v>
      </c>
      <c r="K562" s="13">
        <v>165</v>
      </c>
      <c r="L562" s="12" t="s">
        <v>1740</v>
      </c>
      <c r="M562" s="12">
        <v>4.8</v>
      </c>
      <c r="N562" s="14">
        <v>45920</v>
      </c>
      <c r="O562" s="13">
        <v>2</v>
      </c>
      <c r="P562" s="12" t="s">
        <v>54</v>
      </c>
      <c r="Q562" s="12" t="s">
        <v>55</v>
      </c>
      <c r="R562" s="12" t="s">
        <v>47</v>
      </c>
      <c r="S562" s="12" t="b">
        <v>0</v>
      </c>
      <c r="T562" s="12" t="s">
        <v>78</v>
      </c>
      <c r="U562" s="15">
        <f t="shared" si="32"/>
        <v>508.78102799999999</v>
      </c>
      <c r="V562" s="15">
        <f t="shared" si="33"/>
        <v>445.90800000000002</v>
      </c>
      <c r="W562" s="15">
        <f t="shared" si="34"/>
        <v>90.904499999999999</v>
      </c>
      <c r="X562" s="15">
        <f t="shared" si="35"/>
        <v>69.217500000000001</v>
      </c>
    </row>
    <row r="563" spans="1:24">
      <c r="A563" s="12" t="s">
        <v>1741</v>
      </c>
      <c r="B563" s="12" t="s">
        <v>1610</v>
      </c>
      <c r="C563" s="12" t="s">
        <v>36</v>
      </c>
      <c r="D563" s="12" t="s">
        <v>43</v>
      </c>
      <c r="E563" s="12" t="s">
        <v>235</v>
      </c>
      <c r="F563" s="13">
        <v>4207.16</v>
      </c>
      <c r="G563" s="13">
        <v>21.41</v>
      </c>
      <c r="H563" s="13">
        <v>3306.6</v>
      </c>
      <c r="I563" s="13">
        <v>3.6</v>
      </c>
      <c r="J563" s="13">
        <v>31</v>
      </c>
      <c r="K563" s="13">
        <v>277</v>
      </c>
      <c r="L563" s="12" t="s">
        <v>1742</v>
      </c>
      <c r="M563" s="12">
        <v>4.4000000000000004</v>
      </c>
      <c r="N563" s="14">
        <v>46052</v>
      </c>
      <c r="O563" s="13">
        <v>5</v>
      </c>
      <c r="P563" s="12" t="s">
        <v>30</v>
      </c>
      <c r="Q563" s="12" t="s">
        <v>55</v>
      </c>
      <c r="R563" s="12" t="s">
        <v>32</v>
      </c>
      <c r="S563" s="12" t="b">
        <v>0</v>
      </c>
      <c r="T563" s="12" t="s">
        <v>62</v>
      </c>
      <c r="U563" s="15">
        <f t="shared" si="32"/>
        <v>900.75295600000004</v>
      </c>
      <c r="V563" s="15">
        <f t="shared" si="33"/>
        <v>1682.864</v>
      </c>
      <c r="W563" s="15">
        <f t="shared" si="34"/>
        <v>495.99</v>
      </c>
      <c r="X563" s="15">
        <f t="shared" si="35"/>
        <v>1127.7460000000001</v>
      </c>
    </row>
    <row r="564" spans="1:24">
      <c r="A564" s="12" t="s">
        <v>1743</v>
      </c>
      <c r="B564" s="12" t="s">
        <v>1744</v>
      </c>
      <c r="C564" s="12" t="s">
        <v>36</v>
      </c>
      <c r="D564" s="12" t="s">
        <v>37</v>
      </c>
      <c r="E564" s="12" t="s">
        <v>28</v>
      </c>
      <c r="F564" s="13">
        <v>6765.69</v>
      </c>
      <c r="G564" s="13">
        <v>48.5</v>
      </c>
      <c r="H564" s="13">
        <v>3484.56</v>
      </c>
      <c r="I564" s="13">
        <v>3.3</v>
      </c>
      <c r="J564" s="13">
        <v>17</v>
      </c>
      <c r="K564" s="13">
        <v>438</v>
      </c>
      <c r="L564" s="12" t="s">
        <v>1745</v>
      </c>
      <c r="M564" s="12">
        <v>4.3</v>
      </c>
      <c r="N564" s="14">
        <v>45880</v>
      </c>
      <c r="O564" s="13">
        <v>2</v>
      </c>
      <c r="P564" s="12" t="s">
        <v>54</v>
      </c>
      <c r="Q564" s="12" t="s">
        <v>31</v>
      </c>
      <c r="R564" s="12" t="s">
        <v>47</v>
      </c>
      <c r="S564" s="12" t="b">
        <v>0</v>
      </c>
      <c r="T564" s="12" t="s">
        <v>56</v>
      </c>
      <c r="U564" s="15">
        <f t="shared" si="32"/>
        <v>3281.3596499999999</v>
      </c>
      <c r="V564" s="15">
        <f t="shared" si="33"/>
        <v>2706.2759999999998</v>
      </c>
      <c r="W564" s="15">
        <f t="shared" si="34"/>
        <v>522.68399999999997</v>
      </c>
      <c r="X564" s="15">
        <f t="shared" si="35"/>
        <v>255.6</v>
      </c>
    </row>
    <row r="565" spans="1:24">
      <c r="A565" s="12" t="s">
        <v>1746</v>
      </c>
      <c r="B565" s="12" t="s">
        <v>1747</v>
      </c>
      <c r="C565" s="12" t="s">
        <v>26</v>
      </c>
      <c r="D565" s="12" t="s">
        <v>148</v>
      </c>
      <c r="E565" s="12" t="s">
        <v>70</v>
      </c>
      <c r="F565" s="13">
        <v>79446.92</v>
      </c>
      <c r="G565" s="13">
        <v>18.010000000000002</v>
      </c>
      <c r="H565" s="13">
        <v>65138.18</v>
      </c>
      <c r="I565" s="13">
        <v>4.5999999999999996</v>
      </c>
      <c r="J565" s="13">
        <v>16</v>
      </c>
      <c r="K565" s="13">
        <v>392</v>
      </c>
      <c r="L565" s="12" t="s">
        <v>1748</v>
      </c>
      <c r="M565" s="12">
        <v>3.6</v>
      </c>
      <c r="N565" s="14">
        <v>45852</v>
      </c>
      <c r="O565" s="13">
        <v>6</v>
      </c>
      <c r="P565" s="12" t="s">
        <v>45</v>
      </c>
      <c r="Q565" s="12" t="s">
        <v>31</v>
      </c>
      <c r="R565" s="12" t="s">
        <v>72</v>
      </c>
      <c r="S565" s="12" t="b">
        <v>0</v>
      </c>
      <c r="T565" s="12" t="s">
        <v>56</v>
      </c>
      <c r="U565" s="15">
        <f t="shared" si="32"/>
        <v>14308.390292</v>
      </c>
      <c r="V565" s="15">
        <f t="shared" si="33"/>
        <v>31778.768</v>
      </c>
      <c r="W565" s="15">
        <f t="shared" si="34"/>
        <v>9770.7270000000008</v>
      </c>
      <c r="X565" s="15">
        <f t="shared" si="35"/>
        <v>23588.685000000001</v>
      </c>
    </row>
    <row r="566" spans="1:24">
      <c r="A566" s="12" t="s">
        <v>1749</v>
      </c>
      <c r="B566" s="12" t="s">
        <v>1750</v>
      </c>
      <c r="C566" s="12" t="s">
        <v>50</v>
      </c>
      <c r="D566" s="12" t="s">
        <v>213</v>
      </c>
      <c r="E566" s="12" t="s">
        <v>112</v>
      </c>
      <c r="F566" s="13">
        <v>4082.24</v>
      </c>
      <c r="G566" s="13">
        <v>28.59</v>
      </c>
      <c r="H566" s="13">
        <v>2915.07</v>
      </c>
      <c r="I566" s="13">
        <v>3.2</v>
      </c>
      <c r="J566" s="13">
        <v>48</v>
      </c>
      <c r="K566" s="13">
        <v>337</v>
      </c>
      <c r="L566" s="12" t="s">
        <v>1751</v>
      </c>
      <c r="M566" s="12">
        <v>3</v>
      </c>
      <c r="N566" s="14">
        <v>45584</v>
      </c>
      <c r="O566" s="13">
        <v>1</v>
      </c>
      <c r="P566" s="12" t="s">
        <v>40</v>
      </c>
      <c r="Q566" s="12" t="s">
        <v>46</v>
      </c>
      <c r="R566" s="12" t="s">
        <v>47</v>
      </c>
      <c r="S566" s="12" t="b">
        <v>0</v>
      </c>
      <c r="T566" s="12" t="s">
        <v>78</v>
      </c>
      <c r="U566" s="15">
        <f t="shared" si="32"/>
        <v>1167.1124159999999</v>
      </c>
      <c r="V566" s="15">
        <f t="shared" si="33"/>
        <v>1632.896</v>
      </c>
      <c r="W566" s="15">
        <f t="shared" si="34"/>
        <v>437.26049999999998</v>
      </c>
      <c r="X566" s="15">
        <f t="shared" si="35"/>
        <v>844.9135</v>
      </c>
    </row>
    <row r="567" spans="1:24">
      <c r="A567" s="12" t="s">
        <v>1752</v>
      </c>
      <c r="B567" s="12" t="s">
        <v>1753</v>
      </c>
      <c r="C567" s="12" t="s">
        <v>26</v>
      </c>
      <c r="D567" s="12" t="s">
        <v>123</v>
      </c>
      <c r="E567" s="12" t="s">
        <v>84</v>
      </c>
      <c r="F567" s="13">
        <v>47146.11</v>
      </c>
      <c r="G567" s="13">
        <v>17.600000000000001</v>
      </c>
      <c r="H567" s="13">
        <v>38848.519999999997</v>
      </c>
      <c r="I567" s="13">
        <v>4.2</v>
      </c>
      <c r="J567" s="13">
        <v>9</v>
      </c>
      <c r="K567" s="13">
        <v>16</v>
      </c>
      <c r="L567" s="12" t="s">
        <v>1754</v>
      </c>
      <c r="M567" s="12">
        <v>3.3</v>
      </c>
      <c r="N567" s="14">
        <v>45664</v>
      </c>
      <c r="O567" s="13">
        <v>2</v>
      </c>
      <c r="P567" s="12" t="s">
        <v>117</v>
      </c>
      <c r="Q567" s="12" t="s">
        <v>31</v>
      </c>
      <c r="R567" s="12" t="s">
        <v>86</v>
      </c>
      <c r="S567" s="12" t="b">
        <v>0</v>
      </c>
      <c r="T567" s="12" t="s">
        <v>62</v>
      </c>
      <c r="U567" s="15">
        <f t="shared" si="32"/>
        <v>8297.7153600000001</v>
      </c>
      <c r="V567" s="15">
        <f t="shared" si="33"/>
        <v>18858.444</v>
      </c>
      <c r="W567" s="15">
        <f t="shared" si="34"/>
        <v>5827.2780000000002</v>
      </c>
      <c r="X567" s="15">
        <f t="shared" si="35"/>
        <v>14162.798000000001</v>
      </c>
    </row>
    <row r="568" spans="1:24">
      <c r="A568" s="12" t="s">
        <v>1755</v>
      </c>
      <c r="B568" s="12" t="s">
        <v>1756</v>
      </c>
      <c r="C568" s="12" t="s">
        <v>36</v>
      </c>
      <c r="D568" s="12" t="s">
        <v>108</v>
      </c>
      <c r="E568" s="12" t="s">
        <v>65</v>
      </c>
      <c r="F568" s="13">
        <v>6102.34</v>
      </c>
      <c r="G568" s="13">
        <v>17.03</v>
      </c>
      <c r="H568" s="13">
        <v>5063.32</v>
      </c>
      <c r="I568" s="13">
        <v>3.4</v>
      </c>
      <c r="J568" s="13">
        <v>17</v>
      </c>
      <c r="K568" s="13">
        <v>113</v>
      </c>
      <c r="L568" s="12" t="s">
        <v>1757</v>
      </c>
      <c r="M568" s="12">
        <v>3.7</v>
      </c>
      <c r="N568" s="14">
        <v>45974</v>
      </c>
      <c r="O568" s="13">
        <v>1</v>
      </c>
      <c r="P568" s="12" t="s">
        <v>30</v>
      </c>
      <c r="Q568" s="12" t="s">
        <v>46</v>
      </c>
      <c r="R568" s="12" t="s">
        <v>47</v>
      </c>
      <c r="S568" s="12" t="b">
        <v>0</v>
      </c>
      <c r="T568" s="12" t="s">
        <v>62</v>
      </c>
      <c r="U568" s="15">
        <f t="shared" si="32"/>
        <v>1039.2285019999999</v>
      </c>
      <c r="V568" s="15">
        <f t="shared" si="33"/>
        <v>2440.9360000000001</v>
      </c>
      <c r="W568" s="15">
        <f t="shared" si="34"/>
        <v>759.49800000000005</v>
      </c>
      <c r="X568" s="15">
        <f t="shared" si="35"/>
        <v>1862.886</v>
      </c>
    </row>
    <row r="569" spans="1:24">
      <c r="A569" s="12" t="s">
        <v>1758</v>
      </c>
      <c r="B569" s="12" t="s">
        <v>1759</v>
      </c>
      <c r="C569" s="12" t="s">
        <v>50</v>
      </c>
      <c r="D569" s="12" t="s">
        <v>130</v>
      </c>
      <c r="E569" s="12" t="s">
        <v>235</v>
      </c>
      <c r="F569" s="13">
        <v>3324.66</v>
      </c>
      <c r="G569" s="13">
        <v>23.8</v>
      </c>
      <c r="H569" s="13">
        <v>2533.4899999999998</v>
      </c>
      <c r="I569" s="13">
        <v>3.7</v>
      </c>
      <c r="J569" s="13">
        <v>14</v>
      </c>
      <c r="K569" s="13">
        <v>380</v>
      </c>
      <c r="L569" s="12" t="s">
        <v>1760</v>
      </c>
      <c r="M569" s="12">
        <v>3.2</v>
      </c>
      <c r="N569" s="14">
        <v>46066</v>
      </c>
      <c r="O569" s="13">
        <v>2</v>
      </c>
      <c r="P569" s="12" t="s">
        <v>40</v>
      </c>
      <c r="Q569" s="12" t="s">
        <v>55</v>
      </c>
      <c r="R569" s="12" t="s">
        <v>32</v>
      </c>
      <c r="S569" s="12" t="b">
        <v>0</v>
      </c>
      <c r="T569" s="12" t="s">
        <v>62</v>
      </c>
      <c r="U569" s="15">
        <f t="shared" si="32"/>
        <v>791.26908000000003</v>
      </c>
      <c r="V569" s="15">
        <f t="shared" si="33"/>
        <v>1329.864</v>
      </c>
      <c r="W569" s="15">
        <f t="shared" si="34"/>
        <v>380.02350000000001</v>
      </c>
      <c r="X569" s="15">
        <f t="shared" si="35"/>
        <v>823.60249999999996</v>
      </c>
    </row>
    <row r="570" spans="1:24">
      <c r="A570" s="12" t="s">
        <v>1761</v>
      </c>
      <c r="B570" s="12" t="s">
        <v>1762</v>
      </c>
      <c r="C570" s="12" t="s">
        <v>59</v>
      </c>
      <c r="D570" s="12" t="s">
        <v>60</v>
      </c>
      <c r="E570" s="12" t="s">
        <v>38</v>
      </c>
      <c r="F570" s="13">
        <v>1192.17</v>
      </c>
      <c r="G570" s="13">
        <v>25.11</v>
      </c>
      <c r="H570" s="13">
        <v>892.87</v>
      </c>
      <c r="I570" s="13">
        <v>4.0999999999999996</v>
      </c>
      <c r="J570" s="13">
        <v>18</v>
      </c>
      <c r="K570" s="13">
        <v>39</v>
      </c>
      <c r="L570" s="12" t="s">
        <v>1763</v>
      </c>
      <c r="M570" s="12">
        <v>4.2</v>
      </c>
      <c r="N570" s="14">
        <v>45888</v>
      </c>
      <c r="O570" s="13">
        <v>1</v>
      </c>
      <c r="P570" s="12" t="s">
        <v>40</v>
      </c>
      <c r="Q570" s="12" t="s">
        <v>31</v>
      </c>
      <c r="R570" s="12" t="s">
        <v>32</v>
      </c>
      <c r="S570" s="12" t="b">
        <v>0</v>
      </c>
      <c r="T570" s="12" t="s">
        <v>78</v>
      </c>
      <c r="U570" s="15">
        <f t="shared" si="32"/>
        <v>299.35388699999999</v>
      </c>
      <c r="V570" s="15">
        <f t="shared" si="33"/>
        <v>476.86799999999999</v>
      </c>
      <c r="W570" s="15">
        <f t="shared" si="34"/>
        <v>133.93049999999999</v>
      </c>
      <c r="X570" s="15">
        <f t="shared" si="35"/>
        <v>282.07150000000001</v>
      </c>
    </row>
    <row r="571" spans="1:24">
      <c r="A571" s="12" t="s">
        <v>1764</v>
      </c>
      <c r="B571" s="12" t="s">
        <v>1765</v>
      </c>
      <c r="C571" s="12" t="s">
        <v>75</v>
      </c>
      <c r="D571" s="12" t="s">
        <v>76</v>
      </c>
      <c r="E571" s="12" t="s">
        <v>96</v>
      </c>
      <c r="F571" s="13">
        <v>2595.77</v>
      </c>
      <c r="G571" s="13">
        <v>44.93</v>
      </c>
      <c r="H571" s="13">
        <v>1429.52</v>
      </c>
      <c r="I571" s="13">
        <v>3.3</v>
      </c>
      <c r="J571" s="13">
        <v>12</v>
      </c>
      <c r="K571" s="13">
        <v>336</v>
      </c>
      <c r="L571" s="12" t="s">
        <v>1766</v>
      </c>
      <c r="M571" s="12">
        <v>4.2</v>
      </c>
      <c r="N571" s="14">
        <v>45986</v>
      </c>
      <c r="O571" s="13">
        <v>1</v>
      </c>
      <c r="P571" s="12" t="s">
        <v>54</v>
      </c>
      <c r="Q571" s="12" t="s">
        <v>31</v>
      </c>
      <c r="R571" s="12" t="s">
        <v>47</v>
      </c>
      <c r="S571" s="12" t="b">
        <v>0</v>
      </c>
      <c r="T571" s="12" t="s">
        <v>62</v>
      </c>
      <c r="U571" s="15">
        <f t="shared" si="32"/>
        <v>1166.2794610000001</v>
      </c>
      <c r="V571" s="15">
        <f t="shared" si="33"/>
        <v>1038.308</v>
      </c>
      <c r="W571" s="15">
        <f t="shared" si="34"/>
        <v>214.428</v>
      </c>
      <c r="X571" s="15">
        <f t="shared" si="35"/>
        <v>176.78399999999999</v>
      </c>
    </row>
    <row r="572" spans="1:24">
      <c r="A572" s="12" t="s">
        <v>1767</v>
      </c>
      <c r="B572" s="12" t="s">
        <v>1768</v>
      </c>
      <c r="C572" s="12" t="s">
        <v>36</v>
      </c>
      <c r="D572" s="12" t="s">
        <v>37</v>
      </c>
      <c r="E572" s="12" t="s">
        <v>28</v>
      </c>
      <c r="F572" s="13">
        <v>1071.55</v>
      </c>
      <c r="G572" s="13">
        <v>38.36</v>
      </c>
      <c r="H572" s="13">
        <v>660.52</v>
      </c>
      <c r="I572" s="13">
        <v>3.9</v>
      </c>
      <c r="J572" s="13">
        <v>49</v>
      </c>
      <c r="K572" s="13">
        <v>295</v>
      </c>
      <c r="L572" s="12" t="s">
        <v>1769</v>
      </c>
      <c r="M572" s="12">
        <v>4.0999999999999996</v>
      </c>
      <c r="N572" s="14">
        <v>45410</v>
      </c>
      <c r="O572" s="13">
        <v>3</v>
      </c>
      <c r="P572" s="12" t="s">
        <v>40</v>
      </c>
      <c r="Q572" s="12" t="s">
        <v>31</v>
      </c>
      <c r="R572" s="12" t="s">
        <v>86</v>
      </c>
      <c r="S572" s="12" t="b">
        <v>0</v>
      </c>
      <c r="T572" s="12" t="s">
        <v>62</v>
      </c>
      <c r="U572" s="15">
        <f t="shared" si="32"/>
        <v>411.04658000000001</v>
      </c>
      <c r="V572" s="15">
        <f t="shared" si="33"/>
        <v>428.62</v>
      </c>
      <c r="W572" s="15">
        <f t="shared" si="34"/>
        <v>99.078000000000003</v>
      </c>
      <c r="X572" s="15">
        <f t="shared" si="35"/>
        <v>132.822</v>
      </c>
    </row>
    <row r="573" spans="1:24">
      <c r="A573" s="12" t="s">
        <v>1770</v>
      </c>
      <c r="B573" s="12" t="s">
        <v>1771</v>
      </c>
      <c r="C573" s="12" t="s">
        <v>50</v>
      </c>
      <c r="D573" s="12" t="s">
        <v>130</v>
      </c>
      <c r="E573" s="12" t="s">
        <v>92</v>
      </c>
      <c r="F573" s="13">
        <v>4960.79</v>
      </c>
      <c r="G573" s="13">
        <v>42.49</v>
      </c>
      <c r="H573" s="13">
        <v>2852.77</v>
      </c>
      <c r="I573" s="13">
        <v>4.8</v>
      </c>
      <c r="J573" s="13">
        <v>7</v>
      </c>
      <c r="K573" s="13">
        <v>258</v>
      </c>
      <c r="L573" s="12" t="s">
        <v>1772</v>
      </c>
      <c r="M573" s="12">
        <v>4.2</v>
      </c>
      <c r="N573" s="14">
        <v>46086</v>
      </c>
      <c r="O573" s="13">
        <v>3</v>
      </c>
      <c r="P573" s="12" t="s">
        <v>54</v>
      </c>
      <c r="Q573" s="12" t="s">
        <v>31</v>
      </c>
      <c r="R573" s="12" t="s">
        <v>47</v>
      </c>
      <c r="S573" s="12" t="b">
        <v>0</v>
      </c>
      <c r="T573" s="12" t="s">
        <v>62</v>
      </c>
      <c r="U573" s="15">
        <f t="shared" si="32"/>
        <v>2107.8396710000002</v>
      </c>
      <c r="V573" s="15">
        <f t="shared" si="33"/>
        <v>1984.316</v>
      </c>
      <c r="W573" s="15">
        <f t="shared" si="34"/>
        <v>427.91550000000001</v>
      </c>
      <c r="X573" s="15">
        <f t="shared" si="35"/>
        <v>440.5385</v>
      </c>
    </row>
    <row r="574" spans="1:24">
      <c r="A574" s="12" t="s">
        <v>1773</v>
      </c>
      <c r="B574" s="12" t="s">
        <v>1774</v>
      </c>
      <c r="C574" s="12" t="s">
        <v>36</v>
      </c>
      <c r="D574" s="12" t="s">
        <v>37</v>
      </c>
      <c r="E574" s="12" t="s">
        <v>112</v>
      </c>
      <c r="F574" s="13">
        <v>6888.75</v>
      </c>
      <c r="G574" s="13">
        <v>43.56</v>
      </c>
      <c r="H574" s="13">
        <v>3887.82</v>
      </c>
      <c r="I574" s="13">
        <v>4.2</v>
      </c>
      <c r="J574" s="13">
        <v>28</v>
      </c>
      <c r="K574" s="13">
        <v>432</v>
      </c>
      <c r="L574" s="12" t="s">
        <v>1775</v>
      </c>
      <c r="M574" s="12">
        <v>4.9000000000000004</v>
      </c>
      <c r="N574" s="14">
        <v>45396</v>
      </c>
      <c r="O574" s="13">
        <v>5</v>
      </c>
      <c r="P574" s="12" t="s">
        <v>30</v>
      </c>
      <c r="Q574" s="12" t="s">
        <v>55</v>
      </c>
      <c r="R574" s="12" t="s">
        <v>86</v>
      </c>
      <c r="S574" s="12" t="b">
        <v>0</v>
      </c>
      <c r="T574" s="12" t="s">
        <v>62</v>
      </c>
      <c r="U574" s="15">
        <f t="shared" si="32"/>
        <v>3000.7395000000001</v>
      </c>
      <c r="V574" s="15">
        <f t="shared" si="33"/>
        <v>2755.5</v>
      </c>
      <c r="W574" s="15">
        <f t="shared" si="34"/>
        <v>583.173</v>
      </c>
      <c r="X574" s="15">
        <f t="shared" si="35"/>
        <v>549.14700000000005</v>
      </c>
    </row>
    <row r="575" spans="1:24">
      <c r="A575" s="12" t="s">
        <v>1776</v>
      </c>
      <c r="B575" s="12" t="s">
        <v>1777</v>
      </c>
      <c r="C575" s="12" t="s">
        <v>59</v>
      </c>
      <c r="D575" s="12" t="s">
        <v>60</v>
      </c>
      <c r="E575" s="12" t="s">
        <v>70</v>
      </c>
      <c r="F575" s="13">
        <v>1448.25</v>
      </c>
      <c r="G575" s="13">
        <v>38.659999999999997</v>
      </c>
      <c r="H575" s="13">
        <v>888.29</v>
      </c>
      <c r="I575" s="13">
        <v>3.5</v>
      </c>
      <c r="J575" s="13">
        <v>10</v>
      </c>
      <c r="K575" s="13">
        <v>192</v>
      </c>
      <c r="L575" s="12" t="s">
        <v>1778</v>
      </c>
      <c r="M575" s="12">
        <v>3.3</v>
      </c>
      <c r="N575" s="14">
        <v>45540</v>
      </c>
      <c r="O575" s="13">
        <v>1</v>
      </c>
      <c r="P575" s="12" t="s">
        <v>45</v>
      </c>
      <c r="Q575" s="12" t="s">
        <v>55</v>
      </c>
      <c r="R575" s="12" t="s">
        <v>86</v>
      </c>
      <c r="S575" s="12" t="b">
        <v>0</v>
      </c>
      <c r="T575" s="12" t="s">
        <v>56</v>
      </c>
      <c r="U575" s="15">
        <f t="shared" si="32"/>
        <v>559.89345000000003</v>
      </c>
      <c r="V575" s="15">
        <f t="shared" si="33"/>
        <v>579.29999999999995</v>
      </c>
      <c r="W575" s="15">
        <f t="shared" si="34"/>
        <v>133.24350000000001</v>
      </c>
      <c r="X575" s="15">
        <f t="shared" si="35"/>
        <v>175.7465</v>
      </c>
    </row>
    <row r="576" spans="1:24">
      <c r="A576" s="12" t="s">
        <v>1779</v>
      </c>
      <c r="B576" s="12" t="s">
        <v>1780</v>
      </c>
      <c r="C576" s="12" t="s">
        <v>50</v>
      </c>
      <c r="D576" s="12" t="s">
        <v>130</v>
      </c>
      <c r="E576" s="12" t="s">
        <v>28</v>
      </c>
      <c r="F576" s="13">
        <v>4027.22</v>
      </c>
      <c r="G576" s="13">
        <v>44.93</v>
      </c>
      <c r="H576" s="13">
        <v>2217.59</v>
      </c>
      <c r="I576" s="13">
        <v>3.6</v>
      </c>
      <c r="J576" s="13">
        <v>8</v>
      </c>
      <c r="K576" s="13">
        <v>8</v>
      </c>
      <c r="L576" s="12" t="s">
        <v>1781</v>
      </c>
      <c r="M576" s="12">
        <v>4.3</v>
      </c>
      <c r="N576" s="14">
        <v>46024</v>
      </c>
      <c r="O576" s="13">
        <v>5</v>
      </c>
      <c r="P576" s="12" t="s">
        <v>40</v>
      </c>
      <c r="Q576" s="12" t="s">
        <v>46</v>
      </c>
      <c r="R576" s="12" t="s">
        <v>72</v>
      </c>
      <c r="S576" s="12" t="b">
        <v>0</v>
      </c>
      <c r="T576" s="12" t="s">
        <v>78</v>
      </c>
      <c r="U576" s="15">
        <f t="shared" si="32"/>
        <v>1809.429946</v>
      </c>
      <c r="V576" s="15">
        <f t="shared" si="33"/>
        <v>1610.8879999999999</v>
      </c>
      <c r="W576" s="15">
        <f t="shared" si="34"/>
        <v>332.63850000000002</v>
      </c>
      <c r="X576" s="15">
        <f t="shared" si="35"/>
        <v>274.06349999999998</v>
      </c>
    </row>
    <row r="577" spans="1:24">
      <c r="A577" s="12" t="s">
        <v>1782</v>
      </c>
      <c r="B577" s="12" t="s">
        <v>1783</v>
      </c>
      <c r="C577" s="12" t="s">
        <v>59</v>
      </c>
      <c r="D577" s="12" t="s">
        <v>69</v>
      </c>
      <c r="E577" s="12" t="s">
        <v>70</v>
      </c>
      <c r="F577" s="13">
        <v>10365.030000000001</v>
      </c>
      <c r="G577" s="13">
        <v>16.350000000000001</v>
      </c>
      <c r="H577" s="13">
        <v>8670.7099999999991</v>
      </c>
      <c r="I577" s="13">
        <v>3.5</v>
      </c>
      <c r="J577" s="13">
        <v>19</v>
      </c>
      <c r="K577" s="13">
        <v>470</v>
      </c>
      <c r="L577" s="12" t="s">
        <v>1784</v>
      </c>
      <c r="M577" s="12">
        <v>3.9</v>
      </c>
      <c r="N577" s="14">
        <v>45747</v>
      </c>
      <c r="O577" s="13">
        <v>6</v>
      </c>
      <c r="P577" s="12" t="s">
        <v>30</v>
      </c>
      <c r="Q577" s="12" t="s">
        <v>31</v>
      </c>
      <c r="R577" s="12" t="s">
        <v>47</v>
      </c>
      <c r="S577" s="12" t="b">
        <v>0</v>
      </c>
      <c r="T577" s="12" t="s">
        <v>78</v>
      </c>
      <c r="U577" s="15">
        <f t="shared" si="32"/>
        <v>1694.682405</v>
      </c>
      <c r="V577" s="15">
        <f t="shared" si="33"/>
        <v>4146.0119999999997</v>
      </c>
      <c r="W577" s="15">
        <f t="shared" si="34"/>
        <v>1300.6065000000001</v>
      </c>
      <c r="X577" s="15">
        <f t="shared" si="35"/>
        <v>3224.0915</v>
      </c>
    </row>
    <row r="578" spans="1:24">
      <c r="A578" s="12" t="s">
        <v>1785</v>
      </c>
      <c r="B578" s="12" t="s">
        <v>1786</v>
      </c>
      <c r="C578" s="12" t="s">
        <v>26</v>
      </c>
      <c r="D578" s="12" t="s">
        <v>148</v>
      </c>
      <c r="E578" s="12" t="s">
        <v>112</v>
      </c>
      <c r="F578" s="13">
        <v>13605.65</v>
      </c>
      <c r="G578" s="13">
        <v>30.3</v>
      </c>
      <c r="H578" s="13">
        <v>9483.2199999999993</v>
      </c>
      <c r="I578" s="13">
        <v>4</v>
      </c>
      <c r="J578" s="13">
        <v>13</v>
      </c>
      <c r="K578" s="13">
        <v>187</v>
      </c>
      <c r="L578" s="12" t="s">
        <v>1787</v>
      </c>
      <c r="M578" s="12">
        <v>4.0999999999999996</v>
      </c>
      <c r="N578" s="14">
        <v>45648</v>
      </c>
      <c r="O578" s="13">
        <v>1</v>
      </c>
      <c r="P578" s="12" t="s">
        <v>54</v>
      </c>
      <c r="Q578" s="12" t="s">
        <v>46</v>
      </c>
      <c r="R578" s="12" t="s">
        <v>72</v>
      </c>
      <c r="S578" s="12" t="b">
        <v>0</v>
      </c>
      <c r="T578" s="12" t="s">
        <v>56</v>
      </c>
      <c r="U578" s="15">
        <f t="shared" si="32"/>
        <v>4122.5119500000001</v>
      </c>
      <c r="V578" s="15">
        <f t="shared" si="33"/>
        <v>5442.26</v>
      </c>
      <c r="W578" s="15">
        <f t="shared" si="34"/>
        <v>1422.4829999999999</v>
      </c>
      <c r="X578" s="15">
        <f t="shared" si="35"/>
        <v>2618.4769999999999</v>
      </c>
    </row>
    <row r="579" spans="1:24">
      <c r="A579" s="12" t="s">
        <v>1788</v>
      </c>
      <c r="B579" s="12" t="s">
        <v>1789</v>
      </c>
      <c r="C579" s="12" t="s">
        <v>26</v>
      </c>
      <c r="D579" s="12" t="s">
        <v>148</v>
      </c>
      <c r="E579" s="12" t="s">
        <v>65</v>
      </c>
      <c r="F579" s="13">
        <v>37324.089999999997</v>
      </c>
      <c r="G579" s="13">
        <v>6.15</v>
      </c>
      <c r="H579" s="13">
        <v>35028.660000000003</v>
      </c>
      <c r="I579" s="13">
        <v>5</v>
      </c>
      <c r="J579" s="13">
        <v>19</v>
      </c>
      <c r="K579" s="13">
        <v>370</v>
      </c>
      <c r="L579" s="12" t="s">
        <v>1790</v>
      </c>
      <c r="M579" s="12">
        <v>3.5</v>
      </c>
      <c r="N579" s="14">
        <v>45799</v>
      </c>
      <c r="O579" s="13">
        <v>5</v>
      </c>
      <c r="P579" s="12" t="s">
        <v>54</v>
      </c>
      <c r="Q579" s="12" t="s">
        <v>55</v>
      </c>
      <c r="R579" s="12" t="s">
        <v>47</v>
      </c>
      <c r="S579" s="12" t="b">
        <v>0</v>
      </c>
      <c r="T579" s="12" t="s">
        <v>56</v>
      </c>
      <c r="U579" s="15">
        <f t="shared" ref="U579:U642" si="36">F579*(G579/100)</f>
        <v>2295.4315350000002</v>
      </c>
      <c r="V579" s="15">
        <f t="shared" ref="V579:V642" si="37">F579*0.4</f>
        <v>14929.636</v>
      </c>
      <c r="W579" s="15">
        <f t="shared" ref="W579:W642" si="38">H579*0.15</f>
        <v>5254.299</v>
      </c>
      <c r="X579" s="15">
        <f t="shared" ref="X579:X642" si="39">H579-V579-W579</f>
        <v>14844.725</v>
      </c>
    </row>
    <row r="580" spans="1:24">
      <c r="A580" s="12" t="s">
        <v>1791</v>
      </c>
      <c r="B580" s="12" t="s">
        <v>1792</v>
      </c>
      <c r="C580" s="12" t="s">
        <v>36</v>
      </c>
      <c r="D580" s="12" t="s">
        <v>43</v>
      </c>
      <c r="E580" s="12" t="s">
        <v>65</v>
      </c>
      <c r="F580" s="13">
        <v>14257.46</v>
      </c>
      <c r="G580" s="13">
        <v>17.059999999999999</v>
      </c>
      <c r="H580" s="13">
        <v>11824.83</v>
      </c>
      <c r="I580" s="13">
        <v>3.6</v>
      </c>
      <c r="J580" s="13">
        <v>21</v>
      </c>
      <c r="K580" s="13">
        <v>195</v>
      </c>
      <c r="L580" s="12" t="s">
        <v>1620</v>
      </c>
      <c r="M580" s="12">
        <v>4.3</v>
      </c>
      <c r="N580" s="14">
        <v>45699</v>
      </c>
      <c r="O580" s="13">
        <v>3</v>
      </c>
      <c r="P580" s="12" t="s">
        <v>30</v>
      </c>
      <c r="Q580" s="12" t="s">
        <v>46</v>
      </c>
      <c r="R580" s="12" t="s">
        <v>72</v>
      </c>
      <c r="S580" s="12" t="b">
        <v>0</v>
      </c>
      <c r="T580" s="12" t="s">
        <v>56</v>
      </c>
      <c r="U580" s="15">
        <f t="shared" si="36"/>
        <v>2432.3226759999998</v>
      </c>
      <c r="V580" s="15">
        <f t="shared" si="37"/>
        <v>5702.9840000000004</v>
      </c>
      <c r="W580" s="15">
        <f t="shared" si="38"/>
        <v>1773.7245</v>
      </c>
      <c r="X580" s="15">
        <f t="shared" si="39"/>
        <v>4348.1215000000002</v>
      </c>
    </row>
    <row r="581" spans="1:24">
      <c r="A581" s="12" t="s">
        <v>1793</v>
      </c>
      <c r="B581" s="12" t="s">
        <v>1794</v>
      </c>
      <c r="C581" s="12" t="s">
        <v>50</v>
      </c>
      <c r="D581" s="12" t="s">
        <v>51</v>
      </c>
      <c r="E581" s="12" t="s">
        <v>84</v>
      </c>
      <c r="F581" s="13">
        <v>2825.9</v>
      </c>
      <c r="G581" s="13">
        <v>38.92</v>
      </c>
      <c r="H581" s="13">
        <v>1726.07</v>
      </c>
      <c r="I581" s="13">
        <v>4.2</v>
      </c>
      <c r="J581" s="13">
        <v>184</v>
      </c>
      <c r="K581" s="13">
        <v>434</v>
      </c>
      <c r="L581" s="12" t="s">
        <v>1795</v>
      </c>
      <c r="M581" s="12">
        <v>4</v>
      </c>
      <c r="N581" s="14">
        <v>45968</v>
      </c>
      <c r="O581" s="13">
        <v>3</v>
      </c>
      <c r="P581" s="12" t="s">
        <v>54</v>
      </c>
      <c r="Q581" s="12" t="s">
        <v>31</v>
      </c>
      <c r="R581" s="12" t="s">
        <v>86</v>
      </c>
      <c r="S581" s="12" t="b">
        <v>0</v>
      </c>
      <c r="T581" s="12" t="s">
        <v>78</v>
      </c>
      <c r="U581" s="15">
        <f t="shared" si="36"/>
        <v>1099.8402799999999</v>
      </c>
      <c r="V581" s="15">
        <f t="shared" si="37"/>
        <v>1130.3599999999999</v>
      </c>
      <c r="W581" s="15">
        <f t="shared" si="38"/>
        <v>258.91050000000001</v>
      </c>
      <c r="X581" s="15">
        <f t="shared" si="39"/>
        <v>336.79950000000002</v>
      </c>
    </row>
    <row r="582" spans="1:24">
      <c r="A582" s="12" t="s">
        <v>1796</v>
      </c>
      <c r="B582" s="12" t="s">
        <v>1797</v>
      </c>
      <c r="C582" s="12" t="s">
        <v>59</v>
      </c>
      <c r="D582" s="12" t="s">
        <v>60</v>
      </c>
      <c r="E582" s="12" t="s">
        <v>38</v>
      </c>
      <c r="F582" s="13">
        <v>1190.8900000000001</v>
      </c>
      <c r="G582" s="13">
        <v>47.77</v>
      </c>
      <c r="H582" s="13">
        <v>621.97</v>
      </c>
      <c r="I582" s="13">
        <v>3.2</v>
      </c>
      <c r="J582" s="13">
        <v>3</v>
      </c>
      <c r="K582" s="13">
        <v>76</v>
      </c>
      <c r="L582" s="12" t="s">
        <v>1798</v>
      </c>
      <c r="M582" s="12">
        <v>2.7</v>
      </c>
      <c r="N582" s="14">
        <v>45948</v>
      </c>
      <c r="O582" s="13">
        <v>1</v>
      </c>
      <c r="P582" s="12" t="s">
        <v>30</v>
      </c>
      <c r="Q582" s="12" t="s">
        <v>31</v>
      </c>
      <c r="R582" s="12" t="s">
        <v>47</v>
      </c>
      <c r="S582" s="12" t="b">
        <v>0</v>
      </c>
      <c r="T582" s="12" t="s">
        <v>78</v>
      </c>
      <c r="U582" s="15">
        <f t="shared" si="36"/>
        <v>568.88815299999999</v>
      </c>
      <c r="V582" s="15">
        <f t="shared" si="37"/>
        <v>476.35599999999999</v>
      </c>
      <c r="W582" s="15">
        <f t="shared" si="38"/>
        <v>93.295500000000004</v>
      </c>
      <c r="X582" s="15">
        <f t="shared" si="39"/>
        <v>52.3185</v>
      </c>
    </row>
    <row r="583" spans="1:24">
      <c r="A583" s="12" t="s">
        <v>1799</v>
      </c>
      <c r="B583" s="12" t="s">
        <v>1800</v>
      </c>
      <c r="C583" s="12" t="s">
        <v>26</v>
      </c>
      <c r="D583" s="12" t="s">
        <v>148</v>
      </c>
      <c r="E583" s="12" t="s">
        <v>235</v>
      </c>
      <c r="F583" s="13">
        <v>57948.89</v>
      </c>
      <c r="G583" s="13">
        <v>19.399999999999999</v>
      </c>
      <c r="H583" s="13">
        <v>46708.800000000003</v>
      </c>
      <c r="I583" s="13">
        <v>4.4000000000000004</v>
      </c>
      <c r="J583" s="13">
        <v>6</v>
      </c>
      <c r="K583" s="13">
        <v>46</v>
      </c>
      <c r="L583" s="12" t="s">
        <v>1801</v>
      </c>
      <c r="M583" s="12">
        <v>2.7</v>
      </c>
      <c r="N583" s="14">
        <v>45698</v>
      </c>
      <c r="O583" s="13">
        <v>5</v>
      </c>
      <c r="P583" s="12" t="s">
        <v>45</v>
      </c>
      <c r="Q583" s="12" t="s">
        <v>55</v>
      </c>
      <c r="R583" s="12" t="s">
        <v>72</v>
      </c>
      <c r="S583" s="12" t="b">
        <v>0</v>
      </c>
      <c r="T583" s="12" t="s">
        <v>56</v>
      </c>
      <c r="U583" s="15">
        <f t="shared" si="36"/>
        <v>11242.08466</v>
      </c>
      <c r="V583" s="15">
        <f t="shared" si="37"/>
        <v>23179.556</v>
      </c>
      <c r="W583" s="15">
        <f t="shared" si="38"/>
        <v>7006.32</v>
      </c>
      <c r="X583" s="15">
        <f t="shared" si="39"/>
        <v>16522.923999999999</v>
      </c>
    </row>
    <row r="584" spans="1:24">
      <c r="A584" s="12" t="s">
        <v>1802</v>
      </c>
      <c r="B584" s="12" t="s">
        <v>1803</v>
      </c>
      <c r="C584" s="12" t="s">
        <v>75</v>
      </c>
      <c r="D584" s="12" t="s">
        <v>135</v>
      </c>
      <c r="E584" s="12" t="s">
        <v>112</v>
      </c>
      <c r="F584" s="13">
        <v>544.86</v>
      </c>
      <c r="G584" s="13">
        <v>64.91</v>
      </c>
      <c r="H584" s="13">
        <v>191.2</v>
      </c>
      <c r="I584" s="13">
        <v>4</v>
      </c>
      <c r="J584" s="13">
        <v>46</v>
      </c>
      <c r="K584" s="13">
        <v>381</v>
      </c>
      <c r="L584" s="12" t="s">
        <v>1804</v>
      </c>
      <c r="M584" s="12">
        <v>4.5</v>
      </c>
      <c r="N584" s="14">
        <v>46041</v>
      </c>
      <c r="O584" s="13">
        <v>1</v>
      </c>
      <c r="P584" s="12" t="s">
        <v>40</v>
      </c>
      <c r="Q584" s="12" t="s">
        <v>31</v>
      </c>
      <c r="R584" s="12" t="s">
        <v>86</v>
      </c>
      <c r="S584" s="12" t="b">
        <v>0</v>
      </c>
      <c r="T584" s="12" t="s">
        <v>56</v>
      </c>
      <c r="U584" s="15">
        <f t="shared" si="36"/>
        <v>353.66862600000002</v>
      </c>
      <c r="V584" s="15">
        <f t="shared" si="37"/>
        <v>217.94399999999999</v>
      </c>
      <c r="W584" s="15">
        <f t="shared" si="38"/>
        <v>28.68</v>
      </c>
      <c r="X584" s="15">
        <f t="shared" si="39"/>
        <v>-55.423999999999999</v>
      </c>
    </row>
    <row r="585" spans="1:24">
      <c r="A585" s="12" t="s">
        <v>1805</v>
      </c>
      <c r="B585" s="12" t="s">
        <v>1806</v>
      </c>
      <c r="C585" s="12" t="s">
        <v>26</v>
      </c>
      <c r="D585" s="12" t="s">
        <v>148</v>
      </c>
      <c r="E585" s="12" t="s">
        <v>131</v>
      </c>
      <c r="F585" s="13">
        <v>43135.93</v>
      </c>
      <c r="G585" s="13">
        <v>10.45</v>
      </c>
      <c r="H585" s="13">
        <v>38628.550000000003</v>
      </c>
      <c r="I585" s="13">
        <v>3.9</v>
      </c>
      <c r="J585" s="13">
        <v>10</v>
      </c>
      <c r="K585" s="13">
        <v>390</v>
      </c>
      <c r="L585" s="12" t="s">
        <v>1807</v>
      </c>
      <c r="M585" s="12">
        <v>4.2</v>
      </c>
      <c r="N585" s="14">
        <v>45411</v>
      </c>
      <c r="O585" s="13">
        <v>2</v>
      </c>
      <c r="P585" s="12" t="s">
        <v>117</v>
      </c>
      <c r="Q585" s="12" t="s">
        <v>55</v>
      </c>
      <c r="R585" s="12" t="s">
        <v>47</v>
      </c>
      <c r="S585" s="12" t="b">
        <v>0</v>
      </c>
      <c r="T585" s="12" t="s">
        <v>56</v>
      </c>
      <c r="U585" s="15">
        <f t="shared" si="36"/>
        <v>4507.7046849999997</v>
      </c>
      <c r="V585" s="15">
        <f t="shared" si="37"/>
        <v>17254.371999999999</v>
      </c>
      <c r="W585" s="15">
        <f t="shared" si="38"/>
        <v>5794.2825000000003</v>
      </c>
      <c r="X585" s="15">
        <f t="shared" si="39"/>
        <v>15579.895500000001</v>
      </c>
    </row>
    <row r="586" spans="1:24">
      <c r="A586" s="12" t="s">
        <v>1808</v>
      </c>
      <c r="B586" s="12" t="s">
        <v>1809</v>
      </c>
      <c r="C586" s="12" t="s">
        <v>50</v>
      </c>
      <c r="D586" s="12" t="s">
        <v>213</v>
      </c>
      <c r="E586" s="12" t="s">
        <v>65</v>
      </c>
      <c r="F586" s="13">
        <v>584.09</v>
      </c>
      <c r="G586" s="13">
        <v>43.63</v>
      </c>
      <c r="H586" s="13">
        <v>329.27</v>
      </c>
      <c r="I586" s="13">
        <v>3.6</v>
      </c>
      <c r="J586" s="13">
        <v>14</v>
      </c>
      <c r="K586" s="13">
        <v>376</v>
      </c>
      <c r="L586" s="12" t="s">
        <v>1810</v>
      </c>
      <c r="M586" s="12">
        <v>2.7</v>
      </c>
      <c r="N586" s="14">
        <v>45609</v>
      </c>
      <c r="O586" s="13">
        <v>5</v>
      </c>
      <c r="P586" s="12" t="s">
        <v>54</v>
      </c>
      <c r="Q586" s="12" t="s">
        <v>46</v>
      </c>
      <c r="R586" s="12" t="s">
        <v>47</v>
      </c>
      <c r="S586" s="12" t="b">
        <v>1</v>
      </c>
      <c r="T586" s="12" t="s">
        <v>33</v>
      </c>
      <c r="U586" s="15">
        <f t="shared" si="36"/>
        <v>254.83846700000001</v>
      </c>
      <c r="V586" s="15">
        <f t="shared" si="37"/>
        <v>233.636</v>
      </c>
      <c r="W586" s="15">
        <f t="shared" si="38"/>
        <v>49.390500000000003</v>
      </c>
      <c r="X586" s="15">
        <f t="shared" si="39"/>
        <v>46.243499999999997</v>
      </c>
    </row>
    <row r="587" spans="1:24">
      <c r="A587" s="12" t="s">
        <v>1811</v>
      </c>
      <c r="B587" s="12" t="s">
        <v>1812</v>
      </c>
      <c r="C587" s="12" t="s">
        <v>26</v>
      </c>
      <c r="D587" s="12" t="s">
        <v>313</v>
      </c>
      <c r="E587" s="12" t="s">
        <v>96</v>
      </c>
      <c r="F587" s="13">
        <v>23776.9</v>
      </c>
      <c r="G587" s="13">
        <v>11.6</v>
      </c>
      <c r="H587" s="13">
        <v>21019.38</v>
      </c>
      <c r="I587" s="13">
        <v>4</v>
      </c>
      <c r="J587" s="13">
        <v>3</v>
      </c>
      <c r="K587" s="13">
        <v>45</v>
      </c>
      <c r="L587" s="12" t="s">
        <v>1813</v>
      </c>
      <c r="M587" s="12">
        <v>4.2</v>
      </c>
      <c r="N587" s="14">
        <v>46073</v>
      </c>
      <c r="O587" s="13">
        <v>1</v>
      </c>
      <c r="P587" s="12" t="s">
        <v>30</v>
      </c>
      <c r="Q587" s="12" t="s">
        <v>31</v>
      </c>
      <c r="R587" s="12" t="s">
        <v>86</v>
      </c>
      <c r="S587" s="12" t="b">
        <v>0</v>
      </c>
      <c r="T587" s="12" t="s">
        <v>56</v>
      </c>
      <c r="U587" s="15">
        <f t="shared" si="36"/>
        <v>2758.1203999999998</v>
      </c>
      <c r="V587" s="15">
        <f t="shared" si="37"/>
        <v>9510.76</v>
      </c>
      <c r="W587" s="15">
        <f t="shared" si="38"/>
        <v>3152.9070000000002</v>
      </c>
      <c r="X587" s="15">
        <f t="shared" si="39"/>
        <v>8355.7129999999997</v>
      </c>
    </row>
    <row r="588" spans="1:24">
      <c r="A588" s="12" t="s">
        <v>1814</v>
      </c>
      <c r="B588" s="12" t="s">
        <v>1815</v>
      </c>
      <c r="C588" s="12" t="s">
        <v>59</v>
      </c>
      <c r="D588" s="12" t="s">
        <v>170</v>
      </c>
      <c r="E588" s="12" t="s">
        <v>70</v>
      </c>
      <c r="F588" s="13">
        <v>15255.16</v>
      </c>
      <c r="G588" s="13">
        <v>18.260000000000002</v>
      </c>
      <c r="H588" s="13">
        <v>12470</v>
      </c>
      <c r="I588" s="13">
        <v>4.2</v>
      </c>
      <c r="J588" s="13">
        <v>3</v>
      </c>
      <c r="K588" s="13">
        <v>335</v>
      </c>
      <c r="L588" s="12" t="s">
        <v>1816</v>
      </c>
      <c r="M588" s="12">
        <v>4.9000000000000004</v>
      </c>
      <c r="N588" s="14">
        <v>45810</v>
      </c>
      <c r="O588" s="13">
        <v>6</v>
      </c>
      <c r="P588" s="12" t="s">
        <v>30</v>
      </c>
      <c r="Q588" s="12" t="s">
        <v>55</v>
      </c>
      <c r="R588" s="12" t="s">
        <v>47</v>
      </c>
      <c r="S588" s="12" t="b">
        <v>0</v>
      </c>
      <c r="T588" s="12" t="s">
        <v>56</v>
      </c>
      <c r="U588" s="15">
        <f t="shared" si="36"/>
        <v>2785.592216</v>
      </c>
      <c r="V588" s="15">
        <f t="shared" si="37"/>
        <v>6102.0640000000003</v>
      </c>
      <c r="W588" s="15">
        <f t="shared" si="38"/>
        <v>1870.5</v>
      </c>
      <c r="X588" s="15">
        <f t="shared" si="39"/>
        <v>4497.4359999999997</v>
      </c>
    </row>
    <row r="589" spans="1:24">
      <c r="A589" s="12" t="s">
        <v>1817</v>
      </c>
      <c r="B589" s="12" t="s">
        <v>1818</v>
      </c>
      <c r="C589" s="12" t="s">
        <v>36</v>
      </c>
      <c r="D589" s="12" t="s">
        <v>37</v>
      </c>
      <c r="E589" s="12" t="s">
        <v>65</v>
      </c>
      <c r="F589" s="13">
        <v>2745.2</v>
      </c>
      <c r="G589" s="13">
        <v>21.03</v>
      </c>
      <c r="H589" s="13">
        <v>2167.92</v>
      </c>
      <c r="I589" s="13">
        <v>4.0999999999999996</v>
      </c>
      <c r="J589" s="13">
        <v>121</v>
      </c>
      <c r="K589" s="13">
        <v>473</v>
      </c>
      <c r="L589" s="12" t="s">
        <v>1819</v>
      </c>
      <c r="M589" s="12">
        <v>4.4000000000000004</v>
      </c>
      <c r="N589" s="14">
        <v>46040</v>
      </c>
      <c r="O589" s="13">
        <v>4</v>
      </c>
      <c r="P589" s="12" t="s">
        <v>54</v>
      </c>
      <c r="Q589" s="12" t="s">
        <v>46</v>
      </c>
      <c r="R589" s="12" t="s">
        <v>72</v>
      </c>
      <c r="S589" s="12" t="b">
        <v>0</v>
      </c>
      <c r="T589" s="12" t="s">
        <v>78</v>
      </c>
      <c r="U589" s="15">
        <f t="shared" si="36"/>
        <v>577.31556</v>
      </c>
      <c r="V589" s="15">
        <f t="shared" si="37"/>
        <v>1098.08</v>
      </c>
      <c r="W589" s="15">
        <f t="shared" si="38"/>
        <v>325.18799999999999</v>
      </c>
      <c r="X589" s="15">
        <f t="shared" si="39"/>
        <v>744.65200000000004</v>
      </c>
    </row>
    <row r="590" spans="1:24">
      <c r="A590" s="12" t="s">
        <v>1820</v>
      </c>
      <c r="B590" s="12" t="s">
        <v>1821</v>
      </c>
      <c r="C590" s="12" t="s">
        <v>26</v>
      </c>
      <c r="D590" s="12" t="s">
        <v>27</v>
      </c>
      <c r="E590" s="12" t="s">
        <v>28</v>
      </c>
      <c r="F590" s="13">
        <v>46232.34</v>
      </c>
      <c r="G590" s="13">
        <v>33.9</v>
      </c>
      <c r="H590" s="13">
        <v>30561.37</v>
      </c>
      <c r="I590" s="13">
        <v>4.2</v>
      </c>
      <c r="J590" s="13">
        <v>11</v>
      </c>
      <c r="K590" s="13">
        <v>474</v>
      </c>
      <c r="L590" s="12" t="s">
        <v>1822</v>
      </c>
      <c r="M590" s="12">
        <v>4.9000000000000004</v>
      </c>
      <c r="N590" s="14">
        <v>46085</v>
      </c>
      <c r="O590" s="13">
        <v>2</v>
      </c>
      <c r="P590" s="12" t="s">
        <v>40</v>
      </c>
      <c r="Q590" s="12" t="s">
        <v>55</v>
      </c>
      <c r="R590" s="12" t="s">
        <v>32</v>
      </c>
      <c r="S590" s="12" t="b">
        <v>0</v>
      </c>
      <c r="T590" s="12" t="s">
        <v>56</v>
      </c>
      <c r="U590" s="15">
        <f t="shared" si="36"/>
        <v>15672.76326</v>
      </c>
      <c r="V590" s="15">
        <f t="shared" si="37"/>
        <v>18492.936000000002</v>
      </c>
      <c r="W590" s="15">
        <f t="shared" si="38"/>
        <v>4584.2055</v>
      </c>
      <c r="X590" s="15">
        <f t="shared" si="39"/>
        <v>7484.2285000000002</v>
      </c>
    </row>
    <row r="591" spans="1:24">
      <c r="A591" s="12" t="s">
        <v>1823</v>
      </c>
      <c r="B591" s="12" t="s">
        <v>1824</v>
      </c>
      <c r="C591" s="12" t="s">
        <v>26</v>
      </c>
      <c r="D591" s="12" t="s">
        <v>313</v>
      </c>
      <c r="E591" s="12" t="s">
        <v>235</v>
      </c>
      <c r="F591" s="13">
        <v>60467.24</v>
      </c>
      <c r="G591" s="13">
        <v>6.72</v>
      </c>
      <c r="H591" s="13">
        <v>56403.72</v>
      </c>
      <c r="I591" s="13">
        <v>4.7</v>
      </c>
      <c r="J591" s="13">
        <v>11</v>
      </c>
      <c r="K591" s="13">
        <v>107</v>
      </c>
      <c r="L591" s="12" t="s">
        <v>1825</v>
      </c>
      <c r="M591" s="12">
        <v>3.5</v>
      </c>
      <c r="N591" s="14">
        <v>45640</v>
      </c>
      <c r="O591" s="13">
        <v>6</v>
      </c>
      <c r="P591" s="12" t="s">
        <v>117</v>
      </c>
      <c r="Q591" s="12" t="s">
        <v>46</v>
      </c>
      <c r="R591" s="12" t="s">
        <v>47</v>
      </c>
      <c r="S591" s="12" t="b">
        <v>0</v>
      </c>
      <c r="T591" s="12" t="s">
        <v>62</v>
      </c>
      <c r="U591" s="15">
        <f t="shared" si="36"/>
        <v>4063.3985280000002</v>
      </c>
      <c r="V591" s="15">
        <f t="shared" si="37"/>
        <v>24186.896000000001</v>
      </c>
      <c r="W591" s="15">
        <f t="shared" si="38"/>
        <v>8460.5580000000009</v>
      </c>
      <c r="X591" s="15">
        <f t="shared" si="39"/>
        <v>23756.266</v>
      </c>
    </row>
    <row r="592" spans="1:24">
      <c r="A592" s="12" t="s">
        <v>1826</v>
      </c>
      <c r="B592" s="12" t="s">
        <v>1827</v>
      </c>
      <c r="C592" s="12" t="s">
        <v>36</v>
      </c>
      <c r="D592" s="12" t="s">
        <v>37</v>
      </c>
      <c r="E592" s="12" t="s">
        <v>131</v>
      </c>
      <c r="F592" s="13">
        <v>4153.97</v>
      </c>
      <c r="G592" s="13">
        <v>46.43</v>
      </c>
      <c r="H592" s="13">
        <v>2225.11</v>
      </c>
      <c r="I592" s="13">
        <v>4.3</v>
      </c>
      <c r="J592" s="13">
        <v>229</v>
      </c>
      <c r="K592" s="13">
        <v>355</v>
      </c>
      <c r="L592" s="12" t="s">
        <v>1828</v>
      </c>
      <c r="M592" s="12">
        <v>3</v>
      </c>
      <c r="N592" s="14">
        <v>45612</v>
      </c>
      <c r="O592" s="13">
        <v>1</v>
      </c>
      <c r="P592" s="12" t="s">
        <v>117</v>
      </c>
      <c r="Q592" s="12" t="s">
        <v>55</v>
      </c>
      <c r="R592" s="12" t="s">
        <v>32</v>
      </c>
      <c r="S592" s="12" t="b">
        <v>0</v>
      </c>
      <c r="T592" s="12" t="s">
        <v>56</v>
      </c>
      <c r="U592" s="15">
        <f t="shared" si="36"/>
        <v>1928.688271</v>
      </c>
      <c r="V592" s="15">
        <f t="shared" si="37"/>
        <v>1661.588</v>
      </c>
      <c r="W592" s="15">
        <f t="shared" si="38"/>
        <v>333.76650000000001</v>
      </c>
      <c r="X592" s="15">
        <f t="shared" si="39"/>
        <v>229.75550000000001</v>
      </c>
    </row>
    <row r="593" spans="1:24">
      <c r="A593" s="12" t="s">
        <v>1829</v>
      </c>
      <c r="B593" s="12" t="s">
        <v>1830</v>
      </c>
      <c r="C593" s="12" t="s">
        <v>75</v>
      </c>
      <c r="D593" s="12" t="s">
        <v>135</v>
      </c>
      <c r="E593" s="12" t="s">
        <v>52</v>
      </c>
      <c r="F593" s="13">
        <v>2636.25</v>
      </c>
      <c r="G593" s="13">
        <v>56.92</v>
      </c>
      <c r="H593" s="13">
        <v>1135.8</v>
      </c>
      <c r="I593" s="13">
        <v>3.5</v>
      </c>
      <c r="J593" s="13">
        <v>23</v>
      </c>
      <c r="K593" s="13">
        <v>138</v>
      </c>
      <c r="L593" s="12" t="s">
        <v>1831</v>
      </c>
      <c r="M593" s="12">
        <v>4.3</v>
      </c>
      <c r="N593" s="14">
        <v>45622</v>
      </c>
      <c r="O593" s="13">
        <v>1</v>
      </c>
      <c r="P593" s="12" t="s">
        <v>54</v>
      </c>
      <c r="Q593" s="12" t="s">
        <v>55</v>
      </c>
      <c r="R593" s="12" t="s">
        <v>32</v>
      </c>
      <c r="S593" s="12" t="b">
        <v>0</v>
      </c>
      <c r="T593" s="12" t="s">
        <v>78</v>
      </c>
      <c r="U593" s="15">
        <f t="shared" si="36"/>
        <v>1500.5535</v>
      </c>
      <c r="V593" s="15">
        <f t="shared" si="37"/>
        <v>1054.5</v>
      </c>
      <c r="W593" s="15">
        <f t="shared" si="38"/>
        <v>170.37</v>
      </c>
      <c r="X593" s="15">
        <f t="shared" si="39"/>
        <v>-89.07</v>
      </c>
    </row>
    <row r="594" spans="1:24">
      <c r="A594" s="12" t="s">
        <v>1832</v>
      </c>
      <c r="B594" s="12" t="s">
        <v>1833</v>
      </c>
      <c r="C594" s="12" t="s">
        <v>50</v>
      </c>
      <c r="D594" s="12" t="s">
        <v>213</v>
      </c>
      <c r="E594" s="12" t="s">
        <v>52</v>
      </c>
      <c r="F594" s="13">
        <v>3682.25</v>
      </c>
      <c r="G594" s="13">
        <v>23.29</v>
      </c>
      <c r="H594" s="13">
        <v>2824.78</v>
      </c>
      <c r="I594" s="13">
        <v>5</v>
      </c>
      <c r="J594" s="13">
        <v>6</v>
      </c>
      <c r="K594" s="13">
        <v>149</v>
      </c>
      <c r="L594" s="12" t="s">
        <v>1834</v>
      </c>
      <c r="M594" s="12">
        <v>3.2</v>
      </c>
      <c r="N594" s="14">
        <v>45645</v>
      </c>
      <c r="O594" s="13">
        <v>4</v>
      </c>
      <c r="P594" s="12" t="s">
        <v>30</v>
      </c>
      <c r="Q594" s="12" t="s">
        <v>46</v>
      </c>
      <c r="R594" s="12" t="s">
        <v>86</v>
      </c>
      <c r="S594" s="12" t="b">
        <v>0</v>
      </c>
      <c r="T594" s="12" t="s">
        <v>62</v>
      </c>
      <c r="U594" s="15">
        <f t="shared" si="36"/>
        <v>857.59602500000005</v>
      </c>
      <c r="V594" s="15">
        <f t="shared" si="37"/>
        <v>1472.9</v>
      </c>
      <c r="W594" s="15">
        <f t="shared" si="38"/>
        <v>423.71699999999998</v>
      </c>
      <c r="X594" s="15">
        <f t="shared" si="39"/>
        <v>928.16300000000001</v>
      </c>
    </row>
    <row r="595" spans="1:24">
      <c r="A595" s="12" t="s">
        <v>1835</v>
      </c>
      <c r="B595" s="12" t="s">
        <v>1836</v>
      </c>
      <c r="C595" s="12" t="s">
        <v>26</v>
      </c>
      <c r="D595" s="12" t="s">
        <v>313</v>
      </c>
      <c r="E595" s="12" t="s">
        <v>235</v>
      </c>
      <c r="F595" s="13">
        <v>10333.299999999999</v>
      </c>
      <c r="G595" s="13">
        <v>24.23</v>
      </c>
      <c r="H595" s="13">
        <v>7829.91</v>
      </c>
      <c r="I595" s="13">
        <v>3.9</v>
      </c>
      <c r="J595" s="13">
        <v>9</v>
      </c>
      <c r="K595" s="13">
        <v>95</v>
      </c>
      <c r="L595" s="12" t="s">
        <v>1837</v>
      </c>
      <c r="M595" s="12">
        <v>3.6</v>
      </c>
      <c r="N595" s="14">
        <v>45405</v>
      </c>
      <c r="O595" s="13">
        <v>5</v>
      </c>
      <c r="P595" s="12" t="s">
        <v>45</v>
      </c>
      <c r="Q595" s="12" t="s">
        <v>31</v>
      </c>
      <c r="R595" s="12" t="s">
        <v>86</v>
      </c>
      <c r="S595" s="12" t="b">
        <v>1</v>
      </c>
      <c r="T595" s="12" t="s">
        <v>33</v>
      </c>
      <c r="U595" s="15">
        <f t="shared" si="36"/>
        <v>2503.7585899999999</v>
      </c>
      <c r="V595" s="15">
        <f t="shared" si="37"/>
        <v>4133.32</v>
      </c>
      <c r="W595" s="15">
        <f t="shared" si="38"/>
        <v>1174.4865</v>
      </c>
      <c r="X595" s="15">
        <f t="shared" si="39"/>
        <v>2522.1035000000002</v>
      </c>
    </row>
    <row r="596" spans="1:24">
      <c r="A596" s="12" t="s">
        <v>1838</v>
      </c>
      <c r="B596" s="12" t="s">
        <v>1839</v>
      </c>
      <c r="C596" s="12" t="s">
        <v>36</v>
      </c>
      <c r="D596" s="12" t="s">
        <v>108</v>
      </c>
      <c r="E596" s="12" t="s">
        <v>38</v>
      </c>
      <c r="F596" s="13">
        <v>4381.1899999999996</v>
      </c>
      <c r="G596" s="13">
        <v>23.48</v>
      </c>
      <c r="H596" s="13">
        <v>3352.62</v>
      </c>
      <c r="I596" s="13">
        <v>4.3</v>
      </c>
      <c r="J596" s="13">
        <v>30</v>
      </c>
      <c r="K596" s="13">
        <v>156</v>
      </c>
      <c r="L596" s="12" t="s">
        <v>1840</v>
      </c>
      <c r="M596" s="12">
        <v>3.5</v>
      </c>
      <c r="N596" s="14">
        <v>45668</v>
      </c>
      <c r="O596" s="13">
        <v>1</v>
      </c>
      <c r="P596" s="12" t="s">
        <v>40</v>
      </c>
      <c r="Q596" s="12" t="s">
        <v>55</v>
      </c>
      <c r="R596" s="12" t="s">
        <v>86</v>
      </c>
      <c r="S596" s="12" t="b">
        <v>0</v>
      </c>
      <c r="T596" s="12" t="s">
        <v>62</v>
      </c>
      <c r="U596" s="15">
        <f t="shared" si="36"/>
        <v>1028.7034120000001</v>
      </c>
      <c r="V596" s="15">
        <f t="shared" si="37"/>
        <v>1752.4760000000001</v>
      </c>
      <c r="W596" s="15">
        <f t="shared" si="38"/>
        <v>502.89299999999997</v>
      </c>
      <c r="X596" s="15">
        <f t="shared" si="39"/>
        <v>1097.251</v>
      </c>
    </row>
    <row r="597" spans="1:24">
      <c r="A597" s="12" t="s">
        <v>1841</v>
      </c>
      <c r="B597" s="12" t="s">
        <v>1842</v>
      </c>
      <c r="C597" s="12" t="s">
        <v>75</v>
      </c>
      <c r="D597" s="12" t="s">
        <v>135</v>
      </c>
      <c r="E597" s="12" t="s">
        <v>112</v>
      </c>
      <c r="F597" s="13">
        <v>3135.03</v>
      </c>
      <c r="G597" s="13">
        <v>53.76</v>
      </c>
      <c r="H597" s="13">
        <v>1449.48</v>
      </c>
      <c r="I597" s="13">
        <v>2.8</v>
      </c>
      <c r="J597" s="13">
        <v>46</v>
      </c>
      <c r="K597" s="13">
        <v>154</v>
      </c>
      <c r="L597" s="12" t="s">
        <v>1843</v>
      </c>
      <c r="M597" s="12">
        <v>4.4000000000000004</v>
      </c>
      <c r="N597" s="14">
        <v>45905</v>
      </c>
      <c r="O597" s="13">
        <v>3</v>
      </c>
      <c r="P597" s="12" t="s">
        <v>30</v>
      </c>
      <c r="Q597" s="12" t="s">
        <v>31</v>
      </c>
      <c r="R597" s="12" t="s">
        <v>72</v>
      </c>
      <c r="S597" s="12" t="b">
        <v>0</v>
      </c>
      <c r="T597" s="12" t="s">
        <v>78</v>
      </c>
      <c r="U597" s="15">
        <f t="shared" si="36"/>
        <v>1685.392128</v>
      </c>
      <c r="V597" s="15">
        <f t="shared" si="37"/>
        <v>1254.0119999999999</v>
      </c>
      <c r="W597" s="15">
        <f t="shared" si="38"/>
        <v>217.422</v>
      </c>
      <c r="X597" s="15">
        <f t="shared" si="39"/>
        <v>-21.9540000000001</v>
      </c>
    </row>
    <row r="598" spans="1:24">
      <c r="A598" s="12" t="s">
        <v>1844</v>
      </c>
      <c r="B598" s="12" t="s">
        <v>1845</v>
      </c>
      <c r="C598" s="12" t="s">
        <v>59</v>
      </c>
      <c r="D598" s="12" t="s">
        <v>170</v>
      </c>
      <c r="E598" s="12" t="s">
        <v>38</v>
      </c>
      <c r="F598" s="13">
        <v>7308.01</v>
      </c>
      <c r="G598" s="13">
        <v>10.86</v>
      </c>
      <c r="H598" s="13">
        <v>6514.05</v>
      </c>
      <c r="I598" s="13">
        <v>4.4000000000000004</v>
      </c>
      <c r="J598" s="13">
        <v>11</v>
      </c>
      <c r="K598" s="13">
        <v>77</v>
      </c>
      <c r="L598" s="12" t="s">
        <v>1846</v>
      </c>
      <c r="M598" s="12">
        <v>4.5999999999999996</v>
      </c>
      <c r="N598" s="14">
        <v>45669</v>
      </c>
      <c r="O598" s="13">
        <v>5</v>
      </c>
      <c r="P598" s="12" t="s">
        <v>45</v>
      </c>
      <c r="Q598" s="12" t="s">
        <v>55</v>
      </c>
      <c r="R598" s="12" t="s">
        <v>47</v>
      </c>
      <c r="S598" s="12" t="b">
        <v>1</v>
      </c>
      <c r="T598" s="12" t="s">
        <v>33</v>
      </c>
      <c r="U598" s="15">
        <f t="shared" si="36"/>
        <v>793.64988600000004</v>
      </c>
      <c r="V598" s="15">
        <f t="shared" si="37"/>
        <v>2923.2040000000002</v>
      </c>
      <c r="W598" s="15">
        <f t="shared" si="38"/>
        <v>977.10749999999996</v>
      </c>
      <c r="X598" s="15">
        <f t="shared" si="39"/>
        <v>2613.7384999999999</v>
      </c>
    </row>
    <row r="599" spans="1:24">
      <c r="A599" s="12" t="s">
        <v>1847</v>
      </c>
      <c r="B599" s="12" t="s">
        <v>1848</v>
      </c>
      <c r="C599" s="12" t="s">
        <v>26</v>
      </c>
      <c r="D599" s="12" t="s">
        <v>148</v>
      </c>
      <c r="E599" s="12" t="s">
        <v>131</v>
      </c>
      <c r="F599" s="13">
        <v>47849.98</v>
      </c>
      <c r="G599" s="13">
        <v>14.14</v>
      </c>
      <c r="H599" s="13">
        <v>41085.910000000003</v>
      </c>
      <c r="I599" s="13">
        <v>4.5</v>
      </c>
      <c r="J599" s="13">
        <v>33</v>
      </c>
      <c r="K599" s="13">
        <v>116</v>
      </c>
      <c r="L599" s="12" t="s">
        <v>1849</v>
      </c>
      <c r="M599" s="12">
        <v>4.2</v>
      </c>
      <c r="N599" s="14">
        <v>45577</v>
      </c>
      <c r="O599" s="13">
        <v>3</v>
      </c>
      <c r="P599" s="12" t="s">
        <v>45</v>
      </c>
      <c r="Q599" s="12" t="s">
        <v>46</v>
      </c>
      <c r="R599" s="12" t="s">
        <v>47</v>
      </c>
      <c r="S599" s="12" t="b">
        <v>0</v>
      </c>
      <c r="T599" s="12" t="s">
        <v>56</v>
      </c>
      <c r="U599" s="15">
        <f t="shared" si="36"/>
        <v>6765.9871720000001</v>
      </c>
      <c r="V599" s="15">
        <f t="shared" si="37"/>
        <v>19139.991999999998</v>
      </c>
      <c r="W599" s="15">
        <f t="shared" si="38"/>
        <v>6162.8864999999996</v>
      </c>
      <c r="X599" s="15">
        <f t="shared" si="39"/>
        <v>15783.031499999999</v>
      </c>
    </row>
    <row r="600" spans="1:24">
      <c r="A600" s="12" t="s">
        <v>1850</v>
      </c>
      <c r="B600" s="12" t="s">
        <v>1851</v>
      </c>
      <c r="C600" s="12" t="s">
        <v>59</v>
      </c>
      <c r="D600" s="12" t="s">
        <v>60</v>
      </c>
      <c r="E600" s="12" t="s">
        <v>112</v>
      </c>
      <c r="F600" s="13">
        <v>7682.49</v>
      </c>
      <c r="G600" s="13">
        <v>40.56</v>
      </c>
      <c r="H600" s="13">
        <v>4566.79</v>
      </c>
      <c r="I600" s="13">
        <v>4.2</v>
      </c>
      <c r="J600" s="13">
        <v>6</v>
      </c>
      <c r="K600" s="13">
        <v>105</v>
      </c>
      <c r="L600" s="12" t="s">
        <v>1852</v>
      </c>
      <c r="M600" s="12">
        <v>3.7</v>
      </c>
      <c r="N600" s="14">
        <v>45526</v>
      </c>
      <c r="O600" s="13">
        <v>6</v>
      </c>
      <c r="P600" s="12" t="s">
        <v>117</v>
      </c>
      <c r="Q600" s="12" t="s">
        <v>31</v>
      </c>
      <c r="R600" s="12" t="s">
        <v>47</v>
      </c>
      <c r="S600" s="12" t="b">
        <v>0</v>
      </c>
      <c r="T600" s="12" t="s">
        <v>78</v>
      </c>
      <c r="U600" s="15">
        <f t="shared" si="36"/>
        <v>3116.0179440000002</v>
      </c>
      <c r="V600" s="15">
        <f t="shared" si="37"/>
        <v>3072.9960000000001</v>
      </c>
      <c r="W600" s="15">
        <f t="shared" si="38"/>
        <v>685.01850000000002</v>
      </c>
      <c r="X600" s="15">
        <f t="shared" si="39"/>
        <v>808.77549999999997</v>
      </c>
    </row>
    <row r="601" spans="1:24">
      <c r="A601" s="12" t="s">
        <v>1853</v>
      </c>
      <c r="B601" s="12" t="s">
        <v>1854</v>
      </c>
      <c r="C601" s="12" t="s">
        <v>59</v>
      </c>
      <c r="D601" s="12" t="s">
        <v>60</v>
      </c>
      <c r="E601" s="12" t="s">
        <v>28</v>
      </c>
      <c r="F601" s="13">
        <v>12590.82</v>
      </c>
      <c r="G601" s="13">
        <v>6.12</v>
      </c>
      <c r="H601" s="13">
        <v>11820.43</v>
      </c>
      <c r="I601" s="13">
        <v>4.5</v>
      </c>
      <c r="J601" s="13">
        <v>15</v>
      </c>
      <c r="K601" s="13">
        <v>465</v>
      </c>
      <c r="L601" s="12" t="s">
        <v>1855</v>
      </c>
      <c r="M601" s="12">
        <v>3.9</v>
      </c>
      <c r="N601" s="14">
        <v>46106</v>
      </c>
      <c r="O601" s="13">
        <v>1</v>
      </c>
      <c r="P601" s="12" t="s">
        <v>45</v>
      </c>
      <c r="Q601" s="12" t="s">
        <v>31</v>
      </c>
      <c r="R601" s="12" t="s">
        <v>47</v>
      </c>
      <c r="S601" s="12" t="b">
        <v>0</v>
      </c>
      <c r="T601" s="12" t="s">
        <v>56</v>
      </c>
      <c r="U601" s="15">
        <f t="shared" si="36"/>
        <v>770.55818399999998</v>
      </c>
      <c r="V601" s="15">
        <f t="shared" si="37"/>
        <v>5036.3280000000004</v>
      </c>
      <c r="W601" s="15">
        <f t="shared" si="38"/>
        <v>1773.0645</v>
      </c>
      <c r="X601" s="15">
        <f t="shared" si="39"/>
        <v>5011.0375000000004</v>
      </c>
    </row>
    <row r="602" spans="1:24">
      <c r="A602" s="12" t="s">
        <v>1856</v>
      </c>
      <c r="B602" s="12" t="s">
        <v>1857</v>
      </c>
      <c r="C602" s="12" t="s">
        <v>26</v>
      </c>
      <c r="D602" s="12" t="s">
        <v>27</v>
      </c>
      <c r="E602" s="12" t="s">
        <v>92</v>
      </c>
      <c r="F602" s="13">
        <v>54609.97</v>
      </c>
      <c r="G602" s="13">
        <v>33.83</v>
      </c>
      <c r="H602" s="13">
        <v>36134.839999999997</v>
      </c>
      <c r="I602" s="13">
        <v>4.2</v>
      </c>
      <c r="J602" s="13">
        <v>59</v>
      </c>
      <c r="K602" s="13">
        <v>372</v>
      </c>
      <c r="L602" s="12" t="s">
        <v>1140</v>
      </c>
      <c r="M602" s="12">
        <v>3.1</v>
      </c>
      <c r="N602" s="14">
        <v>45827</v>
      </c>
      <c r="O602" s="13">
        <v>3</v>
      </c>
      <c r="P602" s="12" t="s">
        <v>30</v>
      </c>
      <c r="Q602" s="12" t="s">
        <v>55</v>
      </c>
      <c r="R602" s="12" t="s">
        <v>86</v>
      </c>
      <c r="S602" s="12" t="b">
        <v>0</v>
      </c>
      <c r="T602" s="12" t="s">
        <v>56</v>
      </c>
      <c r="U602" s="15">
        <f t="shared" si="36"/>
        <v>18474.552851</v>
      </c>
      <c r="V602" s="15">
        <f t="shared" si="37"/>
        <v>21843.988000000001</v>
      </c>
      <c r="W602" s="15">
        <f t="shared" si="38"/>
        <v>5420.2259999999997</v>
      </c>
      <c r="X602" s="15">
        <f t="shared" si="39"/>
        <v>8870.6260000000002</v>
      </c>
    </row>
    <row r="603" spans="1:24">
      <c r="A603" s="12" t="s">
        <v>1858</v>
      </c>
      <c r="B603" s="12" t="s">
        <v>1859</v>
      </c>
      <c r="C603" s="12" t="s">
        <v>59</v>
      </c>
      <c r="D603" s="12" t="s">
        <v>170</v>
      </c>
      <c r="E603" s="12" t="s">
        <v>28</v>
      </c>
      <c r="F603" s="13">
        <v>17849.98</v>
      </c>
      <c r="G603" s="13">
        <v>6.58</v>
      </c>
      <c r="H603" s="13">
        <v>16675.080000000002</v>
      </c>
      <c r="I603" s="13">
        <v>4.7</v>
      </c>
      <c r="J603" s="13">
        <v>28</v>
      </c>
      <c r="K603" s="13">
        <v>54</v>
      </c>
      <c r="L603" s="12" t="s">
        <v>1860</v>
      </c>
      <c r="M603" s="12">
        <v>4.5999999999999996</v>
      </c>
      <c r="N603" s="14">
        <v>45686</v>
      </c>
      <c r="O603" s="13">
        <v>5</v>
      </c>
      <c r="P603" s="12" t="s">
        <v>30</v>
      </c>
      <c r="Q603" s="12" t="s">
        <v>46</v>
      </c>
      <c r="R603" s="12" t="s">
        <v>32</v>
      </c>
      <c r="S603" s="12" t="b">
        <v>0</v>
      </c>
      <c r="T603" s="12" t="s">
        <v>62</v>
      </c>
      <c r="U603" s="15">
        <f t="shared" si="36"/>
        <v>1174.5286840000001</v>
      </c>
      <c r="V603" s="15">
        <f t="shared" si="37"/>
        <v>7139.9920000000002</v>
      </c>
      <c r="W603" s="15">
        <f t="shared" si="38"/>
        <v>2501.2620000000002</v>
      </c>
      <c r="X603" s="15">
        <f t="shared" si="39"/>
        <v>7033.826</v>
      </c>
    </row>
    <row r="604" spans="1:24">
      <c r="A604" s="12" t="s">
        <v>1861</v>
      </c>
      <c r="B604" s="12" t="s">
        <v>1862</v>
      </c>
      <c r="C604" s="12" t="s">
        <v>36</v>
      </c>
      <c r="D604" s="12" t="s">
        <v>37</v>
      </c>
      <c r="E604" s="12" t="s">
        <v>65</v>
      </c>
      <c r="F604" s="13">
        <v>2747.63</v>
      </c>
      <c r="G604" s="13">
        <v>34.9</v>
      </c>
      <c r="H604" s="13">
        <v>1788.7</v>
      </c>
      <c r="I604" s="13">
        <v>3.4</v>
      </c>
      <c r="J604" s="13">
        <v>35</v>
      </c>
      <c r="K604" s="13">
        <v>305</v>
      </c>
      <c r="L604" s="12" t="s">
        <v>1863</v>
      </c>
      <c r="M604" s="12">
        <v>4.8</v>
      </c>
      <c r="N604" s="14">
        <v>45613</v>
      </c>
      <c r="O604" s="13">
        <v>5</v>
      </c>
      <c r="P604" s="12" t="s">
        <v>45</v>
      </c>
      <c r="Q604" s="12" t="s">
        <v>46</v>
      </c>
      <c r="R604" s="12" t="s">
        <v>32</v>
      </c>
      <c r="S604" s="12" t="b">
        <v>0</v>
      </c>
      <c r="T604" s="12" t="s">
        <v>56</v>
      </c>
      <c r="U604" s="15">
        <f t="shared" si="36"/>
        <v>958.92286999999999</v>
      </c>
      <c r="V604" s="15">
        <f t="shared" si="37"/>
        <v>1099.0519999999999</v>
      </c>
      <c r="W604" s="15">
        <f t="shared" si="38"/>
        <v>268.30500000000001</v>
      </c>
      <c r="X604" s="15">
        <f t="shared" si="39"/>
        <v>421.34300000000002</v>
      </c>
    </row>
    <row r="605" spans="1:24">
      <c r="A605" s="12" t="s">
        <v>1864</v>
      </c>
      <c r="B605" s="12" t="s">
        <v>1865</v>
      </c>
      <c r="C605" s="12" t="s">
        <v>26</v>
      </c>
      <c r="D605" s="12" t="s">
        <v>148</v>
      </c>
      <c r="E605" s="12" t="s">
        <v>92</v>
      </c>
      <c r="F605" s="13">
        <v>17831.45</v>
      </c>
      <c r="G605" s="13">
        <v>39.81</v>
      </c>
      <c r="H605" s="13">
        <v>10732.79</v>
      </c>
      <c r="I605" s="13">
        <v>3.7</v>
      </c>
      <c r="J605" s="13">
        <v>24</v>
      </c>
      <c r="K605" s="13">
        <v>240</v>
      </c>
      <c r="L605" s="12" t="s">
        <v>1866</v>
      </c>
      <c r="M605" s="12">
        <v>3.2</v>
      </c>
      <c r="N605" s="14">
        <v>45555</v>
      </c>
      <c r="O605" s="13">
        <v>3</v>
      </c>
      <c r="P605" s="12" t="s">
        <v>45</v>
      </c>
      <c r="Q605" s="12" t="s">
        <v>46</v>
      </c>
      <c r="R605" s="12" t="s">
        <v>86</v>
      </c>
      <c r="S605" s="12" t="b">
        <v>0</v>
      </c>
      <c r="T605" s="12" t="s">
        <v>56</v>
      </c>
      <c r="U605" s="15">
        <f t="shared" si="36"/>
        <v>7098.700245</v>
      </c>
      <c r="V605" s="15">
        <f t="shared" si="37"/>
        <v>7132.58</v>
      </c>
      <c r="W605" s="15">
        <f t="shared" si="38"/>
        <v>1609.9185</v>
      </c>
      <c r="X605" s="15">
        <f t="shared" si="39"/>
        <v>1990.2915</v>
      </c>
    </row>
    <row r="606" spans="1:24">
      <c r="A606" s="12" t="s">
        <v>1867</v>
      </c>
      <c r="B606" s="12" t="s">
        <v>1868</v>
      </c>
      <c r="C606" s="12" t="s">
        <v>50</v>
      </c>
      <c r="D606" s="12" t="s">
        <v>130</v>
      </c>
      <c r="E606" s="12" t="s">
        <v>92</v>
      </c>
      <c r="F606" s="13">
        <v>206.86</v>
      </c>
      <c r="G606" s="13">
        <v>42.66</v>
      </c>
      <c r="H606" s="13">
        <v>118.62</v>
      </c>
      <c r="I606" s="13">
        <v>3.3</v>
      </c>
      <c r="J606" s="13">
        <v>7</v>
      </c>
      <c r="K606" s="13">
        <v>209</v>
      </c>
      <c r="L606" s="12" t="s">
        <v>1869</v>
      </c>
      <c r="M606" s="12">
        <v>2.7</v>
      </c>
      <c r="N606" s="14">
        <v>45544</v>
      </c>
      <c r="O606" s="13">
        <v>2</v>
      </c>
      <c r="P606" s="12" t="s">
        <v>54</v>
      </c>
      <c r="Q606" s="12" t="s">
        <v>55</v>
      </c>
      <c r="R606" s="12" t="s">
        <v>86</v>
      </c>
      <c r="S606" s="12" t="b">
        <v>0</v>
      </c>
      <c r="T606" s="12" t="s">
        <v>78</v>
      </c>
      <c r="U606" s="15">
        <f t="shared" si="36"/>
        <v>88.246476000000001</v>
      </c>
      <c r="V606" s="15">
        <f t="shared" si="37"/>
        <v>82.744</v>
      </c>
      <c r="W606" s="15">
        <f t="shared" si="38"/>
        <v>17.792999999999999</v>
      </c>
      <c r="X606" s="15">
        <f t="shared" si="39"/>
        <v>18.082999999999998</v>
      </c>
    </row>
    <row r="607" spans="1:24">
      <c r="A607" s="12" t="s">
        <v>1870</v>
      </c>
      <c r="B607" s="12" t="s">
        <v>1871</v>
      </c>
      <c r="C607" s="12" t="s">
        <v>75</v>
      </c>
      <c r="D607" s="12" t="s">
        <v>135</v>
      </c>
      <c r="E607" s="12" t="s">
        <v>84</v>
      </c>
      <c r="F607" s="13">
        <v>2948.13</v>
      </c>
      <c r="G607" s="13">
        <v>25.86</v>
      </c>
      <c r="H607" s="13">
        <v>2185.8000000000002</v>
      </c>
      <c r="I607" s="13">
        <v>3.9</v>
      </c>
      <c r="J607" s="13">
        <v>3</v>
      </c>
      <c r="K607" s="13">
        <v>250</v>
      </c>
      <c r="L607" s="12" t="s">
        <v>1872</v>
      </c>
      <c r="M607" s="12">
        <v>2.9</v>
      </c>
      <c r="N607" s="14">
        <v>45963</v>
      </c>
      <c r="O607" s="13">
        <v>3</v>
      </c>
      <c r="P607" s="12" t="s">
        <v>54</v>
      </c>
      <c r="Q607" s="12" t="s">
        <v>55</v>
      </c>
      <c r="R607" s="12" t="s">
        <v>47</v>
      </c>
      <c r="S607" s="12" t="b">
        <v>0</v>
      </c>
      <c r="T607" s="12" t="s">
        <v>56</v>
      </c>
      <c r="U607" s="15">
        <f t="shared" si="36"/>
        <v>762.38641800000005</v>
      </c>
      <c r="V607" s="15">
        <f t="shared" si="37"/>
        <v>1179.252</v>
      </c>
      <c r="W607" s="15">
        <f t="shared" si="38"/>
        <v>327.87</v>
      </c>
      <c r="X607" s="15">
        <f t="shared" si="39"/>
        <v>678.678</v>
      </c>
    </row>
    <row r="608" spans="1:24">
      <c r="A608" s="12" t="s">
        <v>1873</v>
      </c>
      <c r="B608" s="12" t="s">
        <v>1874</v>
      </c>
      <c r="C608" s="12" t="s">
        <v>50</v>
      </c>
      <c r="D608" s="12" t="s">
        <v>130</v>
      </c>
      <c r="E608" s="12" t="s">
        <v>65</v>
      </c>
      <c r="F608" s="13">
        <v>2376.4</v>
      </c>
      <c r="G608" s="13">
        <v>7.46</v>
      </c>
      <c r="H608" s="13">
        <v>2199.04</v>
      </c>
      <c r="I608" s="13">
        <v>3.7</v>
      </c>
      <c r="J608" s="13">
        <v>2</v>
      </c>
      <c r="K608" s="13">
        <v>201</v>
      </c>
      <c r="L608" s="12" t="s">
        <v>1875</v>
      </c>
      <c r="M608" s="12">
        <v>3.2</v>
      </c>
      <c r="N608" s="14">
        <v>45746</v>
      </c>
      <c r="O608" s="13">
        <v>1</v>
      </c>
      <c r="P608" s="12" t="s">
        <v>117</v>
      </c>
      <c r="Q608" s="12" t="s">
        <v>31</v>
      </c>
      <c r="R608" s="12" t="s">
        <v>32</v>
      </c>
      <c r="S608" s="12" t="b">
        <v>0</v>
      </c>
      <c r="T608" s="12" t="s">
        <v>62</v>
      </c>
      <c r="U608" s="15">
        <f t="shared" si="36"/>
        <v>177.27943999999999</v>
      </c>
      <c r="V608" s="15">
        <f t="shared" si="37"/>
        <v>950.56</v>
      </c>
      <c r="W608" s="15">
        <f t="shared" si="38"/>
        <v>329.85599999999999</v>
      </c>
      <c r="X608" s="15">
        <f t="shared" si="39"/>
        <v>918.62400000000002</v>
      </c>
    </row>
    <row r="609" spans="1:24">
      <c r="A609" s="12" t="s">
        <v>1876</v>
      </c>
      <c r="B609" s="12" t="s">
        <v>1877</v>
      </c>
      <c r="C609" s="12" t="s">
        <v>26</v>
      </c>
      <c r="D609" s="12" t="s">
        <v>148</v>
      </c>
      <c r="E609" s="12" t="s">
        <v>235</v>
      </c>
      <c r="F609" s="13">
        <v>35002.22</v>
      </c>
      <c r="G609" s="13">
        <v>19.36</v>
      </c>
      <c r="H609" s="13">
        <v>28225.7</v>
      </c>
      <c r="I609" s="13">
        <v>3.7</v>
      </c>
      <c r="J609" s="13">
        <v>13</v>
      </c>
      <c r="K609" s="13">
        <v>275</v>
      </c>
      <c r="L609" s="12" t="s">
        <v>1878</v>
      </c>
      <c r="M609" s="12">
        <v>3.7</v>
      </c>
      <c r="N609" s="14">
        <v>45749</v>
      </c>
      <c r="O609" s="13">
        <v>4</v>
      </c>
      <c r="P609" s="12" t="s">
        <v>40</v>
      </c>
      <c r="Q609" s="12" t="s">
        <v>31</v>
      </c>
      <c r="R609" s="12" t="s">
        <v>32</v>
      </c>
      <c r="S609" s="12" t="b">
        <v>0</v>
      </c>
      <c r="T609" s="12" t="s">
        <v>62</v>
      </c>
      <c r="U609" s="15">
        <f t="shared" si="36"/>
        <v>6776.4297919999999</v>
      </c>
      <c r="V609" s="15">
        <f t="shared" si="37"/>
        <v>14000.888000000001</v>
      </c>
      <c r="W609" s="15">
        <f t="shared" si="38"/>
        <v>4233.8549999999996</v>
      </c>
      <c r="X609" s="15">
        <f t="shared" si="39"/>
        <v>9990.9570000000003</v>
      </c>
    </row>
    <row r="610" spans="1:24">
      <c r="A610" s="12" t="s">
        <v>1879</v>
      </c>
      <c r="B610" s="12" t="s">
        <v>1880</v>
      </c>
      <c r="C610" s="12" t="s">
        <v>50</v>
      </c>
      <c r="D610" s="12" t="s">
        <v>213</v>
      </c>
      <c r="E610" s="12" t="s">
        <v>100</v>
      </c>
      <c r="F610" s="13">
        <v>670.61</v>
      </c>
      <c r="G610" s="13">
        <v>7.57</v>
      </c>
      <c r="H610" s="13">
        <v>619.85</v>
      </c>
      <c r="I610" s="13">
        <v>3.7</v>
      </c>
      <c r="J610" s="13">
        <v>14</v>
      </c>
      <c r="K610" s="13">
        <v>225</v>
      </c>
      <c r="L610" s="12" t="s">
        <v>644</v>
      </c>
      <c r="M610" s="12">
        <v>4.5</v>
      </c>
      <c r="N610" s="14">
        <v>45892</v>
      </c>
      <c r="O610" s="13">
        <v>2</v>
      </c>
      <c r="P610" s="12" t="s">
        <v>40</v>
      </c>
      <c r="Q610" s="12" t="s">
        <v>55</v>
      </c>
      <c r="R610" s="12" t="s">
        <v>72</v>
      </c>
      <c r="S610" s="12" t="b">
        <v>0</v>
      </c>
      <c r="T610" s="12" t="s">
        <v>56</v>
      </c>
      <c r="U610" s="15">
        <f t="shared" si="36"/>
        <v>50.765177000000001</v>
      </c>
      <c r="V610" s="15">
        <f t="shared" si="37"/>
        <v>268.24400000000003</v>
      </c>
      <c r="W610" s="15">
        <f t="shared" si="38"/>
        <v>92.977500000000006</v>
      </c>
      <c r="X610" s="15">
        <f t="shared" si="39"/>
        <v>258.62849999999997</v>
      </c>
    </row>
    <row r="611" spans="1:24">
      <c r="A611" s="12" t="s">
        <v>1881</v>
      </c>
      <c r="B611" s="12" t="s">
        <v>1882</v>
      </c>
      <c r="C611" s="12" t="s">
        <v>75</v>
      </c>
      <c r="D611" s="12" t="s">
        <v>104</v>
      </c>
      <c r="E611" s="12" t="s">
        <v>52</v>
      </c>
      <c r="F611" s="13">
        <v>4810.6000000000004</v>
      </c>
      <c r="G611" s="13">
        <v>15.99</v>
      </c>
      <c r="H611" s="13">
        <v>4041.59</v>
      </c>
      <c r="I611" s="13">
        <v>3.9</v>
      </c>
      <c r="J611" s="13">
        <v>13</v>
      </c>
      <c r="K611" s="13">
        <v>462</v>
      </c>
      <c r="L611" s="12" t="s">
        <v>1883</v>
      </c>
      <c r="M611" s="12">
        <v>2.6</v>
      </c>
      <c r="N611" s="14">
        <v>46103</v>
      </c>
      <c r="O611" s="13">
        <v>1</v>
      </c>
      <c r="P611" s="12" t="s">
        <v>45</v>
      </c>
      <c r="Q611" s="12" t="s">
        <v>55</v>
      </c>
      <c r="R611" s="12" t="s">
        <v>86</v>
      </c>
      <c r="S611" s="12" t="b">
        <v>0</v>
      </c>
      <c r="T611" s="12" t="s">
        <v>78</v>
      </c>
      <c r="U611" s="15">
        <f t="shared" si="36"/>
        <v>769.21493999999996</v>
      </c>
      <c r="V611" s="15">
        <f t="shared" si="37"/>
        <v>1924.24</v>
      </c>
      <c r="W611" s="15">
        <f t="shared" si="38"/>
        <v>606.23850000000004</v>
      </c>
      <c r="X611" s="15">
        <f t="shared" si="39"/>
        <v>1511.1115</v>
      </c>
    </row>
    <row r="612" spans="1:24">
      <c r="A612" s="12" t="s">
        <v>1884</v>
      </c>
      <c r="B612" s="12" t="s">
        <v>1885</v>
      </c>
      <c r="C612" s="12" t="s">
        <v>36</v>
      </c>
      <c r="D612" s="12" t="s">
        <v>43</v>
      </c>
      <c r="E612" s="12" t="s">
        <v>92</v>
      </c>
      <c r="F612" s="13">
        <v>12102.21</v>
      </c>
      <c r="G612" s="13">
        <v>46.95</v>
      </c>
      <c r="H612" s="13">
        <v>6420.73</v>
      </c>
      <c r="I612" s="13">
        <v>4.3</v>
      </c>
      <c r="J612" s="13">
        <v>45</v>
      </c>
      <c r="K612" s="13">
        <v>69</v>
      </c>
      <c r="L612" s="12" t="s">
        <v>1886</v>
      </c>
      <c r="M612" s="12">
        <v>3</v>
      </c>
      <c r="N612" s="14">
        <v>45461</v>
      </c>
      <c r="O612" s="13">
        <v>2</v>
      </c>
      <c r="P612" s="12" t="s">
        <v>45</v>
      </c>
      <c r="Q612" s="12" t="s">
        <v>55</v>
      </c>
      <c r="R612" s="12" t="s">
        <v>72</v>
      </c>
      <c r="S612" s="12" t="b">
        <v>0</v>
      </c>
      <c r="T612" s="12" t="s">
        <v>56</v>
      </c>
      <c r="U612" s="15">
        <f t="shared" si="36"/>
        <v>5681.9875949999996</v>
      </c>
      <c r="V612" s="15">
        <f t="shared" si="37"/>
        <v>4840.884</v>
      </c>
      <c r="W612" s="15">
        <f t="shared" si="38"/>
        <v>963.10950000000003</v>
      </c>
      <c r="X612" s="15">
        <f t="shared" si="39"/>
        <v>616.73649999999998</v>
      </c>
    </row>
    <row r="613" spans="1:24">
      <c r="A613" s="12" t="s">
        <v>1887</v>
      </c>
      <c r="B613" s="12" t="s">
        <v>1888</v>
      </c>
      <c r="C613" s="12" t="s">
        <v>26</v>
      </c>
      <c r="D613" s="12" t="s">
        <v>123</v>
      </c>
      <c r="E613" s="12" t="s">
        <v>235</v>
      </c>
      <c r="F613" s="13">
        <v>21015.31</v>
      </c>
      <c r="G613" s="13">
        <v>22.9</v>
      </c>
      <c r="H613" s="13">
        <v>16202.09</v>
      </c>
      <c r="I613" s="13">
        <v>3.8</v>
      </c>
      <c r="J613" s="13">
        <v>7</v>
      </c>
      <c r="K613" s="13">
        <v>451</v>
      </c>
      <c r="L613" s="12" t="s">
        <v>260</v>
      </c>
      <c r="M613" s="12">
        <v>3.2</v>
      </c>
      <c r="N613" s="14">
        <v>45991</v>
      </c>
      <c r="O613" s="13">
        <v>3</v>
      </c>
      <c r="P613" s="12" t="s">
        <v>45</v>
      </c>
      <c r="Q613" s="12" t="s">
        <v>46</v>
      </c>
      <c r="R613" s="12" t="s">
        <v>72</v>
      </c>
      <c r="S613" s="12" t="b">
        <v>0</v>
      </c>
      <c r="T613" s="12" t="s">
        <v>56</v>
      </c>
      <c r="U613" s="15">
        <f t="shared" si="36"/>
        <v>4812.5059899999997</v>
      </c>
      <c r="V613" s="15">
        <f t="shared" si="37"/>
        <v>8406.1239999999998</v>
      </c>
      <c r="W613" s="15">
        <f t="shared" si="38"/>
        <v>2430.3135000000002</v>
      </c>
      <c r="X613" s="15">
        <f t="shared" si="39"/>
        <v>5365.6525000000001</v>
      </c>
    </row>
    <row r="614" spans="1:24">
      <c r="A614" s="12" t="s">
        <v>1889</v>
      </c>
      <c r="B614" s="12" t="s">
        <v>1890</v>
      </c>
      <c r="C614" s="12" t="s">
        <v>75</v>
      </c>
      <c r="D614" s="12" t="s">
        <v>76</v>
      </c>
      <c r="E614" s="12" t="s">
        <v>28</v>
      </c>
      <c r="F614" s="13">
        <v>3161.08</v>
      </c>
      <c r="G614" s="13">
        <v>29.86</v>
      </c>
      <c r="H614" s="13">
        <v>2217.1999999999998</v>
      </c>
      <c r="I614" s="13">
        <v>3.6</v>
      </c>
      <c r="J614" s="13">
        <v>48</v>
      </c>
      <c r="K614" s="13">
        <v>361</v>
      </c>
      <c r="L614" s="12" t="s">
        <v>1891</v>
      </c>
      <c r="M614" s="12">
        <v>2.7</v>
      </c>
      <c r="N614" s="14">
        <v>45867</v>
      </c>
      <c r="O614" s="13">
        <v>4</v>
      </c>
      <c r="P614" s="12" t="s">
        <v>40</v>
      </c>
      <c r="Q614" s="12" t="s">
        <v>31</v>
      </c>
      <c r="R614" s="12" t="s">
        <v>72</v>
      </c>
      <c r="S614" s="12" t="b">
        <v>0</v>
      </c>
      <c r="T614" s="12" t="s">
        <v>78</v>
      </c>
      <c r="U614" s="15">
        <f t="shared" si="36"/>
        <v>943.89848800000004</v>
      </c>
      <c r="V614" s="15">
        <f t="shared" si="37"/>
        <v>1264.432</v>
      </c>
      <c r="W614" s="15">
        <f t="shared" si="38"/>
        <v>332.58</v>
      </c>
      <c r="X614" s="15">
        <f t="shared" si="39"/>
        <v>620.18799999999999</v>
      </c>
    </row>
    <row r="615" spans="1:24">
      <c r="A615" s="12" t="s">
        <v>1892</v>
      </c>
      <c r="B615" s="12" t="s">
        <v>1893</v>
      </c>
      <c r="C615" s="12" t="s">
        <v>36</v>
      </c>
      <c r="D615" s="12" t="s">
        <v>108</v>
      </c>
      <c r="E615" s="12" t="s">
        <v>96</v>
      </c>
      <c r="F615" s="13">
        <v>781.32</v>
      </c>
      <c r="G615" s="13">
        <v>19.72</v>
      </c>
      <c r="H615" s="13">
        <v>627.28</v>
      </c>
      <c r="I615" s="13">
        <v>3.1</v>
      </c>
      <c r="J615" s="13">
        <v>44</v>
      </c>
      <c r="K615" s="13">
        <v>193</v>
      </c>
      <c r="L615" s="12" t="s">
        <v>1894</v>
      </c>
      <c r="M615" s="12">
        <v>2.7</v>
      </c>
      <c r="N615" s="14">
        <v>45657</v>
      </c>
      <c r="O615" s="13">
        <v>3</v>
      </c>
      <c r="P615" s="12" t="s">
        <v>45</v>
      </c>
      <c r="Q615" s="12" t="s">
        <v>46</v>
      </c>
      <c r="R615" s="12" t="s">
        <v>47</v>
      </c>
      <c r="S615" s="12" t="b">
        <v>0</v>
      </c>
      <c r="T615" s="12" t="s">
        <v>56</v>
      </c>
      <c r="U615" s="15">
        <f t="shared" si="36"/>
        <v>154.07630399999999</v>
      </c>
      <c r="V615" s="15">
        <f t="shared" si="37"/>
        <v>312.52800000000002</v>
      </c>
      <c r="W615" s="15">
        <f t="shared" si="38"/>
        <v>94.091999999999999</v>
      </c>
      <c r="X615" s="15">
        <f t="shared" si="39"/>
        <v>220.66</v>
      </c>
    </row>
    <row r="616" spans="1:24">
      <c r="A616" s="12" t="s">
        <v>1895</v>
      </c>
      <c r="B616" s="12" t="s">
        <v>1896</v>
      </c>
      <c r="C616" s="12" t="s">
        <v>36</v>
      </c>
      <c r="D616" s="12" t="s">
        <v>108</v>
      </c>
      <c r="E616" s="12" t="s">
        <v>92</v>
      </c>
      <c r="F616" s="13">
        <v>4898.78</v>
      </c>
      <c r="G616" s="13">
        <v>22.68</v>
      </c>
      <c r="H616" s="13">
        <v>3787.85</v>
      </c>
      <c r="I616" s="13">
        <v>4</v>
      </c>
      <c r="J616" s="13">
        <v>5</v>
      </c>
      <c r="K616" s="13">
        <v>393</v>
      </c>
      <c r="L616" s="12" t="s">
        <v>1897</v>
      </c>
      <c r="M616" s="12">
        <v>3.6</v>
      </c>
      <c r="N616" s="14">
        <v>45738</v>
      </c>
      <c r="O616" s="13">
        <v>3</v>
      </c>
      <c r="P616" s="12" t="s">
        <v>54</v>
      </c>
      <c r="Q616" s="12" t="s">
        <v>55</v>
      </c>
      <c r="R616" s="12" t="s">
        <v>72</v>
      </c>
      <c r="S616" s="12" t="b">
        <v>0</v>
      </c>
      <c r="T616" s="12" t="s">
        <v>56</v>
      </c>
      <c r="U616" s="15">
        <f t="shared" si="36"/>
        <v>1111.043304</v>
      </c>
      <c r="V616" s="15">
        <f t="shared" si="37"/>
        <v>1959.5119999999999</v>
      </c>
      <c r="W616" s="15">
        <f t="shared" si="38"/>
        <v>568.17750000000001</v>
      </c>
      <c r="X616" s="15">
        <f t="shared" si="39"/>
        <v>1260.1605</v>
      </c>
    </row>
    <row r="617" spans="1:24">
      <c r="A617" s="12" t="s">
        <v>1898</v>
      </c>
      <c r="B617" s="12" t="s">
        <v>1899</v>
      </c>
      <c r="C617" s="12" t="s">
        <v>50</v>
      </c>
      <c r="D617" s="12" t="s">
        <v>51</v>
      </c>
      <c r="E617" s="12" t="s">
        <v>100</v>
      </c>
      <c r="F617" s="13">
        <v>1567.58</v>
      </c>
      <c r="G617" s="13">
        <v>13.13</v>
      </c>
      <c r="H617" s="13">
        <v>1361.78</v>
      </c>
      <c r="I617" s="13">
        <v>4.8</v>
      </c>
      <c r="J617" s="13">
        <v>17</v>
      </c>
      <c r="K617" s="13">
        <v>491</v>
      </c>
      <c r="L617" s="12" t="s">
        <v>1900</v>
      </c>
      <c r="M617" s="12">
        <v>3</v>
      </c>
      <c r="N617" s="14">
        <v>45393</v>
      </c>
      <c r="O617" s="13">
        <v>4</v>
      </c>
      <c r="P617" s="12" t="s">
        <v>54</v>
      </c>
      <c r="Q617" s="12" t="s">
        <v>46</v>
      </c>
      <c r="R617" s="12" t="s">
        <v>72</v>
      </c>
      <c r="S617" s="12" t="b">
        <v>0</v>
      </c>
      <c r="T617" s="12" t="s">
        <v>78</v>
      </c>
      <c r="U617" s="15">
        <f t="shared" si="36"/>
        <v>205.82325399999999</v>
      </c>
      <c r="V617" s="15">
        <f t="shared" si="37"/>
        <v>627.03200000000004</v>
      </c>
      <c r="W617" s="15">
        <f t="shared" si="38"/>
        <v>204.267</v>
      </c>
      <c r="X617" s="15">
        <f t="shared" si="39"/>
        <v>530.48099999999999</v>
      </c>
    </row>
    <row r="618" spans="1:24">
      <c r="A618" s="12" t="s">
        <v>1901</v>
      </c>
      <c r="B618" s="12" t="s">
        <v>1902</v>
      </c>
      <c r="C618" s="12" t="s">
        <v>50</v>
      </c>
      <c r="D618" s="12" t="s">
        <v>51</v>
      </c>
      <c r="E618" s="12" t="s">
        <v>235</v>
      </c>
      <c r="F618" s="13">
        <v>4672.3100000000004</v>
      </c>
      <c r="G618" s="13">
        <v>21.12</v>
      </c>
      <c r="H618" s="13">
        <v>3685.52</v>
      </c>
      <c r="I618" s="13">
        <v>3.9</v>
      </c>
      <c r="J618" s="13">
        <v>6</v>
      </c>
      <c r="K618" s="13">
        <v>311</v>
      </c>
      <c r="L618" s="12" t="s">
        <v>1903</v>
      </c>
      <c r="M618" s="12">
        <v>3.7</v>
      </c>
      <c r="N618" s="14">
        <v>45382</v>
      </c>
      <c r="O618" s="13">
        <v>5</v>
      </c>
      <c r="P618" s="12" t="s">
        <v>45</v>
      </c>
      <c r="Q618" s="12" t="s">
        <v>46</v>
      </c>
      <c r="R618" s="12" t="s">
        <v>47</v>
      </c>
      <c r="S618" s="12" t="b">
        <v>0</v>
      </c>
      <c r="T618" s="12" t="s">
        <v>62</v>
      </c>
      <c r="U618" s="15">
        <f t="shared" si="36"/>
        <v>986.79187200000001</v>
      </c>
      <c r="V618" s="15">
        <f t="shared" si="37"/>
        <v>1868.924</v>
      </c>
      <c r="W618" s="15">
        <f t="shared" si="38"/>
        <v>552.82799999999997</v>
      </c>
      <c r="X618" s="15">
        <f t="shared" si="39"/>
        <v>1263.768</v>
      </c>
    </row>
    <row r="619" spans="1:24">
      <c r="A619" s="12" t="s">
        <v>1904</v>
      </c>
      <c r="B619" s="12" t="s">
        <v>1905</v>
      </c>
      <c r="C619" s="12" t="s">
        <v>50</v>
      </c>
      <c r="D619" s="12" t="s">
        <v>51</v>
      </c>
      <c r="E619" s="12" t="s">
        <v>96</v>
      </c>
      <c r="F619" s="13">
        <v>735.85</v>
      </c>
      <c r="G619" s="13">
        <v>41.07</v>
      </c>
      <c r="H619" s="13">
        <v>433.64</v>
      </c>
      <c r="I619" s="13">
        <v>2.9</v>
      </c>
      <c r="J619" s="13">
        <v>320</v>
      </c>
      <c r="K619" s="13">
        <v>307</v>
      </c>
      <c r="L619" s="12" t="s">
        <v>1906</v>
      </c>
      <c r="M619" s="12">
        <v>2.6</v>
      </c>
      <c r="N619" s="14">
        <v>45403</v>
      </c>
      <c r="O619" s="13">
        <v>5</v>
      </c>
      <c r="P619" s="12" t="s">
        <v>117</v>
      </c>
      <c r="Q619" s="12" t="s">
        <v>46</v>
      </c>
      <c r="R619" s="12" t="s">
        <v>72</v>
      </c>
      <c r="S619" s="12" t="b">
        <v>1</v>
      </c>
      <c r="T619" s="12" t="s">
        <v>33</v>
      </c>
      <c r="U619" s="15">
        <f t="shared" si="36"/>
        <v>302.213595</v>
      </c>
      <c r="V619" s="15">
        <f t="shared" si="37"/>
        <v>294.33999999999997</v>
      </c>
      <c r="W619" s="15">
        <f t="shared" si="38"/>
        <v>65.046000000000006</v>
      </c>
      <c r="X619" s="15">
        <f t="shared" si="39"/>
        <v>74.254000000000005</v>
      </c>
    </row>
    <row r="620" spans="1:24">
      <c r="A620" s="12" t="s">
        <v>1907</v>
      </c>
      <c r="B620" s="12" t="s">
        <v>1908</v>
      </c>
      <c r="C620" s="12" t="s">
        <v>36</v>
      </c>
      <c r="D620" s="12" t="s">
        <v>108</v>
      </c>
      <c r="E620" s="12" t="s">
        <v>131</v>
      </c>
      <c r="F620" s="13">
        <v>12127.75</v>
      </c>
      <c r="G620" s="13">
        <v>43.32</v>
      </c>
      <c r="H620" s="13">
        <v>6874.37</v>
      </c>
      <c r="I620" s="13">
        <v>2.6</v>
      </c>
      <c r="J620" s="13">
        <v>11</v>
      </c>
      <c r="K620" s="13">
        <v>75</v>
      </c>
      <c r="L620" s="12" t="s">
        <v>1909</v>
      </c>
      <c r="M620" s="12">
        <v>4.8</v>
      </c>
      <c r="N620" s="14">
        <v>46019</v>
      </c>
      <c r="O620" s="13">
        <v>4</v>
      </c>
      <c r="P620" s="12" t="s">
        <v>54</v>
      </c>
      <c r="Q620" s="12" t="s">
        <v>31</v>
      </c>
      <c r="R620" s="12" t="s">
        <v>72</v>
      </c>
      <c r="S620" s="12" t="b">
        <v>1</v>
      </c>
      <c r="T620" s="12" t="s">
        <v>33</v>
      </c>
      <c r="U620" s="15">
        <f t="shared" si="36"/>
        <v>5253.7412999999997</v>
      </c>
      <c r="V620" s="15">
        <f t="shared" si="37"/>
        <v>4851.1000000000004</v>
      </c>
      <c r="W620" s="15">
        <f t="shared" si="38"/>
        <v>1031.1555000000001</v>
      </c>
      <c r="X620" s="15">
        <f t="shared" si="39"/>
        <v>992.11450000000002</v>
      </c>
    </row>
    <row r="621" spans="1:24">
      <c r="A621" s="12" t="s">
        <v>1910</v>
      </c>
      <c r="B621" s="12" t="s">
        <v>1911</v>
      </c>
      <c r="C621" s="12" t="s">
        <v>26</v>
      </c>
      <c r="D621" s="12" t="s">
        <v>123</v>
      </c>
      <c r="E621" s="12" t="s">
        <v>38</v>
      </c>
      <c r="F621" s="13">
        <v>53634.12</v>
      </c>
      <c r="G621" s="13">
        <v>8.4600000000000009</v>
      </c>
      <c r="H621" s="13">
        <v>49096.37</v>
      </c>
      <c r="I621" s="13">
        <v>4.5</v>
      </c>
      <c r="J621" s="13">
        <v>25</v>
      </c>
      <c r="K621" s="13">
        <v>152</v>
      </c>
      <c r="L621" s="12" t="s">
        <v>1912</v>
      </c>
      <c r="M621" s="12">
        <v>3.9</v>
      </c>
      <c r="N621" s="14">
        <v>45586</v>
      </c>
      <c r="O621" s="13">
        <v>3</v>
      </c>
      <c r="P621" s="12" t="s">
        <v>45</v>
      </c>
      <c r="Q621" s="12" t="s">
        <v>46</v>
      </c>
      <c r="R621" s="12" t="s">
        <v>32</v>
      </c>
      <c r="S621" s="12" t="b">
        <v>0</v>
      </c>
      <c r="T621" s="12" t="s">
        <v>78</v>
      </c>
      <c r="U621" s="15">
        <f t="shared" si="36"/>
        <v>4537.4465520000003</v>
      </c>
      <c r="V621" s="15">
        <f t="shared" si="37"/>
        <v>21453.648000000001</v>
      </c>
      <c r="W621" s="15">
        <f t="shared" si="38"/>
        <v>7364.4555</v>
      </c>
      <c r="X621" s="15">
        <f t="shared" si="39"/>
        <v>20278.266500000002</v>
      </c>
    </row>
    <row r="622" spans="1:24">
      <c r="A622" s="12" t="s">
        <v>1913</v>
      </c>
      <c r="B622" s="12" t="s">
        <v>1914</v>
      </c>
      <c r="C622" s="12" t="s">
        <v>50</v>
      </c>
      <c r="D622" s="12" t="s">
        <v>130</v>
      </c>
      <c r="E622" s="12" t="s">
        <v>92</v>
      </c>
      <c r="F622" s="13">
        <v>3315.94</v>
      </c>
      <c r="G622" s="13">
        <v>33.72</v>
      </c>
      <c r="H622" s="13">
        <v>2197.9299999999998</v>
      </c>
      <c r="I622" s="13">
        <v>3.5</v>
      </c>
      <c r="J622" s="13">
        <v>15</v>
      </c>
      <c r="K622" s="13">
        <v>354</v>
      </c>
      <c r="L622" s="12" t="s">
        <v>1915</v>
      </c>
      <c r="M622" s="12">
        <v>2.6</v>
      </c>
      <c r="N622" s="14">
        <v>46056</v>
      </c>
      <c r="O622" s="13">
        <v>4</v>
      </c>
      <c r="P622" s="12" t="s">
        <v>30</v>
      </c>
      <c r="Q622" s="12" t="s">
        <v>55</v>
      </c>
      <c r="R622" s="12" t="s">
        <v>72</v>
      </c>
      <c r="S622" s="12" t="b">
        <v>0</v>
      </c>
      <c r="T622" s="12" t="s">
        <v>78</v>
      </c>
      <c r="U622" s="15">
        <f t="shared" si="36"/>
        <v>1118.1349680000001</v>
      </c>
      <c r="V622" s="15">
        <f t="shared" si="37"/>
        <v>1326.376</v>
      </c>
      <c r="W622" s="15">
        <f t="shared" si="38"/>
        <v>329.68950000000001</v>
      </c>
      <c r="X622" s="15">
        <f t="shared" si="39"/>
        <v>541.86450000000002</v>
      </c>
    </row>
    <row r="623" spans="1:24">
      <c r="A623" s="12" t="s">
        <v>1916</v>
      </c>
      <c r="B623" s="12" t="s">
        <v>1917</v>
      </c>
      <c r="C623" s="12" t="s">
        <v>26</v>
      </c>
      <c r="D623" s="12" t="s">
        <v>313</v>
      </c>
      <c r="E623" s="12" t="s">
        <v>112</v>
      </c>
      <c r="F623" s="13">
        <v>38426.879999999997</v>
      </c>
      <c r="G623" s="13">
        <v>15.7</v>
      </c>
      <c r="H623" s="13">
        <v>32394.74</v>
      </c>
      <c r="I623" s="13">
        <v>4.7</v>
      </c>
      <c r="J623" s="13">
        <v>210</v>
      </c>
      <c r="K623" s="13">
        <v>388</v>
      </c>
      <c r="L623" s="12" t="s">
        <v>1918</v>
      </c>
      <c r="M623" s="12">
        <v>3.2</v>
      </c>
      <c r="N623" s="14">
        <v>46097</v>
      </c>
      <c r="O623" s="13">
        <v>4</v>
      </c>
      <c r="P623" s="12" t="s">
        <v>30</v>
      </c>
      <c r="Q623" s="12" t="s">
        <v>31</v>
      </c>
      <c r="R623" s="12" t="s">
        <v>32</v>
      </c>
      <c r="S623" s="12" t="b">
        <v>1</v>
      </c>
      <c r="T623" s="12" t="s">
        <v>33</v>
      </c>
      <c r="U623" s="15">
        <f t="shared" si="36"/>
        <v>6033.02016</v>
      </c>
      <c r="V623" s="15">
        <f t="shared" si="37"/>
        <v>15370.752</v>
      </c>
      <c r="W623" s="15">
        <f t="shared" si="38"/>
        <v>4859.2110000000002</v>
      </c>
      <c r="X623" s="15">
        <f t="shared" si="39"/>
        <v>12164.777</v>
      </c>
    </row>
    <row r="624" spans="1:24">
      <c r="A624" s="12" t="s">
        <v>1919</v>
      </c>
      <c r="B624" s="12" t="s">
        <v>1920</v>
      </c>
      <c r="C624" s="12" t="s">
        <v>59</v>
      </c>
      <c r="D624" s="12" t="s">
        <v>170</v>
      </c>
      <c r="E624" s="12" t="s">
        <v>92</v>
      </c>
      <c r="F624" s="13">
        <v>14506.99</v>
      </c>
      <c r="G624" s="13">
        <v>15.93</v>
      </c>
      <c r="H624" s="13">
        <v>12195.66</v>
      </c>
      <c r="I624" s="13">
        <v>4.4000000000000004</v>
      </c>
      <c r="J624" s="13">
        <v>18</v>
      </c>
      <c r="K624" s="13">
        <v>168</v>
      </c>
      <c r="L624" s="12" t="s">
        <v>1921</v>
      </c>
      <c r="M624" s="12">
        <v>4.2</v>
      </c>
      <c r="N624" s="14">
        <v>45839</v>
      </c>
      <c r="O624" s="13">
        <v>5</v>
      </c>
      <c r="P624" s="12" t="s">
        <v>40</v>
      </c>
      <c r="Q624" s="12" t="s">
        <v>55</v>
      </c>
      <c r="R624" s="12" t="s">
        <v>47</v>
      </c>
      <c r="S624" s="12" t="b">
        <v>0</v>
      </c>
      <c r="T624" s="12" t="s">
        <v>62</v>
      </c>
      <c r="U624" s="15">
        <f t="shared" si="36"/>
        <v>2310.9635069999999</v>
      </c>
      <c r="V624" s="15">
        <f t="shared" si="37"/>
        <v>5802.7960000000003</v>
      </c>
      <c r="W624" s="15">
        <f t="shared" si="38"/>
        <v>1829.3489999999999</v>
      </c>
      <c r="X624" s="15">
        <f t="shared" si="39"/>
        <v>4563.5150000000003</v>
      </c>
    </row>
    <row r="625" spans="1:24">
      <c r="A625" s="12" t="s">
        <v>1922</v>
      </c>
      <c r="B625" s="12" t="s">
        <v>1923</v>
      </c>
      <c r="C625" s="12" t="s">
        <v>75</v>
      </c>
      <c r="D625" s="12" t="s">
        <v>76</v>
      </c>
      <c r="E625" s="12" t="s">
        <v>38</v>
      </c>
      <c r="F625" s="13">
        <v>4801.91</v>
      </c>
      <c r="G625" s="13">
        <v>48.53</v>
      </c>
      <c r="H625" s="13">
        <v>2471.71</v>
      </c>
      <c r="I625" s="13">
        <v>3.5</v>
      </c>
      <c r="J625" s="13">
        <v>13</v>
      </c>
      <c r="K625" s="13">
        <v>270</v>
      </c>
      <c r="L625" s="12" t="s">
        <v>1924</v>
      </c>
      <c r="M625" s="12">
        <v>4.5999999999999996</v>
      </c>
      <c r="N625" s="14">
        <v>46053</v>
      </c>
      <c r="O625" s="13">
        <v>5</v>
      </c>
      <c r="P625" s="12" t="s">
        <v>40</v>
      </c>
      <c r="Q625" s="12" t="s">
        <v>55</v>
      </c>
      <c r="R625" s="12" t="s">
        <v>72</v>
      </c>
      <c r="S625" s="12" t="b">
        <v>0</v>
      </c>
      <c r="T625" s="12" t="s">
        <v>56</v>
      </c>
      <c r="U625" s="15">
        <f t="shared" si="36"/>
        <v>2330.366923</v>
      </c>
      <c r="V625" s="15">
        <f t="shared" si="37"/>
        <v>1920.7639999999999</v>
      </c>
      <c r="W625" s="15">
        <f t="shared" si="38"/>
        <v>370.75650000000002</v>
      </c>
      <c r="X625" s="15">
        <f t="shared" si="39"/>
        <v>180.18950000000001</v>
      </c>
    </row>
    <row r="626" spans="1:24">
      <c r="A626" s="12" t="s">
        <v>1925</v>
      </c>
      <c r="B626" s="12" t="s">
        <v>706</v>
      </c>
      <c r="C626" s="12" t="s">
        <v>36</v>
      </c>
      <c r="D626" s="12" t="s">
        <v>37</v>
      </c>
      <c r="E626" s="12" t="s">
        <v>52</v>
      </c>
      <c r="F626" s="13">
        <v>9818.11</v>
      </c>
      <c r="G626" s="13">
        <v>43.24</v>
      </c>
      <c r="H626" s="13">
        <v>5572.47</v>
      </c>
      <c r="I626" s="13">
        <v>3.5</v>
      </c>
      <c r="J626" s="13">
        <v>11</v>
      </c>
      <c r="K626" s="13">
        <v>181</v>
      </c>
      <c r="L626" s="12" t="s">
        <v>1926</v>
      </c>
      <c r="M626" s="12">
        <v>4.4000000000000004</v>
      </c>
      <c r="N626" s="14">
        <v>45731</v>
      </c>
      <c r="O626" s="13">
        <v>6</v>
      </c>
      <c r="P626" s="12" t="s">
        <v>45</v>
      </c>
      <c r="Q626" s="12" t="s">
        <v>31</v>
      </c>
      <c r="R626" s="12" t="s">
        <v>86</v>
      </c>
      <c r="S626" s="12" t="b">
        <v>0</v>
      </c>
      <c r="T626" s="12" t="s">
        <v>62</v>
      </c>
      <c r="U626" s="15">
        <f t="shared" si="36"/>
        <v>4245.3507639999998</v>
      </c>
      <c r="V626" s="15">
        <f t="shared" si="37"/>
        <v>3927.2440000000001</v>
      </c>
      <c r="W626" s="15">
        <f t="shared" si="38"/>
        <v>835.87049999999999</v>
      </c>
      <c r="X626" s="15">
        <f t="shared" si="39"/>
        <v>809.35550000000001</v>
      </c>
    </row>
    <row r="627" spans="1:24">
      <c r="A627" s="12" t="s">
        <v>1927</v>
      </c>
      <c r="B627" s="12" t="s">
        <v>1928</v>
      </c>
      <c r="C627" s="12" t="s">
        <v>50</v>
      </c>
      <c r="D627" s="12" t="s">
        <v>51</v>
      </c>
      <c r="E627" s="12" t="s">
        <v>92</v>
      </c>
      <c r="F627" s="13">
        <v>4687.1499999999996</v>
      </c>
      <c r="G627" s="13">
        <v>42.91</v>
      </c>
      <c r="H627" s="13">
        <v>2675.7</v>
      </c>
      <c r="I627" s="13">
        <v>3.5</v>
      </c>
      <c r="J627" s="13">
        <v>3</v>
      </c>
      <c r="K627" s="13">
        <v>99</v>
      </c>
      <c r="L627" s="12" t="s">
        <v>1929</v>
      </c>
      <c r="M627" s="12">
        <v>3.4</v>
      </c>
      <c r="N627" s="14">
        <v>45937</v>
      </c>
      <c r="O627" s="13">
        <v>1</v>
      </c>
      <c r="P627" s="12" t="s">
        <v>45</v>
      </c>
      <c r="Q627" s="12" t="s">
        <v>46</v>
      </c>
      <c r="R627" s="12" t="s">
        <v>32</v>
      </c>
      <c r="S627" s="12" t="b">
        <v>0</v>
      </c>
      <c r="T627" s="12" t="s">
        <v>56</v>
      </c>
      <c r="U627" s="15">
        <f t="shared" si="36"/>
        <v>2011.256065</v>
      </c>
      <c r="V627" s="15">
        <f t="shared" si="37"/>
        <v>1874.86</v>
      </c>
      <c r="W627" s="15">
        <f t="shared" si="38"/>
        <v>401.35500000000002</v>
      </c>
      <c r="X627" s="15">
        <f t="shared" si="39"/>
        <v>399.48500000000001</v>
      </c>
    </row>
    <row r="628" spans="1:24">
      <c r="A628" s="12" t="s">
        <v>1930</v>
      </c>
      <c r="B628" s="12" t="s">
        <v>1931</v>
      </c>
      <c r="C628" s="12" t="s">
        <v>26</v>
      </c>
      <c r="D628" s="12" t="s">
        <v>123</v>
      </c>
      <c r="E628" s="12" t="s">
        <v>65</v>
      </c>
      <c r="F628" s="13">
        <v>69096.429999999993</v>
      </c>
      <c r="G628" s="13">
        <v>36.369999999999997</v>
      </c>
      <c r="H628" s="13">
        <v>43966.16</v>
      </c>
      <c r="I628" s="13">
        <v>4</v>
      </c>
      <c r="J628" s="13">
        <v>2</v>
      </c>
      <c r="K628" s="13">
        <v>170</v>
      </c>
      <c r="L628" s="12" t="s">
        <v>1932</v>
      </c>
      <c r="M628" s="12">
        <v>4.0999999999999996</v>
      </c>
      <c r="N628" s="14">
        <v>45604</v>
      </c>
      <c r="O628" s="13">
        <v>2</v>
      </c>
      <c r="P628" s="12" t="s">
        <v>117</v>
      </c>
      <c r="Q628" s="12" t="s">
        <v>31</v>
      </c>
      <c r="R628" s="12" t="s">
        <v>47</v>
      </c>
      <c r="S628" s="12" t="b">
        <v>0</v>
      </c>
      <c r="T628" s="12" t="s">
        <v>78</v>
      </c>
      <c r="U628" s="15">
        <f t="shared" si="36"/>
        <v>25130.371590999999</v>
      </c>
      <c r="V628" s="15">
        <f t="shared" si="37"/>
        <v>27638.572</v>
      </c>
      <c r="W628" s="15">
        <f t="shared" si="38"/>
        <v>6594.924</v>
      </c>
      <c r="X628" s="15">
        <f t="shared" si="39"/>
        <v>9732.6640000000007</v>
      </c>
    </row>
    <row r="629" spans="1:24">
      <c r="A629" s="12" t="s">
        <v>1933</v>
      </c>
      <c r="B629" s="12" t="s">
        <v>1934</v>
      </c>
      <c r="C629" s="12" t="s">
        <v>75</v>
      </c>
      <c r="D629" s="12" t="s">
        <v>76</v>
      </c>
      <c r="E629" s="12" t="s">
        <v>52</v>
      </c>
      <c r="F629" s="13">
        <v>1340.48</v>
      </c>
      <c r="G629" s="13">
        <v>32.61</v>
      </c>
      <c r="H629" s="13">
        <v>903.37</v>
      </c>
      <c r="I629" s="13">
        <v>3.4</v>
      </c>
      <c r="J629" s="13">
        <v>10</v>
      </c>
      <c r="K629" s="13">
        <v>157</v>
      </c>
      <c r="L629" s="12" t="s">
        <v>1935</v>
      </c>
      <c r="M629" s="12">
        <v>2.9</v>
      </c>
      <c r="N629" s="14">
        <v>45841</v>
      </c>
      <c r="O629" s="13">
        <v>3</v>
      </c>
      <c r="P629" s="12" t="s">
        <v>30</v>
      </c>
      <c r="Q629" s="12" t="s">
        <v>31</v>
      </c>
      <c r="R629" s="12" t="s">
        <v>72</v>
      </c>
      <c r="S629" s="12" t="b">
        <v>1</v>
      </c>
      <c r="T629" s="12" t="s">
        <v>33</v>
      </c>
      <c r="U629" s="15">
        <f t="shared" si="36"/>
        <v>437.13052800000003</v>
      </c>
      <c r="V629" s="15">
        <f t="shared" si="37"/>
        <v>536.19200000000001</v>
      </c>
      <c r="W629" s="15">
        <f t="shared" si="38"/>
        <v>135.50550000000001</v>
      </c>
      <c r="X629" s="15">
        <f t="shared" si="39"/>
        <v>231.67250000000001</v>
      </c>
    </row>
    <row r="630" spans="1:24">
      <c r="A630" s="12" t="s">
        <v>1936</v>
      </c>
      <c r="B630" s="12" t="s">
        <v>1937</v>
      </c>
      <c r="C630" s="12" t="s">
        <v>26</v>
      </c>
      <c r="D630" s="12" t="s">
        <v>27</v>
      </c>
      <c r="E630" s="12" t="s">
        <v>100</v>
      </c>
      <c r="F630" s="13">
        <v>50499.61</v>
      </c>
      <c r="G630" s="13">
        <v>7.57</v>
      </c>
      <c r="H630" s="13">
        <v>46678.96</v>
      </c>
      <c r="I630" s="13">
        <v>4.2</v>
      </c>
      <c r="J630" s="13">
        <v>28</v>
      </c>
      <c r="K630" s="13">
        <v>370</v>
      </c>
      <c r="L630" s="12" t="s">
        <v>1938</v>
      </c>
      <c r="M630" s="12">
        <v>4.9000000000000004</v>
      </c>
      <c r="N630" s="14">
        <v>45508</v>
      </c>
      <c r="O630" s="13">
        <v>4</v>
      </c>
      <c r="P630" s="12" t="s">
        <v>30</v>
      </c>
      <c r="Q630" s="12" t="s">
        <v>46</v>
      </c>
      <c r="R630" s="12" t="s">
        <v>47</v>
      </c>
      <c r="S630" s="12" t="b">
        <v>0</v>
      </c>
      <c r="T630" s="12" t="s">
        <v>56</v>
      </c>
      <c r="U630" s="15">
        <f t="shared" si="36"/>
        <v>3822.8204770000002</v>
      </c>
      <c r="V630" s="15">
        <f t="shared" si="37"/>
        <v>20199.844000000001</v>
      </c>
      <c r="W630" s="15">
        <f t="shared" si="38"/>
        <v>7001.8440000000001</v>
      </c>
      <c r="X630" s="15">
        <f t="shared" si="39"/>
        <v>19477.272000000001</v>
      </c>
    </row>
    <row r="631" spans="1:24">
      <c r="A631" s="12" t="s">
        <v>1939</v>
      </c>
      <c r="B631" s="12" t="s">
        <v>1940</v>
      </c>
      <c r="C631" s="12" t="s">
        <v>59</v>
      </c>
      <c r="D631" s="12" t="s">
        <v>60</v>
      </c>
      <c r="E631" s="12" t="s">
        <v>235</v>
      </c>
      <c r="F631" s="13">
        <v>10373.49</v>
      </c>
      <c r="G631" s="13">
        <v>22.26</v>
      </c>
      <c r="H631" s="13">
        <v>8064.7</v>
      </c>
      <c r="I631" s="13">
        <v>4.0999999999999996</v>
      </c>
      <c r="J631" s="13">
        <v>8</v>
      </c>
      <c r="K631" s="13">
        <v>330</v>
      </c>
      <c r="L631" s="12" t="s">
        <v>1941</v>
      </c>
      <c r="M631" s="12">
        <v>4.0999999999999996</v>
      </c>
      <c r="N631" s="14">
        <v>46077</v>
      </c>
      <c r="O631" s="13">
        <v>2</v>
      </c>
      <c r="P631" s="12" t="s">
        <v>117</v>
      </c>
      <c r="Q631" s="12" t="s">
        <v>55</v>
      </c>
      <c r="R631" s="12" t="s">
        <v>47</v>
      </c>
      <c r="S631" s="12" t="b">
        <v>0</v>
      </c>
      <c r="T631" s="12" t="s">
        <v>62</v>
      </c>
      <c r="U631" s="15">
        <f t="shared" si="36"/>
        <v>2309.1388740000002</v>
      </c>
      <c r="V631" s="15">
        <f t="shared" si="37"/>
        <v>4149.3959999999997</v>
      </c>
      <c r="W631" s="15">
        <f t="shared" si="38"/>
        <v>1209.7049999999999</v>
      </c>
      <c r="X631" s="15">
        <f t="shared" si="39"/>
        <v>2705.5990000000002</v>
      </c>
    </row>
    <row r="632" spans="1:24">
      <c r="A632" s="12" t="s">
        <v>1942</v>
      </c>
      <c r="B632" s="12" t="s">
        <v>1943</v>
      </c>
      <c r="C632" s="12" t="s">
        <v>50</v>
      </c>
      <c r="D632" s="12" t="s">
        <v>213</v>
      </c>
      <c r="E632" s="12" t="s">
        <v>112</v>
      </c>
      <c r="F632" s="13">
        <v>4984.68</v>
      </c>
      <c r="G632" s="13">
        <v>43.83</v>
      </c>
      <c r="H632" s="13">
        <v>2799.73</v>
      </c>
      <c r="I632" s="13">
        <v>4.2</v>
      </c>
      <c r="J632" s="13">
        <v>4</v>
      </c>
      <c r="K632" s="13">
        <v>475</v>
      </c>
      <c r="L632" s="12" t="s">
        <v>1944</v>
      </c>
      <c r="M632" s="12">
        <v>2.9</v>
      </c>
      <c r="N632" s="14">
        <v>45512</v>
      </c>
      <c r="O632" s="13">
        <v>3</v>
      </c>
      <c r="P632" s="12" t="s">
        <v>117</v>
      </c>
      <c r="Q632" s="12" t="s">
        <v>31</v>
      </c>
      <c r="R632" s="12" t="s">
        <v>72</v>
      </c>
      <c r="S632" s="12" t="b">
        <v>0</v>
      </c>
      <c r="T632" s="12" t="s">
        <v>62</v>
      </c>
      <c r="U632" s="15">
        <f t="shared" si="36"/>
        <v>2184.7852440000001</v>
      </c>
      <c r="V632" s="15">
        <f t="shared" si="37"/>
        <v>1993.8720000000001</v>
      </c>
      <c r="W632" s="15">
        <f t="shared" si="38"/>
        <v>419.95949999999999</v>
      </c>
      <c r="X632" s="15">
        <f t="shared" si="39"/>
        <v>385.89850000000001</v>
      </c>
    </row>
    <row r="633" spans="1:24">
      <c r="A633" s="12" t="s">
        <v>1945</v>
      </c>
      <c r="B633" s="12" t="s">
        <v>1946</v>
      </c>
      <c r="C633" s="12" t="s">
        <v>59</v>
      </c>
      <c r="D633" s="12" t="s">
        <v>60</v>
      </c>
      <c r="E633" s="12" t="s">
        <v>131</v>
      </c>
      <c r="F633" s="13">
        <v>14860.91</v>
      </c>
      <c r="G633" s="13">
        <v>26.92</v>
      </c>
      <c r="H633" s="13">
        <v>10860.54</v>
      </c>
      <c r="I633" s="13">
        <v>4</v>
      </c>
      <c r="J633" s="13">
        <v>57</v>
      </c>
      <c r="K633" s="13">
        <v>350</v>
      </c>
      <c r="L633" s="12" t="s">
        <v>1947</v>
      </c>
      <c r="M633" s="12">
        <v>3.2</v>
      </c>
      <c r="N633" s="14">
        <v>45746</v>
      </c>
      <c r="O633" s="13">
        <v>2</v>
      </c>
      <c r="P633" s="12" t="s">
        <v>40</v>
      </c>
      <c r="Q633" s="12" t="s">
        <v>55</v>
      </c>
      <c r="R633" s="12" t="s">
        <v>32</v>
      </c>
      <c r="S633" s="12" t="b">
        <v>0</v>
      </c>
      <c r="T633" s="12" t="s">
        <v>78</v>
      </c>
      <c r="U633" s="15">
        <f t="shared" si="36"/>
        <v>4000.5569719999999</v>
      </c>
      <c r="V633" s="15">
        <f t="shared" si="37"/>
        <v>5944.3639999999996</v>
      </c>
      <c r="W633" s="15">
        <f t="shared" si="38"/>
        <v>1629.0809999999999</v>
      </c>
      <c r="X633" s="15">
        <f t="shared" si="39"/>
        <v>3287.0949999999998</v>
      </c>
    </row>
    <row r="634" spans="1:24">
      <c r="A634" s="12" t="s">
        <v>1948</v>
      </c>
      <c r="B634" s="12" t="s">
        <v>1949</v>
      </c>
      <c r="C634" s="12" t="s">
        <v>59</v>
      </c>
      <c r="D634" s="12" t="s">
        <v>69</v>
      </c>
      <c r="E634" s="12" t="s">
        <v>112</v>
      </c>
      <c r="F634" s="13">
        <v>9647.36</v>
      </c>
      <c r="G634" s="13">
        <v>25.71</v>
      </c>
      <c r="H634" s="13">
        <v>7167.48</v>
      </c>
      <c r="I634" s="13">
        <v>4.9000000000000004</v>
      </c>
      <c r="J634" s="13">
        <v>7</v>
      </c>
      <c r="K634" s="13">
        <v>431</v>
      </c>
      <c r="L634" s="12" t="s">
        <v>1950</v>
      </c>
      <c r="M634" s="12">
        <v>3.1</v>
      </c>
      <c r="N634" s="14">
        <v>45615</v>
      </c>
      <c r="O634" s="13">
        <v>3</v>
      </c>
      <c r="P634" s="12" t="s">
        <v>117</v>
      </c>
      <c r="Q634" s="12" t="s">
        <v>31</v>
      </c>
      <c r="R634" s="12" t="s">
        <v>86</v>
      </c>
      <c r="S634" s="12" t="b">
        <v>0</v>
      </c>
      <c r="T634" s="12" t="s">
        <v>78</v>
      </c>
      <c r="U634" s="15">
        <f t="shared" si="36"/>
        <v>2480.336256</v>
      </c>
      <c r="V634" s="15">
        <f t="shared" si="37"/>
        <v>3858.944</v>
      </c>
      <c r="W634" s="15">
        <f t="shared" si="38"/>
        <v>1075.1220000000001</v>
      </c>
      <c r="X634" s="15">
        <f t="shared" si="39"/>
        <v>2233.4140000000002</v>
      </c>
    </row>
    <row r="635" spans="1:24">
      <c r="A635" s="12" t="s">
        <v>1951</v>
      </c>
      <c r="B635" s="12" t="s">
        <v>1952</v>
      </c>
      <c r="C635" s="12" t="s">
        <v>36</v>
      </c>
      <c r="D635" s="12" t="s">
        <v>43</v>
      </c>
      <c r="E635" s="12" t="s">
        <v>52</v>
      </c>
      <c r="F635" s="13">
        <v>14607.94</v>
      </c>
      <c r="G635" s="13">
        <v>14.97</v>
      </c>
      <c r="H635" s="13">
        <v>12421.82</v>
      </c>
      <c r="I635" s="13">
        <v>3.9</v>
      </c>
      <c r="J635" s="13">
        <v>20</v>
      </c>
      <c r="K635" s="13">
        <v>139</v>
      </c>
      <c r="L635" s="12" t="s">
        <v>1953</v>
      </c>
      <c r="M635" s="12">
        <v>3.7</v>
      </c>
      <c r="N635" s="14">
        <v>45862</v>
      </c>
      <c r="O635" s="13">
        <v>4</v>
      </c>
      <c r="P635" s="12" t="s">
        <v>30</v>
      </c>
      <c r="Q635" s="12" t="s">
        <v>46</v>
      </c>
      <c r="R635" s="12" t="s">
        <v>86</v>
      </c>
      <c r="S635" s="12" t="b">
        <v>0</v>
      </c>
      <c r="T635" s="12" t="s">
        <v>78</v>
      </c>
      <c r="U635" s="15">
        <f t="shared" si="36"/>
        <v>2186.808618</v>
      </c>
      <c r="V635" s="15">
        <f t="shared" si="37"/>
        <v>5843.1760000000004</v>
      </c>
      <c r="W635" s="15">
        <f t="shared" si="38"/>
        <v>1863.2729999999999</v>
      </c>
      <c r="X635" s="15">
        <f t="shared" si="39"/>
        <v>4715.3710000000001</v>
      </c>
    </row>
    <row r="636" spans="1:24">
      <c r="A636" s="12" t="s">
        <v>1954</v>
      </c>
      <c r="B636" s="12" t="s">
        <v>1955</v>
      </c>
      <c r="C636" s="12" t="s">
        <v>59</v>
      </c>
      <c r="D636" s="12" t="s">
        <v>170</v>
      </c>
      <c r="E636" s="12" t="s">
        <v>52</v>
      </c>
      <c r="F636" s="13">
        <v>13425.89</v>
      </c>
      <c r="G636" s="13">
        <v>8.86</v>
      </c>
      <c r="H636" s="13">
        <v>12236.26</v>
      </c>
      <c r="I636" s="13">
        <v>3.6</v>
      </c>
      <c r="J636" s="13">
        <v>29</v>
      </c>
      <c r="K636" s="13">
        <v>89</v>
      </c>
      <c r="L636" s="12" t="s">
        <v>1956</v>
      </c>
      <c r="M636" s="12">
        <v>3.3</v>
      </c>
      <c r="N636" s="14">
        <v>45524</v>
      </c>
      <c r="O636" s="13">
        <v>3</v>
      </c>
      <c r="P636" s="12" t="s">
        <v>54</v>
      </c>
      <c r="Q636" s="12" t="s">
        <v>55</v>
      </c>
      <c r="R636" s="12" t="s">
        <v>32</v>
      </c>
      <c r="S636" s="12" t="b">
        <v>0</v>
      </c>
      <c r="T636" s="12" t="s">
        <v>78</v>
      </c>
      <c r="U636" s="15">
        <f t="shared" si="36"/>
        <v>1189.533854</v>
      </c>
      <c r="V636" s="15">
        <f t="shared" si="37"/>
        <v>5370.3559999999998</v>
      </c>
      <c r="W636" s="15">
        <f t="shared" si="38"/>
        <v>1835.4390000000001</v>
      </c>
      <c r="X636" s="15">
        <f t="shared" si="39"/>
        <v>5030.4650000000001</v>
      </c>
    </row>
    <row r="637" spans="1:24">
      <c r="A637" s="12" t="s">
        <v>1957</v>
      </c>
      <c r="B637" s="12" t="s">
        <v>1958</v>
      </c>
      <c r="C637" s="12" t="s">
        <v>26</v>
      </c>
      <c r="D637" s="12" t="s">
        <v>148</v>
      </c>
      <c r="E637" s="12" t="s">
        <v>131</v>
      </c>
      <c r="F637" s="13">
        <v>67876.47</v>
      </c>
      <c r="G637" s="13">
        <v>39.94</v>
      </c>
      <c r="H637" s="13">
        <v>40767.839999999997</v>
      </c>
      <c r="I637" s="13">
        <v>4.4000000000000004</v>
      </c>
      <c r="J637" s="13">
        <v>2</v>
      </c>
      <c r="K637" s="13">
        <v>463</v>
      </c>
      <c r="L637" s="12" t="s">
        <v>1959</v>
      </c>
      <c r="M637" s="12">
        <v>4.7</v>
      </c>
      <c r="N637" s="14">
        <v>46024</v>
      </c>
      <c r="O637" s="13">
        <v>1</v>
      </c>
      <c r="P637" s="12" t="s">
        <v>40</v>
      </c>
      <c r="Q637" s="12" t="s">
        <v>46</v>
      </c>
      <c r="R637" s="12" t="s">
        <v>47</v>
      </c>
      <c r="S637" s="12" t="b">
        <v>0</v>
      </c>
      <c r="T637" s="12" t="s">
        <v>56</v>
      </c>
      <c r="U637" s="15">
        <f t="shared" si="36"/>
        <v>27109.862118000001</v>
      </c>
      <c r="V637" s="15">
        <f t="shared" si="37"/>
        <v>27150.588</v>
      </c>
      <c r="W637" s="15">
        <f t="shared" si="38"/>
        <v>6115.1760000000004</v>
      </c>
      <c r="X637" s="15">
        <f t="shared" si="39"/>
        <v>7502.07599999999</v>
      </c>
    </row>
    <row r="638" spans="1:24">
      <c r="A638" s="12" t="s">
        <v>1960</v>
      </c>
      <c r="B638" s="12" t="s">
        <v>1961</v>
      </c>
      <c r="C638" s="12" t="s">
        <v>50</v>
      </c>
      <c r="D638" s="12" t="s">
        <v>213</v>
      </c>
      <c r="E638" s="12" t="s">
        <v>131</v>
      </c>
      <c r="F638" s="13">
        <v>2158.59</v>
      </c>
      <c r="G638" s="13">
        <v>28.27</v>
      </c>
      <c r="H638" s="13">
        <v>1548.35</v>
      </c>
      <c r="I638" s="13">
        <v>3.9</v>
      </c>
      <c r="J638" s="13">
        <v>13</v>
      </c>
      <c r="K638" s="13">
        <v>73</v>
      </c>
      <c r="L638" s="12" t="s">
        <v>1962</v>
      </c>
      <c r="M638" s="12">
        <v>4.4000000000000004</v>
      </c>
      <c r="N638" s="14">
        <v>45502</v>
      </c>
      <c r="O638" s="13">
        <v>4</v>
      </c>
      <c r="P638" s="12" t="s">
        <v>30</v>
      </c>
      <c r="Q638" s="12" t="s">
        <v>31</v>
      </c>
      <c r="R638" s="12" t="s">
        <v>47</v>
      </c>
      <c r="S638" s="12" t="b">
        <v>0</v>
      </c>
      <c r="T638" s="12" t="s">
        <v>78</v>
      </c>
      <c r="U638" s="15">
        <f t="shared" si="36"/>
        <v>610.23339299999998</v>
      </c>
      <c r="V638" s="15">
        <f t="shared" si="37"/>
        <v>863.43600000000004</v>
      </c>
      <c r="W638" s="15">
        <f t="shared" si="38"/>
        <v>232.2525</v>
      </c>
      <c r="X638" s="15">
        <f t="shared" si="39"/>
        <v>452.66149999999999</v>
      </c>
    </row>
    <row r="639" spans="1:24">
      <c r="A639" s="12" t="s">
        <v>1963</v>
      </c>
      <c r="B639" s="12" t="s">
        <v>1964</v>
      </c>
      <c r="C639" s="12" t="s">
        <v>26</v>
      </c>
      <c r="D639" s="12" t="s">
        <v>148</v>
      </c>
      <c r="E639" s="12" t="s">
        <v>96</v>
      </c>
      <c r="F639" s="13">
        <v>41890.089999999997</v>
      </c>
      <c r="G639" s="13">
        <v>7.44</v>
      </c>
      <c r="H639" s="13">
        <v>38772.22</v>
      </c>
      <c r="I639" s="13">
        <v>3.6</v>
      </c>
      <c r="J639" s="13">
        <v>18</v>
      </c>
      <c r="K639" s="13">
        <v>159</v>
      </c>
      <c r="L639" s="12" t="s">
        <v>1087</v>
      </c>
      <c r="M639" s="12">
        <v>3.7</v>
      </c>
      <c r="N639" s="14">
        <v>45873</v>
      </c>
      <c r="O639" s="13">
        <v>2</v>
      </c>
      <c r="P639" s="12" t="s">
        <v>45</v>
      </c>
      <c r="Q639" s="12" t="s">
        <v>31</v>
      </c>
      <c r="R639" s="12" t="s">
        <v>32</v>
      </c>
      <c r="S639" s="12" t="b">
        <v>0</v>
      </c>
      <c r="T639" s="12" t="s">
        <v>56</v>
      </c>
      <c r="U639" s="15">
        <f t="shared" si="36"/>
        <v>3116.6226959999999</v>
      </c>
      <c r="V639" s="15">
        <f t="shared" si="37"/>
        <v>16756.036</v>
      </c>
      <c r="W639" s="15">
        <f t="shared" si="38"/>
        <v>5815.8329999999996</v>
      </c>
      <c r="X639" s="15">
        <f t="shared" si="39"/>
        <v>16200.351000000001</v>
      </c>
    </row>
    <row r="640" spans="1:24">
      <c r="A640" s="12" t="s">
        <v>1965</v>
      </c>
      <c r="B640" s="12" t="s">
        <v>1966</v>
      </c>
      <c r="C640" s="12" t="s">
        <v>50</v>
      </c>
      <c r="D640" s="12" t="s">
        <v>130</v>
      </c>
      <c r="E640" s="12" t="s">
        <v>84</v>
      </c>
      <c r="F640" s="13">
        <v>3744.99</v>
      </c>
      <c r="G640" s="13">
        <v>33.18</v>
      </c>
      <c r="H640" s="13">
        <v>2502.34</v>
      </c>
      <c r="I640" s="13">
        <v>3.4</v>
      </c>
      <c r="J640" s="13">
        <v>28</v>
      </c>
      <c r="K640" s="13">
        <v>381</v>
      </c>
      <c r="L640" s="12" t="s">
        <v>1967</v>
      </c>
      <c r="M640" s="12">
        <v>3.7</v>
      </c>
      <c r="N640" s="14">
        <v>45522</v>
      </c>
      <c r="O640" s="13">
        <v>3</v>
      </c>
      <c r="P640" s="12" t="s">
        <v>45</v>
      </c>
      <c r="Q640" s="12" t="s">
        <v>46</v>
      </c>
      <c r="R640" s="12" t="s">
        <v>72</v>
      </c>
      <c r="S640" s="12" t="b">
        <v>0</v>
      </c>
      <c r="T640" s="12" t="s">
        <v>62</v>
      </c>
      <c r="U640" s="15">
        <f t="shared" si="36"/>
        <v>1242.5876820000001</v>
      </c>
      <c r="V640" s="15">
        <f t="shared" si="37"/>
        <v>1497.9960000000001</v>
      </c>
      <c r="W640" s="15">
        <f t="shared" si="38"/>
        <v>375.351</v>
      </c>
      <c r="X640" s="15">
        <f t="shared" si="39"/>
        <v>628.99300000000005</v>
      </c>
    </row>
    <row r="641" spans="1:24">
      <c r="A641" s="12" t="s">
        <v>1968</v>
      </c>
      <c r="B641" s="12" t="s">
        <v>1969</v>
      </c>
      <c r="C641" s="12" t="s">
        <v>75</v>
      </c>
      <c r="D641" s="12" t="s">
        <v>104</v>
      </c>
      <c r="E641" s="12" t="s">
        <v>70</v>
      </c>
      <c r="F641" s="13">
        <v>708.81</v>
      </c>
      <c r="G641" s="13">
        <v>40.340000000000003</v>
      </c>
      <c r="H641" s="13">
        <v>422.88</v>
      </c>
      <c r="I641" s="13">
        <v>3.7</v>
      </c>
      <c r="J641" s="13">
        <v>12</v>
      </c>
      <c r="K641" s="13">
        <v>272</v>
      </c>
      <c r="L641" s="12" t="s">
        <v>1970</v>
      </c>
      <c r="M641" s="12">
        <v>4.9000000000000004</v>
      </c>
      <c r="N641" s="14">
        <v>46075</v>
      </c>
      <c r="O641" s="13">
        <v>2</v>
      </c>
      <c r="P641" s="12" t="s">
        <v>54</v>
      </c>
      <c r="Q641" s="12" t="s">
        <v>55</v>
      </c>
      <c r="R641" s="12" t="s">
        <v>32</v>
      </c>
      <c r="S641" s="12" t="b">
        <v>0</v>
      </c>
      <c r="T641" s="12" t="s">
        <v>56</v>
      </c>
      <c r="U641" s="15">
        <f t="shared" si="36"/>
        <v>285.93395400000003</v>
      </c>
      <c r="V641" s="15">
        <f t="shared" si="37"/>
        <v>283.524</v>
      </c>
      <c r="W641" s="15">
        <f t="shared" si="38"/>
        <v>63.432000000000002</v>
      </c>
      <c r="X641" s="15">
        <f t="shared" si="39"/>
        <v>75.924000000000007</v>
      </c>
    </row>
    <row r="642" spans="1:24">
      <c r="A642" s="12" t="s">
        <v>1971</v>
      </c>
      <c r="B642" s="12" t="s">
        <v>1972</v>
      </c>
      <c r="C642" s="12" t="s">
        <v>75</v>
      </c>
      <c r="D642" s="12" t="s">
        <v>135</v>
      </c>
      <c r="E642" s="12" t="s">
        <v>52</v>
      </c>
      <c r="F642" s="13">
        <v>1716.57</v>
      </c>
      <c r="G642" s="13">
        <v>28.87</v>
      </c>
      <c r="H642" s="13">
        <v>1221.06</v>
      </c>
      <c r="I642" s="13">
        <v>4.5999999999999996</v>
      </c>
      <c r="J642" s="13">
        <v>35</v>
      </c>
      <c r="K642" s="13">
        <v>286</v>
      </c>
      <c r="L642" s="12" t="s">
        <v>1973</v>
      </c>
      <c r="M642" s="12">
        <v>3.7</v>
      </c>
      <c r="N642" s="14">
        <v>45586</v>
      </c>
      <c r="O642" s="13">
        <v>1</v>
      </c>
      <c r="P642" s="12" t="s">
        <v>40</v>
      </c>
      <c r="Q642" s="12" t="s">
        <v>46</v>
      </c>
      <c r="R642" s="12" t="s">
        <v>47</v>
      </c>
      <c r="S642" s="12" t="b">
        <v>0</v>
      </c>
      <c r="T642" s="12" t="s">
        <v>62</v>
      </c>
      <c r="U642" s="15">
        <f t="shared" si="36"/>
        <v>495.573759</v>
      </c>
      <c r="V642" s="15">
        <f t="shared" si="37"/>
        <v>686.62800000000004</v>
      </c>
      <c r="W642" s="15">
        <f t="shared" si="38"/>
        <v>183.15899999999999</v>
      </c>
      <c r="X642" s="15">
        <f t="shared" si="39"/>
        <v>351.27300000000002</v>
      </c>
    </row>
    <row r="643" spans="1:24">
      <c r="A643" s="12" t="s">
        <v>1974</v>
      </c>
      <c r="B643" s="12" t="s">
        <v>1975</v>
      </c>
      <c r="C643" s="12" t="s">
        <v>59</v>
      </c>
      <c r="D643" s="12" t="s">
        <v>60</v>
      </c>
      <c r="E643" s="12" t="s">
        <v>112</v>
      </c>
      <c r="F643" s="13">
        <v>12859.65</v>
      </c>
      <c r="G643" s="13">
        <v>17.420000000000002</v>
      </c>
      <c r="H643" s="13">
        <v>10619.91</v>
      </c>
      <c r="I643" s="13">
        <v>4.5</v>
      </c>
      <c r="J643" s="13">
        <v>11</v>
      </c>
      <c r="K643" s="13">
        <v>293</v>
      </c>
      <c r="L643" s="12" t="s">
        <v>1976</v>
      </c>
      <c r="M643" s="12">
        <v>3.7</v>
      </c>
      <c r="N643" s="14">
        <v>45651</v>
      </c>
      <c r="O643" s="13">
        <v>2</v>
      </c>
      <c r="P643" s="12" t="s">
        <v>30</v>
      </c>
      <c r="Q643" s="12" t="s">
        <v>46</v>
      </c>
      <c r="R643" s="12" t="s">
        <v>32</v>
      </c>
      <c r="S643" s="12" t="b">
        <v>1</v>
      </c>
      <c r="T643" s="12" t="s">
        <v>33</v>
      </c>
      <c r="U643" s="15">
        <f t="shared" ref="U643:U706" si="40">F643*(G643/100)</f>
        <v>2240.15103</v>
      </c>
      <c r="V643" s="15">
        <f t="shared" ref="V643:V706" si="41">F643*0.4</f>
        <v>5143.8599999999997</v>
      </c>
      <c r="W643" s="15">
        <f t="shared" ref="W643:W706" si="42">H643*0.15</f>
        <v>1592.9865</v>
      </c>
      <c r="X643" s="15">
        <f t="shared" ref="X643:X706" si="43">H643-V643-W643</f>
        <v>3883.0635000000002</v>
      </c>
    </row>
    <row r="644" spans="1:24">
      <c r="A644" s="12" t="s">
        <v>1977</v>
      </c>
      <c r="B644" s="12" t="s">
        <v>1978</v>
      </c>
      <c r="C644" s="12" t="s">
        <v>59</v>
      </c>
      <c r="D644" s="12" t="s">
        <v>60</v>
      </c>
      <c r="E644" s="12" t="s">
        <v>112</v>
      </c>
      <c r="F644" s="13">
        <v>5000.04</v>
      </c>
      <c r="G644" s="13">
        <v>23.43</v>
      </c>
      <c r="H644" s="13">
        <v>3828.52</v>
      </c>
      <c r="I644" s="13">
        <v>4.2</v>
      </c>
      <c r="J644" s="13">
        <v>41</v>
      </c>
      <c r="K644" s="13">
        <v>66</v>
      </c>
      <c r="L644" s="12" t="s">
        <v>1979</v>
      </c>
      <c r="M644" s="12">
        <v>3.7</v>
      </c>
      <c r="N644" s="14">
        <v>45988</v>
      </c>
      <c r="O644" s="13">
        <v>2</v>
      </c>
      <c r="P644" s="12" t="s">
        <v>45</v>
      </c>
      <c r="Q644" s="12" t="s">
        <v>55</v>
      </c>
      <c r="R644" s="12" t="s">
        <v>32</v>
      </c>
      <c r="S644" s="12" t="b">
        <v>0</v>
      </c>
      <c r="T644" s="12" t="s">
        <v>78</v>
      </c>
      <c r="U644" s="15">
        <f t="shared" si="40"/>
        <v>1171.509372</v>
      </c>
      <c r="V644" s="15">
        <f t="shared" si="41"/>
        <v>2000.0160000000001</v>
      </c>
      <c r="W644" s="15">
        <f t="shared" si="42"/>
        <v>574.27800000000002</v>
      </c>
      <c r="X644" s="15">
        <f t="shared" si="43"/>
        <v>1254.2260000000001</v>
      </c>
    </row>
    <row r="645" spans="1:24">
      <c r="A645" s="12" t="s">
        <v>1980</v>
      </c>
      <c r="B645" s="12" t="s">
        <v>1981</v>
      </c>
      <c r="C645" s="12" t="s">
        <v>50</v>
      </c>
      <c r="D645" s="12" t="s">
        <v>130</v>
      </c>
      <c r="E645" s="12" t="s">
        <v>84</v>
      </c>
      <c r="F645" s="13">
        <v>4589.7299999999996</v>
      </c>
      <c r="G645" s="13">
        <v>39.08</v>
      </c>
      <c r="H645" s="13">
        <v>2795.87</v>
      </c>
      <c r="I645" s="13">
        <v>4.2</v>
      </c>
      <c r="J645" s="13">
        <v>36</v>
      </c>
      <c r="K645" s="13">
        <v>360</v>
      </c>
      <c r="L645" s="12" t="s">
        <v>1982</v>
      </c>
      <c r="M645" s="12">
        <v>2.8</v>
      </c>
      <c r="N645" s="14">
        <v>45942</v>
      </c>
      <c r="O645" s="13">
        <v>3</v>
      </c>
      <c r="P645" s="12" t="s">
        <v>117</v>
      </c>
      <c r="Q645" s="12" t="s">
        <v>31</v>
      </c>
      <c r="R645" s="12" t="s">
        <v>72</v>
      </c>
      <c r="S645" s="12" t="b">
        <v>0</v>
      </c>
      <c r="T645" s="12" t="s">
        <v>56</v>
      </c>
      <c r="U645" s="15">
        <f t="shared" si="40"/>
        <v>1793.6664840000001</v>
      </c>
      <c r="V645" s="15">
        <f t="shared" si="41"/>
        <v>1835.8920000000001</v>
      </c>
      <c r="W645" s="15">
        <f t="shared" si="42"/>
        <v>419.38049999999998</v>
      </c>
      <c r="X645" s="15">
        <f t="shared" si="43"/>
        <v>540.59749999999997</v>
      </c>
    </row>
    <row r="646" spans="1:24">
      <c r="A646" s="12" t="s">
        <v>1983</v>
      </c>
      <c r="B646" s="12" t="s">
        <v>1984</v>
      </c>
      <c r="C646" s="12" t="s">
        <v>59</v>
      </c>
      <c r="D646" s="12" t="s">
        <v>69</v>
      </c>
      <c r="E646" s="12" t="s">
        <v>28</v>
      </c>
      <c r="F646" s="13">
        <v>18998.830000000002</v>
      </c>
      <c r="G646" s="13">
        <v>28.33</v>
      </c>
      <c r="H646" s="13">
        <v>13616.84</v>
      </c>
      <c r="I646" s="13">
        <v>3.7</v>
      </c>
      <c r="J646" s="13">
        <v>9</v>
      </c>
      <c r="K646" s="13">
        <v>290</v>
      </c>
      <c r="L646" s="12" t="s">
        <v>1985</v>
      </c>
      <c r="M646" s="12">
        <v>4.5</v>
      </c>
      <c r="N646" s="14">
        <v>45461</v>
      </c>
      <c r="O646" s="13">
        <v>3</v>
      </c>
      <c r="P646" s="12" t="s">
        <v>45</v>
      </c>
      <c r="Q646" s="12" t="s">
        <v>46</v>
      </c>
      <c r="R646" s="12" t="s">
        <v>86</v>
      </c>
      <c r="S646" s="12" t="b">
        <v>0</v>
      </c>
      <c r="T646" s="12" t="s">
        <v>78</v>
      </c>
      <c r="U646" s="15">
        <f t="shared" si="40"/>
        <v>5382.3685390000001</v>
      </c>
      <c r="V646" s="15">
        <f t="shared" si="41"/>
        <v>7599.5320000000002</v>
      </c>
      <c r="W646" s="15">
        <f t="shared" si="42"/>
        <v>2042.5260000000001</v>
      </c>
      <c r="X646" s="15">
        <f t="shared" si="43"/>
        <v>3974.7820000000002</v>
      </c>
    </row>
    <row r="647" spans="1:24">
      <c r="A647" s="12" t="s">
        <v>1986</v>
      </c>
      <c r="B647" s="12" t="s">
        <v>1987</v>
      </c>
      <c r="C647" s="12" t="s">
        <v>50</v>
      </c>
      <c r="D647" s="12" t="s">
        <v>51</v>
      </c>
      <c r="E647" s="12" t="s">
        <v>100</v>
      </c>
      <c r="F647" s="13">
        <v>2643.74</v>
      </c>
      <c r="G647" s="13">
        <v>32.520000000000003</v>
      </c>
      <c r="H647" s="13">
        <v>1783.88</v>
      </c>
      <c r="I647" s="13">
        <v>4.7</v>
      </c>
      <c r="J647" s="13">
        <v>33</v>
      </c>
      <c r="K647" s="13">
        <v>485</v>
      </c>
      <c r="L647" s="12" t="s">
        <v>1988</v>
      </c>
      <c r="M647" s="12">
        <v>3.9</v>
      </c>
      <c r="N647" s="14">
        <v>45853</v>
      </c>
      <c r="O647" s="13">
        <v>4</v>
      </c>
      <c r="P647" s="12" t="s">
        <v>117</v>
      </c>
      <c r="Q647" s="12" t="s">
        <v>46</v>
      </c>
      <c r="R647" s="12" t="s">
        <v>72</v>
      </c>
      <c r="S647" s="12" t="b">
        <v>1</v>
      </c>
      <c r="T647" s="12" t="s">
        <v>33</v>
      </c>
      <c r="U647" s="15">
        <f t="shared" si="40"/>
        <v>859.74424799999997</v>
      </c>
      <c r="V647" s="15">
        <f t="shared" si="41"/>
        <v>1057.4960000000001</v>
      </c>
      <c r="W647" s="15">
        <f t="shared" si="42"/>
        <v>267.58199999999999</v>
      </c>
      <c r="X647" s="15">
        <f t="shared" si="43"/>
        <v>458.80200000000002</v>
      </c>
    </row>
    <row r="648" spans="1:24">
      <c r="A648" s="12" t="s">
        <v>1989</v>
      </c>
      <c r="B648" s="12" t="s">
        <v>1990</v>
      </c>
      <c r="C648" s="12" t="s">
        <v>59</v>
      </c>
      <c r="D648" s="12" t="s">
        <v>170</v>
      </c>
      <c r="E648" s="12" t="s">
        <v>92</v>
      </c>
      <c r="F648" s="13">
        <v>11274.39</v>
      </c>
      <c r="G648" s="13">
        <v>43.63</v>
      </c>
      <c r="H648" s="13">
        <v>6355.24</v>
      </c>
      <c r="I648" s="13">
        <v>5</v>
      </c>
      <c r="J648" s="13">
        <v>88</v>
      </c>
      <c r="K648" s="13">
        <v>232</v>
      </c>
      <c r="L648" s="12" t="s">
        <v>1991</v>
      </c>
      <c r="M648" s="12">
        <v>2.7</v>
      </c>
      <c r="N648" s="14">
        <v>45987</v>
      </c>
      <c r="O648" s="13">
        <v>2</v>
      </c>
      <c r="P648" s="12" t="s">
        <v>30</v>
      </c>
      <c r="Q648" s="12" t="s">
        <v>46</v>
      </c>
      <c r="R648" s="12" t="s">
        <v>32</v>
      </c>
      <c r="S648" s="12" t="b">
        <v>0</v>
      </c>
      <c r="T648" s="12" t="s">
        <v>56</v>
      </c>
      <c r="U648" s="15">
        <f t="shared" si="40"/>
        <v>4919.0163570000004</v>
      </c>
      <c r="V648" s="15">
        <f t="shared" si="41"/>
        <v>4509.7560000000003</v>
      </c>
      <c r="W648" s="15">
        <f t="shared" si="42"/>
        <v>953.28599999999994</v>
      </c>
      <c r="X648" s="15">
        <f t="shared" si="43"/>
        <v>892.19799999999998</v>
      </c>
    </row>
    <row r="649" spans="1:24">
      <c r="A649" s="12" t="s">
        <v>1992</v>
      </c>
      <c r="B649" s="12" t="s">
        <v>1993</v>
      </c>
      <c r="C649" s="12" t="s">
        <v>26</v>
      </c>
      <c r="D649" s="12" t="s">
        <v>313</v>
      </c>
      <c r="E649" s="12" t="s">
        <v>235</v>
      </c>
      <c r="F649" s="13">
        <v>62348.27</v>
      </c>
      <c r="G649" s="13">
        <v>29.36</v>
      </c>
      <c r="H649" s="13">
        <v>44045.4</v>
      </c>
      <c r="I649" s="13">
        <v>4.7</v>
      </c>
      <c r="J649" s="13">
        <v>10</v>
      </c>
      <c r="K649" s="13">
        <v>144</v>
      </c>
      <c r="L649" s="12" t="s">
        <v>1994</v>
      </c>
      <c r="M649" s="12">
        <v>4.8</v>
      </c>
      <c r="N649" s="14">
        <v>45915</v>
      </c>
      <c r="O649" s="13">
        <v>2</v>
      </c>
      <c r="P649" s="12" t="s">
        <v>117</v>
      </c>
      <c r="Q649" s="12" t="s">
        <v>31</v>
      </c>
      <c r="R649" s="12" t="s">
        <v>47</v>
      </c>
      <c r="S649" s="12" t="b">
        <v>0</v>
      </c>
      <c r="T649" s="12" t="s">
        <v>62</v>
      </c>
      <c r="U649" s="15">
        <f t="shared" si="40"/>
        <v>18305.452072</v>
      </c>
      <c r="V649" s="15">
        <f t="shared" si="41"/>
        <v>24939.308000000001</v>
      </c>
      <c r="W649" s="15">
        <f t="shared" si="42"/>
        <v>6606.81</v>
      </c>
      <c r="X649" s="15">
        <f t="shared" si="43"/>
        <v>12499.281999999999</v>
      </c>
    </row>
    <row r="650" spans="1:24">
      <c r="A650" s="12" t="s">
        <v>1995</v>
      </c>
      <c r="B650" s="12" t="s">
        <v>1996</v>
      </c>
      <c r="C650" s="12" t="s">
        <v>26</v>
      </c>
      <c r="D650" s="12" t="s">
        <v>148</v>
      </c>
      <c r="E650" s="12" t="s">
        <v>28</v>
      </c>
      <c r="F650" s="13">
        <v>13982</v>
      </c>
      <c r="G650" s="13">
        <v>35.200000000000003</v>
      </c>
      <c r="H650" s="13">
        <v>9060.76</v>
      </c>
      <c r="I650" s="13">
        <v>4.0999999999999996</v>
      </c>
      <c r="J650" s="13">
        <v>13</v>
      </c>
      <c r="K650" s="13">
        <v>332</v>
      </c>
      <c r="L650" s="12" t="s">
        <v>1997</v>
      </c>
      <c r="M650" s="12">
        <v>4.5999999999999996</v>
      </c>
      <c r="N650" s="14">
        <v>46050</v>
      </c>
      <c r="O650" s="13">
        <v>4</v>
      </c>
      <c r="P650" s="12" t="s">
        <v>40</v>
      </c>
      <c r="Q650" s="12" t="s">
        <v>55</v>
      </c>
      <c r="R650" s="12" t="s">
        <v>86</v>
      </c>
      <c r="S650" s="12" t="b">
        <v>0</v>
      </c>
      <c r="T650" s="12" t="s">
        <v>56</v>
      </c>
      <c r="U650" s="15">
        <f t="shared" si="40"/>
        <v>4921.6639999999998</v>
      </c>
      <c r="V650" s="15">
        <f t="shared" si="41"/>
        <v>5592.8</v>
      </c>
      <c r="W650" s="15">
        <f t="shared" si="42"/>
        <v>1359.114</v>
      </c>
      <c r="X650" s="15">
        <f t="shared" si="43"/>
        <v>2108.846</v>
      </c>
    </row>
    <row r="651" spans="1:24">
      <c r="A651" s="12" t="s">
        <v>1998</v>
      </c>
      <c r="B651" s="12" t="s">
        <v>1999</v>
      </c>
      <c r="C651" s="12" t="s">
        <v>36</v>
      </c>
      <c r="D651" s="12" t="s">
        <v>37</v>
      </c>
      <c r="E651" s="12" t="s">
        <v>70</v>
      </c>
      <c r="F651" s="13">
        <v>14740.96</v>
      </c>
      <c r="G651" s="13">
        <v>49.24</v>
      </c>
      <c r="H651" s="13">
        <v>7483.12</v>
      </c>
      <c r="I651" s="13">
        <v>4.4000000000000004</v>
      </c>
      <c r="J651" s="13">
        <v>11</v>
      </c>
      <c r="K651" s="13">
        <v>81</v>
      </c>
      <c r="L651" s="12" t="s">
        <v>2000</v>
      </c>
      <c r="M651" s="12">
        <v>4.5</v>
      </c>
      <c r="N651" s="14">
        <v>45719</v>
      </c>
      <c r="O651" s="13">
        <v>6</v>
      </c>
      <c r="P651" s="12" t="s">
        <v>45</v>
      </c>
      <c r="Q651" s="12" t="s">
        <v>55</v>
      </c>
      <c r="R651" s="12" t="s">
        <v>32</v>
      </c>
      <c r="S651" s="12" t="b">
        <v>1</v>
      </c>
      <c r="T651" s="12" t="s">
        <v>33</v>
      </c>
      <c r="U651" s="15">
        <f t="shared" si="40"/>
        <v>7258.4487040000004</v>
      </c>
      <c r="V651" s="15">
        <f t="shared" si="41"/>
        <v>5896.384</v>
      </c>
      <c r="W651" s="15">
        <f t="shared" si="42"/>
        <v>1122.4680000000001</v>
      </c>
      <c r="X651" s="15">
        <f t="shared" si="43"/>
        <v>464.26799999999997</v>
      </c>
    </row>
    <row r="652" spans="1:24">
      <c r="A652" s="12" t="s">
        <v>2001</v>
      </c>
      <c r="B652" s="12" t="s">
        <v>2002</v>
      </c>
      <c r="C652" s="12" t="s">
        <v>59</v>
      </c>
      <c r="D652" s="12" t="s">
        <v>69</v>
      </c>
      <c r="E652" s="12" t="s">
        <v>28</v>
      </c>
      <c r="F652" s="13">
        <v>8338.49</v>
      </c>
      <c r="G652" s="13">
        <v>19.43</v>
      </c>
      <c r="H652" s="13">
        <v>6718.15</v>
      </c>
      <c r="I652" s="13">
        <v>3.9</v>
      </c>
      <c r="J652" s="13">
        <v>28</v>
      </c>
      <c r="K652" s="13">
        <v>290</v>
      </c>
      <c r="L652" s="12" t="s">
        <v>2003</v>
      </c>
      <c r="M652" s="12">
        <v>4.7</v>
      </c>
      <c r="N652" s="14">
        <v>46048</v>
      </c>
      <c r="O652" s="13">
        <v>2</v>
      </c>
      <c r="P652" s="12" t="s">
        <v>45</v>
      </c>
      <c r="Q652" s="12" t="s">
        <v>31</v>
      </c>
      <c r="R652" s="12" t="s">
        <v>47</v>
      </c>
      <c r="S652" s="12" t="b">
        <v>0</v>
      </c>
      <c r="T652" s="12" t="s">
        <v>78</v>
      </c>
      <c r="U652" s="15">
        <f t="shared" si="40"/>
        <v>1620.1686070000001</v>
      </c>
      <c r="V652" s="15">
        <f t="shared" si="41"/>
        <v>3335.3960000000002</v>
      </c>
      <c r="W652" s="15">
        <f t="shared" si="42"/>
        <v>1007.7225</v>
      </c>
      <c r="X652" s="15">
        <f t="shared" si="43"/>
        <v>2375.0315000000001</v>
      </c>
    </row>
    <row r="653" spans="1:24">
      <c r="A653" s="12" t="s">
        <v>2004</v>
      </c>
      <c r="B653" s="12" t="s">
        <v>2005</v>
      </c>
      <c r="C653" s="12" t="s">
        <v>26</v>
      </c>
      <c r="D653" s="12" t="s">
        <v>148</v>
      </c>
      <c r="E653" s="12" t="s">
        <v>84</v>
      </c>
      <c r="F653" s="13">
        <v>27609.21</v>
      </c>
      <c r="G653" s="13">
        <v>6.88</v>
      </c>
      <c r="H653" s="13">
        <v>25711.03</v>
      </c>
      <c r="I653" s="13">
        <v>4.2</v>
      </c>
      <c r="J653" s="13">
        <v>7</v>
      </c>
      <c r="K653" s="13">
        <v>166</v>
      </c>
      <c r="L653" s="12" t="s">
        <v>2006</v>
      </c>
      <c r="M653" s="12">
        <v>3.9</v>
      </c>
      <c r="N653" s="14">
        <v>45928</v>
      </c>
      <c r="O653" s="13">
        <v>1</v>
      </c>
      <c r="P653" s="12" t="s">
        <v>45</v>
      </c>
      <c r="Q653" s="12" t="s">
        <v>55</v>
      </c>
      <c r="R653" s="12" t="s">
        <v>47</v>
      </c>
      <c r="S653" s="12" t="b">
        <v>0</v>
      </c>
      <c r="T653" s="12" t="s">
        <v>56</v>
      </c>
      <c r="U653" s="15">
        <f t="shared" si="40"/>
        <v>1899.5136480000001</v>
      </c>
      <c r="V653" s="15">
        <f t="shared" si="41"/>
        <v>11043.683999999999</v>
      </c>
      <c r="W653" s="15">
        <f t="shared" si="42"/>
        <v>3856.6545000000001</v>
      </c>
      <c r="X653" s="15">
        <f t="shared" si="43"/>
        <v>10810.691500000001</v>
      </c>
    </row>
    <row r="654" spans="1:24">
      <c r="A654" s="12" t="s">
        <v>2007</v>
      </c>
      <c r="B654" s="12" t="s">
        <v>2008</v>
      </c>
      <c r="C654" s="12" t="s">
        <v>50</v>
      </c>
      <c r="D654" s="12" t="s">
        <v>130</v>
      </c>
      <c r="E654" s="12" t="s">
        <v>65</v>
      </c>
      <c r="F654" s="13">
        <v>3667.39</v>
      </c>
      <c r="G654" s="13">
        <v>9.7799999999999994</v>
      </c>
      <c r="H654" s="13">
        <v>3308.87</v>
      </c>
      <c r="I654" s="13">
        <v>3.2</v>
      </c>
      <c r="J654" s="13">
        <v>19</v>
      </c>
      <c r="K654" s="13">
        <v>394</v>
      </c>
      <c r="L654" s="12" t="s">
        <v>2009</v>
      </c>
      <c r="M654" s="12">
        <v>4.0999999999999996</v>
      </c>
      <c r="N654" s="14">
        <v>46022</v>
      </c>
      <c r="O654" s="13">
        <v>1</v>
      </c>
      <c r="P654" s="12" t="s">
        <v>40</v>
      </c>
      <c r="Q654" s="12" t="s">
        <v>55</v>
      </c>
      <c r="R654" s="12" t="s">
        <v>86</v>
      </c>
      <c r="S654" s="12" t="b">
        <v>0</v>
      </c>
      <c r="T654" s="12" t="s">
        <v>62</v>
      </c>
      <c r="U654" s="15">
        <f t="shared" si="40"/>
        <v>358.67074200000002</v>
      </c>
      <c r="V654" s="15">
        <f t="shared" si="41"/>
        <v>1466.9559999999999</v>
      </c>
      <c r="W654" s="15">
        <f t="shared" si="42"/>
        <v>496.33049999999997</v>
      </c>
      <c r="X654" s="15">
        <f t="shared" si="43"/>
        <v>1345.5835</v>
      </c>
    </row>
    <row r="655" spans="1:24">
      <c r="A655" s="12" t="s">
        <v>2010</v>
      </c>
      <c r="B655" s="12" t="s">
        <v>2011</v>
      </c>
      <c r="C655" s="12" t="s">
        <v>26</v>
      </c>
      <c r="D655" s="12" t="s">
        <v>27</v>
      </c>
      <c r="E655" s="12" t="s">
        <v>70</v>
      </c>
      <c r="F655" s="13">
        <v>31178.93</v>
      </c>
      <c r="G655" s="13">
        <v>18.07</v>
      </c>
      <c r="H655" s="13">
        <v>25543.68</v>
      </c>
      <c r="I655" s="13">
        <v>3.8</v>
      </c>
      <c r="J655" s="13">
        <v>24</v>
      </c>
      <c r="K655" s="13">
        <v>414</v>
      </c>
      <c r="L655" s="12" t="s">
        <v>2012</v>
      </c>
      <c r="M655" s="12">
        <v>3.2</v>
      </c>
      <c r="N655" s="14">
        <v>45617</v>
      </c>
      <c r="O655" s="13">
        <v>1</v>
      </c>
      <c r="P655" s="12" t="s">
        <v>54</v>
      </c>
      <c r="Q655" s="12" t="s">
        <v>46</v>
      </c>
      <c r="R655" s="12" t="s">
        <v>47</v>
      </c>
      <c r="S655" s="12" t="b">
        <v>0</v>
      </c>
      <c r="T655" s="12" t="s">
        <v>56</v>
      </c>
      <c r="U655" s="15">
        <f t="shared" si="40"/>
        <v>5634.0326510000004</v>
      </c>
      <c r="V655" s="15">
        <f t="shared" si="41"/>
        <v>12471.572</v>
      </c>
      <c r="W655" s="15">
        <f t="shared" si="42"/>
        <v>3831.5520000000001</v>
      </c>
      <c r="X655" s="15">
        <f t="shared" si="43"/>
        <v>9240.5560000000005</v>
      </c>
    </row>
    <row r="656" spans="1:24">
      <c r="A656" s="12" t="s">
        <v>2013</v>
      </c>
      <c r="B656" s="12" t="s">
        <v>2014</v>
      </c>
      <c r="C656" s="12" t="s">
        <v>36</v>
      </c>
      <c r="D656" s="12" t="s">
        <v>37</v>
      </c>
      <c r="E656" s="12" t="s">
        <v>96</v>
      </c>
      <c r="F656" s="13">
        <v>4897.57</v>
      </c>
      <c r="G656" s="13">
        <v>21.32</v>
      </c>
      <c r="H656" s="13">
        <v>3853.59</v>
      </c>
      <c r="I656" s="13">
        <v>3.9</v>
      </c>
      <c r="J656" s="13">
        <v>14</v>
      </c>
      <c r="K656" s="13">
        <v>100</v>
      </c>
      <c r="L656" s="12" t="s">
        <v>2015</v>
      </c>
      <c r="M656" s="12">
        <v>4.7</v>
      </c>
      <c r="N656" s="14">
        <v>45944</v>
      </c>
      <c r="O656" s="13">
        <v>1</v>
      </c>
      <c r="P656" s="12" t="s">
        <v>45</v>
      </c>
      <c r="Q656" s="12" t="s">
        <v>31</v>
      </c>
      <c r="R656" s="12" t="s">
        <v>72</v>
      </c>
      <c r="S656" s="12" t="b">
        <v>0</v>
      </c>
      <c r="T656" s="12" t="s">
        <v>56</v>
      </c>
      <c r="U656" s="15">
        <f t="shared" si="40"/>
        <v>1044.161924</v>
      </c>
      <c r="V656" s="15">
        <f t="shared" si="41"/>
        <v>1959.028</v>
      </c>
      <c r="W656" s="15">
        <f t="shared" si="42"/>
        <v>578.0385</v>
      </c>
      <c r="X656" s="15">
        <f t="shared" si="43"/>
        <v>1316.5235</v>
      </c>
    </row>
    <row r="657" spans="1:24">
      <c r="A657" s="12" t="s">
        <v>2016</v>
      </c>
      <c r="B657" s="12" t="s">
        <v>2017</v>
      </c>
      <c r="C657" s="12" t="s">
        <v>36</v>
      </c>
      <c r="D657" s="12" t="s">
        <v>108</v>
      </c>
      <c r="E657" s="12" t="s">
        <v>52</v>
      </c>
      <c r="F657" s="13">
        <v>12294.4</v>
      </c>
      <c r="G657" s="13">
        <v>38.43</v>
      </c>
      <c r="H657" s="13">
        <v>7569.98</v>
      </c>
      <c r="I657" s="13">
        <v>3.3</v>
      </c>
      <c r="J657" s="13">
        <v>41</v>
      </c>
      <c r="K657" s="13">
        <v>45</v>
      </c>
      <c r="L657" s="12" t="s">
        <v>2018</v>
      </c>
      <c r="M657" s="12">
        <v>3</v>
      </c>
      <c r="N657" s="14">
        <v>45907</v>
      </c>
      <c r="O657" s="13">
        <v>4</v>
      </c>
      <c r="P657" s="12" t="s">
        <v>117</v>
      </c>
      <c r="Q657" s="12" t="s">
        <v>31</v>
      </c>
      <c r="R657" s="12" t="s">
        <v>86</v>
      </c>
      <c r="S657" s="12" t="b">
        <v>0</v>
      </c>
      <c r="T657" s="12" t="s">
        <v>78</v>
      </c>
      <c r="U657" s="15">
        <f t="shared" si="40"/>
        <v>4724.7379199999996</v>
      </c>
      <c r="V657" s="15">
        <f t="shared" si="41"/>
        <v>4917.76</v>
      </c>
      <c r="W657" s="15">
        <f t="shared" si="42"/>
        <v>1135.4970000000001</v>
      </c>
      <c r="X657" s="15">
        <f t="shared" si="43"/>
        <v>1516.723</v>
      </c>
    </row>
    <row r="658" spans="1:24">
      <c r="A658" s="12" t="s">
        <v>2019</v>
      </c>
      <c r="B658" s="12" t="s">
        <v>2020</v>
      </c>
      <c r="C658" s="12" t="s">
        <v>59</v>
      </c>
      <c r="D658" s="12" t="s">
        <v>69</v>
      </c>
      <c r="E658" s="12" t="s">
        <v>112</v>
      </c>
      <c r="F658" s="13">
        <v>10851.37</v>
      </c>
      <c r="G658" s="13">
        <v>7.24</v>
      </c>
      <c r="H658" s="13">
        <v>10065.719999999999</v>
      </c>
      <c r="I658" s="13">
        <v>4.3</v>
      </c>
      <c r="J658" s="13">
        <v>5</v>
      </c>
      <c r="K658" s="13">
        <v>360</v>
      </c>
      <c r="L658" s="12" t="s">
        <v>2021</v>
      </c>
      <c r="M658" s="12">
        <v>3.5</v>
      </c>
      <c r="N658" s="14">
        <v>45533</v>
      </c>
      <c r="O658" s="13">
        <v>3</v>
      </c>
      <c r="P658" s="12" t="s">
        <v>45</v>
      </c>
      <c r="Q658" s="12" t="s">
        <v>46</v>
      </c>
      <c r="R658" s="12" t="s">
        <v>72</v>
      </c>
      <c r="S658" s="12" t="b">
        <v>0</v>
      </c>
      <c r="T658" s="12" t="s">
        <v>78</v>
      </c>
      <c r="U658" s="15">
        <f t="shared" si="40"/>
        <v>785.63918799999999</v>
      </c>
      <c r="V658" s="15">
        <f t="shared" si="41"/>
        <v>4340.5479999999998</v>
      </c>
      <c r="W658" s="15">
        <f t="shared" si="42"/>
        <v>1509.8579999999999</v>
      </c>
      <c r="X658" s="15">
        <f t="shared" si="43"/>
        <v>4215.3140000000003</v>
      </c>
    </row>
    <row r="659" spans="1:24">
      <c r="A659" s="12" t="s">
        <v>2022</v>
      </c>
      <c r="B659" s="12" t="s">
        <v>2023</v>
      </c>
      <c r="C659" s="12" t="s">
        <v>75</v>
      </c>
      <c r="D659" s="12" t="s">
        <v>104</v>
      </c>
      <c r="E659" s="12" t="s">
        <v>28</v>
      </c>
      <c r="F659" s="13">
        <v>2701.95</v>
      </c>
      <c r="G659" s="13">
        <v>38.25</v>
      </c>
      <c r="H659" s="13">
        <v>1668.53</v>
      </c>
      <c r="I659" s="13">
        <v>4</v>
      </c>
      <c r="J659" s="13">
        <v>23</v>
      </c>
      <c r="K659" s="13">
        <v>162</v>
      </c>
      <c r="L659" s="12" t="s">
        <v>2024</v>
      </c>
      <c r="M659" s="12">
        <v>2.5</v>
      </c>
      <c r="N659" s="14">
        <v>45878</v>
      </c>
      <c r="O659" s="13">
        <v>5</v>
      </c>
      <c r="P659" s="12" t="s">
        <v>45</v>
      </c>
      <c r="Q659" s="12" t="s">
        <v>55</v>
      </c>
      <c r="R659" s="12" t="s">
        <v>86</v>
      </c>
      <c r="S659" s="12" t="b">
        <v>0</v>
      </c>
      <c r="T659" s="12" t="s">
        <v>56</v>
      </c>
      <c r="U659" s="15">
        <f t="shared" si="40"/>
        <v>1033.4958750000001</v>
      </c>
      <c r="V659" s="15">
        <f t="shared" si="41"/>
        <v>1080.78</v>
      </c>
      <c r="W659" s="15">
        <f t="shared" si="42"/>
        <v>250.27950000000001</v>
      </c>
      <c r="X659" s="15">
        <f t="shared" si="43"/>
        <v>337.47050000000002</v>
      </c>
    </row>
    <row r="660" spans="1:24">
      <c r="A660" s="12" t="s">
        <v>2025</v>
      </c>
      <c r="B660" s="12" t="s">
        <v>2026</v>
      </c>
      <c r="C660" s="12" t="s">
        <v>36</v>
      </c>
      <c r="D660" s="12" t="s">
        <v>43</v>
      </c>
      <c r="E660" s="12" t="s">
        <v>100</v>
      </c>
      <c r="F660" s="13">
        <v>3053.2</v>
      </c>
      <c r="G660" s="13">
        <v>37.25</v>
      </c>
      <c r="H660" s="13">
        <v>1915.81</v>
      </c>
      <c r="I660" s="13">
        <v>3.3</v>
      </c>
      <c r="J660" s="13">
        <v>43</v>
      </c>
      <c r="K660" s="13">
        <v>96</v>
      </c>
      <c r="L660" s="12" t="s">
        <v>2027</v>
      </c>
      <c r="M660" s="12">
        <v>3.9</v>
      </c>
      <c r="N660" s="14">
        <v>46099</v>
      </c>
      <c r="O660" s="13">
        <v>3</v>
      </c>
      <c r="P660" s="12" t="s">
        <v>54</v>
      </c>
      <c r="Q660" s="12" t="s">
        <v>55</v>
      </c>
      <c r="R660" s="12" t="s">
        <v>86</v>
      </c>
      <c r="S660" s="12" t="b">
        <v>0</v>
      </c>
      <c r="T660" s="12" t="s">
        <v>78</v>
      </c>
      <c r="U660" s="15">
        <f t="shared" si="40"/>
        <v>1137.317</v>
      </c>
      <c r="V660" s="15">
        <f t="shared" si="41"/>
        <v>1221.28</v>
      </c>
      <c r="W660" s="15">
        <f t="shared" si="42"/>
        <v>287.37150000000003</v>
      </c>
      <c r="X660" s="15">
        <f t="shared" si="43"/>
        <v>407.1585</v>
      </c>
    </row>
    <row r="661" spans="1:24">
      <c r="A661" s="12" t="s">
        <v>2028</v>
      </c>
      <c r="B661" s="12" t="s">
        <v>2029</v>
      </c>
      <c r="C661" s="12" t="s">
        <v>59</v>
      </c>
      <c r="D661" s="12" t="s">
        <v>60</v>
      </c>
      <c r="E661" s="12" t="s">
        <v>92</v>
      </c>
      <c r="F661" s="13">
        <v>8090.94</v>
      </c>
      <c r="G661" s="13">
        <v>13.51</v>
      </c>
      <c r="H661" s="13">
        <v>6997.98</v>
      </c>
      <c r="I661" s="13">
        <v>4</v>
      </c>
      <c r="J661" s="13">
        <v>39</v>
      </c>
      <c r="K661" s="13">
        <v>331</v>
      </c>
      <c r="L661" s="12" t="s">
        <v>2030</v>
      </c>
      <c r="M661" s="12">
        <v>3.6</v>
      </c>
      <c r="N661" s="14">
        <v>45753</v>
      </c>
      <c r="O661" s="13">
        <v>3</v>
      </c>
      <c r="P661" s="12" t="s">
        <v>54</v>
      </c>
      <c r="Q661" s="12" t="s">
        <v>46</v>
      </c>
      <c r="R661" s="12" t="s">
        <v>86</v>
      </c>
      <c r="S661" s="12" t="b">
        <v>0</v>
      </c>
      <c r="T661" s="12" t="s">
        <v>62</v>
      </c>
      <c r="U661" s="15">
        <f t="shared" si="40"/>
        <v>1093.085994</v>
      </c>
      <c r="V661" s="15">
        <f t="shared" si="41"/>
        <v>3236.3760000000002</v>
      </c>
      <c r="W661" s="15">
        <f t="shared" si="42"/>
        <v>1049.6969999999999</v>
      </c>
      <c r="X661" s="15">
        <f t="shared" si="43"/>
        <v>2711.9070000000002</v>
      </c>
    </row>
    <row r="662" spans="1:24">
      <c r="A662" s="12" t="s">
        <v>2031</v>
      </c>
      <c r="B662" s="12" t="s">
        <v>2032</v>
      </c>
      <c r="C662" s="12" t="s">
        <v>50</v>
      </c>
      <c r="D662" s="12" t="s">
        <v>130</v>
      </c>
      <c r="E662" s="12" t="s">
        <v>84</v>
      </c>
      <c r="F662" s="13">
        <v>1941.28</v>
      </c>
      <c r="G662" s="13">
        <v>35.75</v>
      </c>
      <c r="H662" s="13">
        <v>1247.18</v>
      </c>
      <c r="I662" s="13">
        <v>3.8</v>
      </c>
      <c r="J662" s="13">
        <v>148</v>
      </c>
      <c r="K662" s="13">
        <v>440</v>
      </c>
      <c r="L662" s="12" t="s">
        <v>2033</v>
      </c>
      <c r="M662" s="12">
        <v>3.9</v>
      </c>
      <c r="N662" s="14">
        <v>46088</v>
      </c>
      <c r="O662" s="13">
        <v>5</v>
      </c>
      <c r="P662" s="12" t="s">
        <v>54</v>
      </c>
      <c r="Q662" s="12" t="s">
        <v>31</v>
      </c>
      <c r="R662" s="12" t="s">
        <v>86</v>
      </c>
      <c r="S662" s="12" t="b">
        <v>0</v>
      </c>
      <c r="T662" s="12" t="s">
        <v>62</v>
      </c>
      <c r="U662" s="15">
        <f t="shared" si="40"/>
        <v>694.00760000000002</v>
      </c>
      <c r="V662" s="15">
        <f t="shared" si="41"/>
        <v>776.51199999999994</v>
      </c>
      <c r="W662" s="15">
        <f t="shared" si="42"/>
        <v>187.077</v>
      </c>
      <c r="X662" s="15">
        <f t="shared" si="43"/>
        <v>283.59100000000001</v>
      </c>
    </row>
    <row r="663" spans="1:24">
      <c r="A663" s="12" t="s">
        <v>2034</v>
      </c>
      <c r="B663" s="12" t="s">
        <v>2035</v>
      </c>
      <c r="C663" s="12" t="s">
        <v>75</v>
      </c>
      <c r="D663" s="12" t="s">
        <v>104</v>
      </c>
      <c r="E663" s="12" t="s">
        <v>131</v>
      </c>
      <c r="F663" s="13">
        <v>1964.38</v>
      </c>
      <c r="G663" s="13">
        <v>35.43</v>
      </c>
      <c r="H663" s="13">
        <v>1268.43</v>
      </c>
      <c r="I663" s="13">
        <v>3.8</v>
      </c>
      <c r="J663" s="13">
        <v>20</v>
      </c>
      <c r="K663" s="13">
        <v>196</v>
      </c>
      <c r="L663" s="12" t="s">
        <v>2036</v>
      </c>
      <c r="M663" s="12">
        <v>3.9</v>
      </c>
      <c r="N663" s="14">
        <v>45965</v>
      </c>
      <c r="O663" s="13">
        <v>6</v>
      </c>
      <c r="P663" s="12" t="s">
        <v>117</v>
      </c>
      <c r="Q663" s="12" t="s">
        <v>46</v>
      </c>
      <c r="R663" s="12" t="s">
        <v>47</v>
      </c>
      <c r="S663" s="12" t="b">
        <v>0</v>
      </c>
      <c r="T663" s="12" t="s">
        <v>56</v>
      </c>
      <c r="U663" s="15">
        <f t="shared" si="40"/>
        <v>695.97983399999998</v>
      </c>
      <c r="V663" s="15">
        <f t="shared" si="41"/>
        <v>785.75199999999995</v>
      </c>
      <c r="W663" s="15">
        <f t="shared" si="42"/>
        <v>190.2645</v>
      </c>
      <c r="X663" s="15">
        <f t="shared" si="43"/>
        <v>292.4135</v>
      </c>
    </row>
    <row r="664" spans="1:24">
      <c r="A664" s="12" t="s">
        <v>2037</v>
      </c>
      <c r="B664" s="12" t="s">
        <v>2038</v>
      </c>
      <c r="C664" s="12" t="s">
        <v>36</v>
      </c>
      <c r="D664" s="12" t="s">
        <v>43</v>
      </c>
      <c r="E664" s="12" t="s">
        <v>65</v>
      </c>
      <c r="F664" s="13">
        <v>10499.76</v>
      </c>
      <c r="G664" s="13">
        <v>18.559999999999999</v>
      </c>
      <c r="H664" s="13">
        <v>8550.73</v>
      </c>
      <c r="I664" s="13">
        <v>3.4</v>
      </c>
      <c r="J664" s="13">
        <v>29</v>
      </c>
      <c r="K664" s="13">
        <v>364</v>
      </c>
      <c r="L664" s="12" t="s">
        <v>2039</v>
      </c>
      <c r="M664" s="12">
        <v>3.4</v>
      </c>
      <c r="N664" s="14">
        <v>45843</v>
      </c>
      <c r="O664" s="13">
        <v>6</v>
      </c>
      <c r="P664" s="12" t="s">
        <v>117</v>
      </c>
      <c r="Q664" s="12" t="s">
        <v>55</v>
      </c>
      <c r="R664" s="12" t="s">
        <v>86</v>
      </c>
      <c r="S664" s="12" t="b">
        <v>0</v>
      </c>
      <c r="T664" s="12" t="s">
        <v>62</v>
      </c>
      <c r="U664" s="15">
        <f t="shared" si="40"/>
        <v>1948.7554560000001</v>
      </c>
      <c r="V664" s="15">
        <f t="shared" si="41"/>
        <v>4199.9040000000005</v>
      </c>
      <c r="W664" s="15">
        <f t="shared" si="42"/>
        <v>1282.6095</v>
      </c>
      <c r="X664" s="15">
        <f t="shared" si="43"/>
        <v>3068.2165</v>
      </c>
    </row>
    <row r="665" spans="1:24">
      <c r="A665" s="12" t="s">
        <v>2040</v>
      </c>
      <c r="B665" s="12" t="s">
        <v>2041</v>
      </c>
      <c r="C665" s="12" t="s">
        <v>36</v>
      </c>
      <c r="D665" s="12" t="s">
        <v>37</v>
      </c>
      <c r="E665" s="12" t="s">
        <v>38</v>
      </c>
      <c r="F665" s="13">
        <v>9158.19</v>
      </c>
      <c r="G665" s="13">
        <v>24.09</v>
      </c>
      <c r="H665" s="13">
        <v>6952.14</v>
      </c>
      <c r="I665" s="13">
        <v>3.1</v>
      </c>
      <c r="J665" s="13">
        <v>14</v>
      </c>
      <c r="K665" s="13">
        <v>360</v>
      </c>
      <c r="L665" s="12" t="s">
        <v>2042</v>
      </c>
      <c r="M665" s="12">
        <v>4.2</v>
      </c>
      <c r="N665" s="14">
        <v>46050</v>
      </c>
      <c r="O665" s="13">
        <v>4</v>
      </c>
      <c r="P665" s="12" t="s">
        <v>40</v>
      </c>
      <c r="Q665" s="12" t="s">
        <v>46</v>
      </c>
      <c r="R665" s="12" t="s">
        <v>86</v>
      </c>
      <c r="S665" s="12" t="b">
        <v>0</v>
      </c>
      <c r="T665" s="12" t="s">
        <v>62</v>
      </c>
      <c r="U665" s="15">
        <f t="shared" si="40"/>
        <v>2206.2079709999998</v>
      </c>
      <c r="V665" s="15">
        <f t="shared" si="41"/>
        <v>3663.2759999999998</v>
      </c>
      <c r="W665" s="15">
        <f t="shared" si="42"/>
        <v>1042.8209999999999</v>
      </c>
      <c r="X665" s="15">
        <f t="shared" si="43"/>
        <v>2246.0430000000001</v>
      </c>
    </row>
    <row r="666" spans="1:24">
      <c r="A666" s="12" t="s">
        <v>2043</v>
      </c>
      <c r="B666" s="12" t="s">
        <v>2044</v>
      </c>
      <c r="C666" s="12" t="s">
        <v>26</v>
      </c>
      <c r="D666" s="12" t="s">
        <v>123</v>
      </c>
      <c r="E666" s="12" t="s">
        <v>28</v>
      </c>
      <c r="F666" s="13">
        <v>69796.61</v>
      </c>
      <c r="G666" s="13">
        <v>20.53</v>
      </c>
      <c r="H666" s="13">
        <v>55463.9</v>
      </c>
      <c r="I666" s="13">
        <v>4.8</v>
      </c>
      <c r="J666" s="13">
        <v>6</v>
      </c>
      <c r="K666" s="13">
        <v>238</v>
      </c>
      <c r="L666" s="12" t="s">
        <v>2045</v>
      </c>
      <c r="M666" s="12">
        <v>3.4</v>
      </c>
      <c r="N666" s="14">
        <v>45849</v>
      </c>
      <c r="O666" s="13">
        <v>4</v>
      </c>
      <c r="P666" s="12" t="s">
        <v>45</v>
      </c>
      <c r="Q666" s="12" t="s">
        <v>46</v>
      </c>
      <c r="R666" s="12" t="s">
        <v>32</v>
      </c>
      <c r="S666" s="12" t="b">
        <v>0</v>
      </c>
      <c r="T666" s="12" t="s">
        <v>78</v>
      </c>
      <c r="U666" s="15">
        <f t="shared" si="40"/>
        <v>14329.244033000001</v>
      </c>
      <c r="V666" s="15">
        <f t="shared" si="41"/>
        <v>27918.644</v>
      </c>
      <c r="W666" s="15">
        <f t="shared" si="42"/>
        <v>8319.5849999999991</v>
      </c>
      <c r="X666" s="15">
        <f t="shared" si="43"/>
        <v>19225.670999999998</v>
      </c>
    </row>
    <row r="667" spans="1:24">
      <c r="A667" s="12" t="s">
        <v>2046</v>
      </c>
      <c r="B667" s="12" t="s">
        <v>2047</v>
      </c>
      <c r="C667" s="12" t="s">
        <v>50</v>
      </c>
      <c r="D667" s="12" t="s">
        <v>213</v>
      </c>
      <c r="E667" s="12" t="s">
        <v>28</v>
      </c>
      <c r="F667" s="13">
        <v>3395.77</v>
      </c>
      <c r="G667" s="13">
        <v>25.7</v>
      </c>
      <c r="H667" s="13">
        <v>2522.9</v>
      </c>
      <c r="I667" s="13">
        <v>3.6</v>
      </c>
      <c r="J667" s="13">
        <v>11</v>
      </c>
      <c r="K667" s="13">
        <v>276</v>
      </c>
      <c r="L667" s="12" t="s">
        <v>1967</v>
      </c>
      <c r="M667" s="12">
        <v>3.8</v>
      </c>
      <c r="N667" s="14">
        <v>45778</v>
      </c>
      <c r="O667" s="13">
        <v>3</v>
      </c>
      <c r="P667" s="12" t="s">
        <v>40</v>
      </c>
      <c r="Q667" s="12" t="s">
        <v>31</v>
      </c>
      <c r="R667" s="12" t="s">
        <v>32</v>
      </c>
      <c r="S667" s="12" t="b">
        <v>0</v>
      </c>
      <c r="T667" s="12" t="s">
        <v>56</v>
      </c>
      <c r="U667" s="15">
        <f t="shared" si="40"/>
        <v>872.71289000000002</v>
      </c>
      <c r="V667" s="15">
        <f t="shared" si="41"/>
        <v>1358.308</v>
      </c>
      <c r="W667" s="15">
        <f t="shared" si="42"/>
        <v>378.435</v>
      </c>
      <c r="X667" s="15">
        <f t="shared" si="43"/>
        <v>786.15700000000004</v>
      </c>
    </row>
    <row r="668" spans="1:24">
      <c r="A668" s="12" t="s">
        <v>2048</v>
      </c>
      <c r="B668" s="12" t="s">
        <v>2049</v>
      </c>
      <c r="C668" s="12" t="s">
        <v>36</v>
      </c>
      <c r="D668" s="12" t="s">
        <v>43</v>
      </c>
      <c r="E668" s="12" t="s">
        <v>235</v>
      </c>
      <c r="F668" s="13">
        <v>11742.31</v>
      </c>
      <c r="G668" s="13">
        <v>25.28</v>
      </c>
      <c r="H668" s="13">
        <v>8773.65</v>
      </c>
      <c r="I668" s="13">
        <v>4.2</v>
      </c>
      <c r="J668" s="13">
        <v>31</v>
      </c>
      <c r="K668" s="13">
        <v>293</v>
      </c>
      <c r="L668" s="12" t="s">
        <v>2050</v>
      </c>
      <c r="M668" s="12">
        <v>4.0999999999999996</v>
      </c>
      <c r="N668" s="14">
        <v>45661</v>
      </c>
      <c r="O668" s="13">
        <v>1</v>
      </c>
      <c r="P668" s="12" t="s">
        <v>117</v>
      </c>
      <c r="Q668" s="12" t="s">
        <v>55</v>
      </c>
      <c r="R668" s="12" t="s">
        <v>72</v>
      </c>
      <c r="S668" s="12" t="b">
        <v>0</v>
      </c>
      <c r="T668" s="12" t="s">
        <v>56</v>
      </c>
      <c r="U668" s="15">
        <f t="shared" si="40"/>
        <v>2968.4559680000002</v>
      </c>
      <c r="V668" s="15">
        <f t="shared" si="41"/>
        <v>4696.924</v>
      </c>
      <c r="W668" s="15">
        <f t="shared" si="42"/>
        <v>1316.0474999999999</v>
      </c>
      <c r="X668" s="15">
        <f t="shared" si="43"/>
        <v>2760.6785</v>
      </c>
    </row>
    <row r="669" spans="1:24">
      <c r="A669" s="12" t="s">
        <v>2051</v>
      </c>
      <c r="B669" s="12" t="s">
        <v>2052</v>
      </c>
      <c r="C669" s="12" t="s">
        <v>59</v>
      </c>
      <c r="D669" s="12" t="s">
        <v>69</v>
      </c>
      <c r="E669" s="12" t="s">
        <v>38</v>
      </c>
      <c r="F669" s="13">
        <v>9305.81</v>
      </c>
      <c r="G669" s="13">
        <v>44.21</v>
      </c>
      <c r="H669" s="13">
        <v>5191.71</v>
      </c>
      <c r="I669" s="13">
        <v>3.2</v>
      </c>
      <c r="J669" s="13">
        <v>12</v>
      </c>
      <c r="K669" s="13">
        <v>372</v>
      </c>
      <c r="L669" s="12" t="s">
        <v>2053</v>
      </c>
      <c r="M669" s="12">
        <v>4.5999999999999996</v>
      </c>
      <c r="N669" s="14">
        <v>45990</v>
      </c>
      <c r="O669" s="13">
        <v>3</v>
      </c>
      <c r="P669" s="12" t="s">
        <v>45</v>
      </c>
      <c r="Q669" s="12" t="s">
        <v>46</v>
      </c>
      <c r="R669" s="12" t="s">
        <v>86</v>
      </c>
      <c r="S669" s="12" t="b">
        <v>0</v>
      </c>
      <c r="T669" s="12" t="s">
        <v>62</v>
      </c>
      <c r="U669" s="15">
        <f t="shared" si="40"/>
        <v>4114.0986009999997</v>
      </c>
      <c r="V669" s="15">
        <f t="shared" si="41"/>
        <v>3722.3240000000001</v>
      </c>
      <c r="W669" s="15">
        <f t="shared" si="42"/>
        <v>778.75649999999996</v>
      </c>
      <c r="X669" s="15">
        <f t="shared" si="43"/>
        <v>690.62950000000001</v>
      </c>
    </row>
    <row r="670" spans="1:24">
      <c r="A670" s="12" t="s">
        <v>2054</v>
      </c>
      <c r="B670" s="12" t="s">
        <v>2055</v>
      </c>
      <c r="C670" s="12" t="s">
        <v>75</v>
      </c>
      <c r="D670" s="12" t="s">
        <v>76</v>
      </c>
      <c r="E670" s="12" t="s">
        <v>38</v>
      </c>
      <c r="F670" s="13">
        <v>680.56</v>
      </c>
      <c r="G670" s="13">
        <v>60.07</v>
      </c>
      <c r="H670" s="13">
        <v>271.77999999999997</v>
      </c>
      <c r="I670" s="13">
        <v>4.0999999999999996</v>
      </c>
      <c r="J670" s="13">
        <v>47</v>
      </c>
      <c r="K670" s="13">
        <v>13</v>
      </c>
      <c r="L670" s="12" t="s">
        <v>2056</v>
      </c>
      <c r="M670" s="12">
        <v>2.6</v>
      </c>
      <c r="N670" s="14">
        <v>45670</v>
      </c>
      <c r="O670" s="13">
        <v>1</v>
      </c>
      <c r="P670" s="12" t="s">
        <v>30</v>
      </c>
      <c r="Q670" s="12" t="s">
        <v>55</v>
      </c>
      <c r="R670" s="12" t="s">
        <v>32</v>
      </c>
      <c r="S670" s="12" t="b">
        <v>0</v>
      </c>
      <c r="T670" s="12" t="s">
        <v>78</v>
      </c>
      <c r="U670" s="15">
        <f t="shared" si="40"/>
        <v>408.81239199999999</v>
      </c>
      <c r="V670" s="15">
        <f t="shared" si="41"/>
        <v>272.22399999999999</v>
      </c>
      <c r="W670" s="15">
        <f t="shared" si="42"/>
        <v>40.767000000000003</v>
      </c>
      <c r="X670" s="15">
        <f t="shared" si="43"/>
        <v>-41.210999999999999</v>
      </c>
    </row>
    <row r="671" spans="1:24">
      <c r="A671" s="12" t="s">
        <v>2057</v>
      </c>
      <c r="B671" s="12" t="s">
        <v>2058</v>
      </c>
      <c r="C671" s="12" t="s">
        <v>36</v>
      </c>
      <c r="D671" s="12" t="s">
        <v>43</v>
      </c>
      <c r="E671" s="12" t="s">
        <v>52</v>
      </c>
      <c r="F671" s="13">
        <v>10177.530000000001</v>
      </c>
      <c r="G671" s="13">
        <v>5.57</v>
      </c>
      <c r="H671" s="13">
        <v>9610.19</v>
      </c>
      <c r="I671" s="13">
        <v>3.8</v>
      </c>
      <c r="J671" s="13">
        <v>57</v>
      </c>
      <c r="K671" s="13">
        <v>143</v>
      </c>
      <c r="L671" s="12" t="s">
        <v>2059</v>
      </c>
      <c r="M671" s="12">
        <v>4.3</v>
      </c>
      <c r="N671" s="14">
        <v>45416</v>
      </c>
      <c r="O671" s="13">
        <v>2</v>
      </c>
      <c r="P671" s="12" t="s">
        <v>30</v>
      </c>
      <c r="Q671" s="12" t="s">
        <v>55</v>
      </c>
      <c r="R671" s="12" t="s">
        <v>32</v>
      </c>
      <c r="S671" s="12" t="b">
        <v>1</v>
      </c>
      <c r="T671" s="12" t="s">
        <v>33</v>
      </c>
      <c r="U671" s="15">
        <f t="shared" si="40"/>
        <v>566.88842099999999</v>
      </c>
      <c r="V671" s="15">
        <f t="shared" si="41"/>
        <v>4071.0120000000002</v>
      </c>
      <c r="W671" s="15">
        <f t="shared" si="42"/>
        <v>1441.5284999999999</v>
      </c>
      <c r="X671" s="15">
        <f t="shared" si="43"/>
        <v>4097.6495000000004</v>
      </c>
    </row>
    <row r="672" spans="1:24">
      <c r="A672" s="12" t="s">
        <v>2060</v>
      </c>
      <c r="B672" s="12" t="s">
        <v>2061</v>
      </c>
      <c r="C672" s="12" t="s">
        <v>26</v>
      </c>
      <c r="D672" s="12" t="s">
        <v>123</v>
      </c>
      <c r="E672" s="12" t="s">
        <v>65</v>
      </c>
      <c r="F672" s="13">
        <v>11079.47</v>
      </c>
      <c r="G672" s="13">
        <v>38.520000000000003</v>
      </c>
      <c r="H672" s="13">
        <v>6811.21</v>
      </c>
      <c r="I672" s="13">
        <v>4.0999999999999996</v>
      </c>
      <c r="J672" s="13">
        <v>44</v>
      </c>
      <c r="K672" s="13">
        <v>189</v>
      </c>
      <c r="L672" s="12" t="s">
        <v>2062</v>
      </c>
      <c r="M672" s="12">
        <v>3</v>
      </c>
      <c r="N672" s="14">
        <v>46063</v>
      </c>
      <c r="O672" s="13">
        <v>5</v>
      </c>
      <c r="P672" s="12" t="s">
        <v>54</v>
      </c>
      <c r="Q672" s="12" t="s">
        <v>55</v>
      </c>
      <c r="R672" s="12" t="s">
        <v>47</v>
      </c>
      <c r="S672" s="12" t="b">
        <v>0</v>
      </c>
      <c r="T672" s="12" t="s">
        <v>56</v>
      </c>
      <c r="U672" s="15">
        <f t="shared" si="40"/>
        <v>4267.8118439999998</v>
      </c>
      <c r="V672" s="15">
        <f t="shared" si="41"/>
        <v>4431.7879999999996</v>
      </c>
      <c r="W672" s="15">
        <f t="shared" si="42"/>
        <v>1021.6815</v>
      </c>
      <c r="X672" s="15">
        <f t="shared" si="43"/>
        <v>1357.7405000000001</v>
      </c>
    </row>
    <row r="673" spans="1:24">
      <c r="A673" s="12" t="s">
        <v>2063</v>
      </c>
      <c r="B673" s="12" t="s">
        <v>2064</v>
      </c>
      <c r="C673" s="12" t="s">
        <v>75</v>
      </c>
      <c r="D673" s="12" t="s">
        <v>76</v>
      </c>
      <c r="E673" s="12" t="s">
        <v>38</v>
      </c>
      <c r="F673" s="13">
        <v>2766.29</v>
      </c>
      <c r="G673" s="13">
        <v>40.380000000000003</v>
      </c>
      <c r="H673" s="13">
        <v>1649.23</v>
      </c>
      <c r="I673" s="13">
        <v>3.5</v>
      </c>
      <c r="J673" s="13">
        <v>39</v>
      </c>
      <c r="K673" s="13">
        <v>304</v>
      </c>
      <c r="L673" s="12" t="s">
        <v>1748</v>
      </c>
      <c r="M673" s="12">
        <v>3.3</v>
      </c>
      <c r="N673" s="14">
        <v>46028</v>
      </c>
      <c r="O673" s="13">
        <v>1</v>
      </c>
      <c r="P673" s="12" t="s">
        <v>30</v>
      </c>
      <c r="Q673" s="12" t="s">
        <v>55</v>
      </c>
      <c r="R673" s="12" t="s">
        <v>86</v>
      </c>
      <c r="S673" s="12" t="b">
        <v>0</v>
      </c>
      <c r="T673" s="12" t="s">
        <v>56</v>
      </c>
      <c r="U673" s="15">
        <f t="shared" si="40"/>
        <v>1117.027902</v>
      </c>
      <c r="V673" s="15">
        <f t="shared" si="41"/>
        <v>1106.5160000000001</v>
      </c>
      <c r="W673" s="15">
        <f t="shared" si="42"/>
        <v>247.3845</v>
      </c>
      <c r="X673" s="15">
        <f t="shared" si="43"/>
        <v>295.3295</v>
      </c>
    </row>
    <row r="674" spans="1:24">
      <c r="A674" s="12" t="s">
        <v>2065</v>
      </c>
      <c r="B674" s="12" t="s">
        <v>2066</v>
      </c>
      <c r="C674" s="12" t="s">
        <v>75</v>
      </c>
      <c r="D674" s="12" t="s">
        <v>76</v>
      </c>
      <c r="E674" s="12" t="s">
        <v>235</v>
      </c>
      <c r="F674" s="13">
        <v>4687.0200000000004</v>
      </c>
      <c r="G674" s="13">
        <v>16.77</v>
      </c>
      <c r="H674" s="13">
        <v>3900.94</v>
      </c>
      <c r="I674" s="13">
        <v>4.4000000000000004</v>
      </c>
      <c r="J674" s="13">
        <v>30</v>
      </c>
      <c r="K674" s="13">
        <v>375</v>
      </c>
      <c r="L674" s="12" t="s">
        <v>1530</v>
      </c>
      <c r="M674" s="12">
        <v>4.4000000000000004</v>
      </c>
      <c r="N674" s="14">
        <v>45518</v>
      </c>
      <c r="O674" s="13">
        <v>3</v>
      </c>
      <c r="P674" s="12" t="s">
        <v>54</v>
      </c>
      <c r="Q674" s="12" t="s">
        <v>46</v>
      </c>
      <c r="R674" s="12" t="s">
        <v>72</v>
      </c>
      <c r="S674" s="12" t="b">
        <v>0</v>
      </c>
      <c r="T674" s="12" t="s">
        <v>78</v>
      </c>
      <c r="U674" s="15">
        <f t="shared" si="40"/>
        <v>786.01325399999996</v>
      </c>
      <c r="V674" s="15">
        <f t="shared" si="41"/>
        <v>1874.808</v>
      </c>
      <c r="W674" s="15">
        <f t="shared" si="42"/>
        <v>585.14099999999996</v>
      </c>
      <c r="X674" s="15">
        <f t="shared" si="43"/>
        <v>1440.991</v>
      </c>
    </row>
    <row r="675" spans="1:24">
      <c r="A675" s="12" t="s">
        <v>2067</v>
      </c>
      <c r="B675" s="12" t="s">
        <v>2068</v>
      </c>
      <c r="C675" s="12" t="s">
        <v>26</v>
      </c>
      <c r="D675" s="12" t="s">
        <v>123</v>
      </c>
      <c r="E675" s="12" t="s">
        <v>235</v>
      </c>
      <c r="F675" s="13">
        <v>63794.64</v>
      </c>
      <c r="G675" s="13">
        <v>37.590000000000003</v>
      </c>
      <c r="H675" s="13">
        <v>39815.410000000003</v>
      </c>
      <c r="I675" s="13">
        <v>4.8</v>
      </c>
      <c r="J675" s="13">
        <v>48</v>
      </c>
      <c r="K675" s="13">
        <v>243</v>
      </c>
      <c r="L675" s="12" t="s">
        <v>2069</v>
      </c>
      <c r="M675" s="12">
        <v>4.0999999999999996</v>
      </c>
      <c r="N675" s="14">
        <v>45634</v>
      </c>
      <c r="O675" s="13">
        <v>2</v>
      </c>
      <c r="P675" s="12" t="s">
        <v>117</v>
      </c>
      <c r="Q675" s="12" t="s">
        <v>46</v>
      </c>
      <c r="R675" s="12" t="s">
        <v>86</v>
      </c>
      <c r="S675" s="12" t="b">
        <v>0</v>
      </c>
      <c r="T675" s="12" t="s">
        <v>62</v>
      </c>
      <c r="U675" s="15">
        <f t="shared" si="40"/>
        <v>23980.405176</v>
      </c>
      <c r="V675" s="15">
        <f t="shared" si="41"/>
        <v>25517.856</v>
      </c>
      <c r="W675" s="15">
        <f t="shared" si="42"/>
        <v>5972.3114999999998</v>
      </c>
      <c r="X675" s="15">
        <f t="shared" si="43"/>
        <v>8325.2425000000003</v>
      </c>
    </row>
    <row r="676" spans="1:24">
      <c r="A676" s="12" t="s">
        <v>2070</v>
      </c>
      <c r="B676" s="12" t="s">
        <v>2071</v>
      </c>
      <c r="C676" s="12" t="s">
        <v>50</v>
      </c>
      <c r="D676" s="12" t="s">
        <v>51</v>
      </c>
      <c r="E676" s="12" t="s">
        <v>52</v>
      </c>
      <c r="F676" s="13">
        <v>1278</v>
      </c>
      <c r="G676" s="13">
        <v>42.82</v>
      </c>
      <c r="H676" s="13">
        <v>730.76</v>
      </c>
      <c r="I676" s="13">
        <v>4.3</v>
      </c>
      <c r="J676" s="13">
        <v>39</v>
      </c>
      <c r="K676" s="13">
        <v>6</v>
      </c>
      <c r="L676" s="12" t="s">
        <v>2072</v>
      </c>
      <c r="M676" s="12">
        <v>4.5999999999999996</v>
      </c>
      <c r="N676" s="14">
        <v>45864</v>
      </c>
      <c r="O676" s="13">
        <v>3</v>
      </c>
      <c r="P676" s="12" t="s">
        <v>54</v>
      </c>
      <c r="Q676" s="12" t="s">
        <v>55</v>
      </c>
      <c r="R676" s="12" t="s">
        <v>86</v>
      </c>
      <c r="S676" s="12" t="b">
        <v>0</v>
      </c>
      <c r="T676" s="12" t="s">
        <v>62</v>
      </c>
      <c r="U676" s="15">
        <f t="shared" si="40"/>
        <v>547.2396</v>
      </c>
      <c r="V676" s="15">
        <f t="shared" si="41"/>
        <v>511.2</v>
      </c>
      <c r="W676" s="15">
        <f t="shared" si="42"/>
        <v>109.614</v>
      </c>
      <c r="X676" s="15">
        <f t="shared" si="43"/>
        <v>109.946</v>
      </c>
    </row>
    <row r="677" spans="1:24">
      <c r="A677" s="12" t="s">
        <v>2073</v>
      </c>
      <c r="B677" s="12" t="s">
        <v>2074</v>
      </c>
      <c r="C677" s="12" t="s">
        <v>59</v>
      </c>
      <c r="D677" s="12" t="s">
        <v>60</v>
      </c>
      <c r="E677" s="12" t="s">
        <v>100</v>
      </c>
      <c r="F677" s="13">
        <v>15663.88</v>
      </c>
      <c r="G677" s="13">
        <v>48.26</v>
      </c>
      <c r="H677" s="13">
        <v>8104.48</v>
      </c>
      <c r="I677" s="13">
        <v>3.2</v>
      </c>
      <c r="J677" s="13">
        <v>15</v>
      </c>
      <c r="K677" s="13">
        <v>326</v>
      </c>
      <c r="L677" s="12" t="s">
        <v>2075</v>
      </c>
      <c r="M677" s="12">
        <v>4.3</v>
      </c>
      <c r="N677" s="14">
        <v>45809</v>
      </c>
      <c r="O677" s="13">
        <v>3</v>
      </c>
      <c r="P677" s="12" t="s">
        <v>40</v>
      </c>
      <c r="Q677" s="12" t="s">
        <v>55</v>
      </c>
      <c r="R677" s="12" t="s">
        <v>72</v>
      </c>
      <c r="S677" s="12" t="b">
        <v>0</v>
      </c>
      <c r="T677" s="12" t="s">
        <v>56</v>
      </c>
      <c r="U677" s="15">
        <f t="shared" si="40"/>
        <v>7559.3884879999996</v>
      </c>
      <c r="V677" s="15">
        <f t="shared" si="41"/>
        <v>6265.5519999999997</v>
      </c>
      <c r="W677" s="15">
        <f t="shared" si="42"/>
        <v>1215.672</v>
      </c>
      <c r="X677" s="15">
        <f t="shared" si="43"/>
        <v>623.25599999999997</v>
      </c>
    </row>
    <row r="678" spans="1:24">
      <c r="A678" s="12" t="s">
        <v>2076</v>
      </c>
      <c r="B678" s="12" t="s">
        <v>2077</v>
      </c>
      <c r="C678" s="12" t="s">
        <v>59</v>
      </c>
      <c r="D678" s="12" t="s">
        <v>170</v>
      </c>
      <c r="E678" s="12" t="s">
        <v>84</v>
      </c>
      <c r="F678" s="13">
        <v>13577.43</v>
      </c>
      <c r="G678" s="13">
        <v>25.23</v>
      </c>
      <c r="H678" s="13">
        <v>10151.58</v>
      </c>
      <c r="I678" s="13">
        <v>4</v>
      </c>
      <c r="J678" s="13">
        <v>5</v>
      </c>
      <c r="K678" s="13">
        <v>200</v>
      </c>
      <c r="L678" s="12" t="s">
        <v>2078</v>
      </c>
      <c r="M678" s="12">
        <v>4.5999999999999996</v>
      </c>
      <c r="N678" s="14">
        <v>45596</v>
      </c>
      <c r="O678" s="13">
        <v>6</v>
      </c>
      <c r="P678" s="12" t="s">
        <v>30</v>
      </c>
      <c r="Q678" s="12" t="s">
        <v>31</v>
      </c>
      <c r="R678" s="12" t="s">
        <v>47</v>
      </c>
      <c r="S678" s="12" t="b">
        <v>0</v>
      </c>
      <c r="T678" s="12" t="s">
        <v>62</v>
      </c>
      <c r="U678" s="15">
        <f t="shared" si="40"/>
        <v>3425.5855889999998</v>
      </c>
      <c r="V678" s="15">
        <f t="shared" si="41"/>
        <v>5430.9719999999998</v>
      </c>
      <c r="W678" s="15">
        <f t="shared" si="42"/>
        <v>1522.7370000000001</v>
      </c>
      <c r="X678" s="15">
        <f t="shared" si="43"/>
        <v>3197.8710000000001</v>
      </c>
    </row>
    <row r="679" spans="1:24">
      <c r="A679" s="12" t="s">
        <v>2079</v>
      </c>
      <c r="B679" s="12" t="s">
        <v>2080</v>
      </c>
      <c r="C679" s="12" t="s">
        <v>36</v>
      </c>
      <c r="D679" s="12" t="s">
        <v>43</v>
      </c>
      <c r="E679" s="12" t="s">
        <v>131</v>
      </c>
      <c r="F679" s="13">
        <v>6192.52</v>
      </c>
      <c r="G679" s="13">
        <v>20.39</v>
      </c>
      <c r="H679" s="13">
        <v>4929.8</v>
      </c>
      <c r="I679" s="13">
        <v>3.6</v>
      </c>
      <c r="J679" s="13">
        <v>43</v>
      </c>
      <c r="K679" s="13">
        <v>160</v>
      </c>
      <c r="L679" s="12" t="s">
        <v>2081</v>
      </c>
      <c r="M679" s="12">
        <v>3.4</v>
      </c>
      <c r="N679" s="14">
        <v>45708</v>
      </c>
      <c r="O679" s="13">
        <v>4</v>
      </c>
      <c r="P679" s="12" t="s">
        <v>30</v>
      </c>
      <c r="Q679" s="12" t="s">
        <v>46</v>
      </c>
      <c r="R679" s="12" t="s">
        <v>32</v>
      </c>
      <c r="S679" s="12" t="b">
        <v>1</v>
      </c>
      <c r="T679" s="12" t="s">
        <v>33</v>
      </c>
      <c r="U679" s="15">
        <f t="shared" si="40"/>
        <v>1262.654828</v>
      </c>
      <c r="V679" s="15">
        <f t="shared" si="41"/>
        <v>2477.0079999999998</v>
      </c>
      <c r="W679" s="15">
        <f t="shared" si="42"/>
        <v>739.47</v>
      </c>
      <c r="X679" s="15">
        <f t="shared" si="43"/>
        <v>1713.3219999999999</v>
      </c>
    </row>
    <row r="680" spans="1:24">
      <c r="A680" s="12" t="s">
        <v>2082</v>
      </c>
      <c r="B680" s="12" t="s">
        <v>2083</v>
      </c>
      <c r="C680" s="12" t="s">
        <v>26</v>
      </c>
      <c r="D680" s="12" t="s">
        <v>27</v>
      </c>
      <c r="E680" s="12" t="s">
        <v>96</v>
      </c>
      <c r="F680" s="13">
        <v>45672.5</v>
      </c>
      <c r="G680" s="13">
        <v>25.33</v>
      </c>
      <c r="H680" s="13">
        <v>34104.620000000003</v>
      </c>
      <c r="I680" s="13">
        <v>4.5</v>
      </c>
      <c r="J680" s="13">
        <v>25</v>
      </c>
      <c r="K680" s="13">
        <v>350</v>
      </c>
      <c r="L680" s="12" t="s">
        <v>2084</v>
      </c>
      <c r="M680" s="12">
        <v>3.4</v>
      </c>
      <c r="N680" s="14">
        <v>45765</v>
      </c>
      <c r="O680" s="13">
        <v>3</v>
      </c>
      <c r="P680" s="12" t="s">
        <v>40</v>
      </c>
      <c r="Q680" s="12" t="s">
        <v>55</v>
      </c>
      <c r="R680" s="12" t="s">
        <v>47</v>
      </c>
      <c r="S680" s="12" t="b">
        <v>0</v>
      </c>
      <c r="T680" s="12" t="s">
        <v>62</v>
      </c>
      <c r="U680" s="15">
        <f t="shared" si="40"/>
        <v>11568.84425</v>
      </c>
      <c r="V680" s="15">
        <f t="shared" si="41"/>
        <v>18269</v>
      </c>
      <c r="W680" s="15">
        <f t="shared" si="42"/>
        <v>5115.6930000000002</v>
      </c>
      <c r="X680" s="15">
        <f t="shared" si="43"/>
        <v>10719.927</v>
      </c>
    </row>
    <row r="681" spans="1:24">
      <c r="A681" s="12" t="s">
        <v>2085</v>
      </c>
      <c r="B681" s="12" t="s">
        <v>2086</v>
      </c>
      <c r="C681" s="12" t="s">
        <v>59</v>
      </c>
      <c r="D681" s="12" t="s">
        <v>170</v>
      </c>
      <c r="E681" s="12" t="s">
        <v>70</v>
      </c>
      <c r="F681" s="13">
        <v>14407.53</v>
      </c>
      <c r="G681" s="13">
        <v>14.99</v>
      </c>
      <c r="H681" s="13">
        <v>12247.31</v>
      </c>
      <c r="I681" s="13">
        <v>4.0999999999999996</v>
      </c>
      <c r="J681" s="13">
        <v>64</v>
      </c>
      <c r="K681" s="13">
        <v>47</v>
      </c>
      <c r="L681" s="12" t="s">
        <v>2087</v>
      </c>
      <c r="M681" s="12">
        <v>4.5999999999999996</v>
      </c>
      <c r="N681" s="14">
        <v>46071</v>
      </c>
      <c r="O681" s="13">
        <v>3</v>
      </c>
      <c r="P681" s="12" t="s">
        <v>40</v>
      </c>
      <c r="Q681" s="12" t="s">
        <v>31</v>
      </c>
      <c r="R681" s="12" t="s">
        <v>47</v>
      </c>
      <c r="S681" s="12" t="b">
        <v>0</v>
      </c>
      <c r="T681" s="12" t="s">
        <v>62</v>
      </c>
      <c r="U681" s="15">
        <f t="shared" si="40"/>
        <v>2159.6887470000001</v>
      </c>
      <c r="V681" s="15">
        <f t="shared" si="41"/>
        <v>5763.0119999999997</v>
      </c>
      <c r="W681" s="15">
        <f t="shared" si="42"/>
        <v>1837.0965000000001</v>
      </c>
      <c r="X681" s="15">
        <f t="shared" si="43"/>
        <v>4647.2015000000001</v>
      </c>
    </row>
    <row r="682" spans="1:24">
      <c r="A682" s="12" t="s">
        <v>2088</v>
      </c>
      <c r="B682" s="12" t="s">
        <v>2089</v>
      </c>
      <c r="C682" s="12" t="s">
        <v>26</v>
      </c>
      <c r="D682" s="12" t="s">
        <v>27</v>
      </c>
      <c r="E682" s="12" t="s">
        <v>84</v>
      </c>
      <c r="F682" s="13">
        <v>59368.46</v>
      </c>
      <c r="G682" s="13">
        <v>5.41</v>
      </c>
      <c r="H682" s="13">
        <v>56155.26</v>
      </c>
      <c r="I682" s="13">
        <v>3.9</v>
      </c>
      <c r="J682" s="13">
        <v>33</v>
      </c>
      <c r="K682" s="13">
        <v>336</v>
      </c>
      <c r="L682" s="12" t="s">
        <v>2090</v>
      </c>
      <c r="M682" s="12">
        <v>4.8</v>
      </c>
      <c r="N682" s="14">
        <v>46018</v>
      </c>
      <c r="O682" s="13">
        <v>5</v>
      </c>
      <c r="P682" s="12" t="s">
        <v>45</v>
      </c>
      <c r="Q682" s="12" t="s">
        <v>46</v>
      </c>
      <c r="R682" s="12" t="s">
        <v>47</v>
      </c>
      <c r="S682" s="12" t="b">
        <v>0</v>
      </c>
      <c r="T682" s="12" t="s">
        <v>56</v>
      </c>
      <c r="U682" s="15">
        <f t="shared" si="40"/>
        <v>3211.8336859999999</v>
      </c>
      <c r="V682" s="15">
        <f t="shared" si="41"/>
        <v>23747.383999999998</v>
      </c>
      <c r="W682" s="15">
        <f t="shared" si="42"/>
        <v>8423.2890000000007</v>
      </c>
      <c r="X682" s="15">
        <f t="shared" si="43"/>
        <v>23984.587</v>
      </c>
    </row>
    <row r="683" spans="1:24">
      <c r="A683" s="12" t="s">
        <v>2091</v>
      </c>
      <c r="B683" s="12" t="s">
        <v>2092</v>
      </c>
      <c r="C683" s="12" t="s">
        <v>59</v>
      </c>
      <c r="D683" s="12" t="s">
        <v>170</v>
      </c>
      <c r="E683" s="12" t="s">
        <v>100</v>
      </c>
      <c r="F683" s="13">
        <v>15659.82</v>
      </c>
      <c r="G683" s="13">
        <v>32.11</v>
      </c>
      <c r="H683" s="13">
        <v>10630.98</v>
      </c>
      <c r="I683" s="13">
        <v>4.3</v>
      </c>
      <c r="J683" s="13">
        <v>14</v>
      </c>
      <c r="K683" s="13">
        <v>472</v>
      </c>
      <c r="L683" s="12" t="s">
        <v>2093</v>
      </c>
      <c r="M683" s="12">
        <v>2.6</v>
      </c>
      <c r="N683" s="14">
        <v>45642</v>
      </c>
      <c r="O683" s="13">
        <v>5</v>
      </c>
      <c r="P683" s="12" t="s">
        <v>40</v>
      </c>
      <c r="Q683" s="12" t="s">
        <v>55</v>
      </c>
      <c r="R683" s="12" t="s">
        <v>72</v>
      </c>
      <c r="S683" s="12" t="b">
        <v>0</v>
      </c>
      <c r="T683" s="12" t="s">
        <v>56</v>
      </c>
      <c r="U683" s="15">
        <f t="shared" si="40"/>
        <v>5028.3682019999997</v>
      </c>
      <c r="V683" s="15">
        <f t="shared" si="41"/>
        <v>6263.9279999999999</v>
      </c>
      <c r="W683" s="15">
        <f t="shared" si="42"/>
        <v>1594.6469999999999</v>
      </c>
      <c r="X683" s="15">
        <f t="shared" si="43"/>
        <v>2772.4050000000002</v>
      </c>
    </row>
    <row r="684" spans="1:24">
      <c r="A684" s="12" t="s">
        <v>2094</v>
      </c>
      <c r="B684" s="12" t="s">
        <v>2095</v>
      </c>
      <c r="C684" s="12" t="s">
        <v>75</v>
      </c>
      <c r="D684" s="12" t="s">
        <v>135</v>
      </c>
      <c r="E684" s="12" t="s">
        <v>52</v>
      </c>
      <c r="F684" s="13">
        <v>727.69</v>
      </c>
      <c r="G684" s="13">
        <v>50.58</v>
      </c>
      <c r="H684" s="13">
        <v>359.6</v>
      </c>
      <c r="I684" s="13">
        <v>3.9</v>
      </c>
      <c r="J684" s="13">
        <v>12</v>
      </c>
      <c r="K684" s="13">
        <v>170</v>
      </c>
      <c r="L684" s="12" t="s">
        <v>2096</v>
      </c>
      <c r="M684" s="12">
        <v>4.0999999999999996</v>
      </c>
      <c r="N684" s="14">
        <v>45747</v>
      </c>
      <c r="O684" s="13">
        <v>1</v>
      </c>
      <c r="P684" s="12" t="s">
        <v>40</v>
      </c>
      <c r="Q684" s="12" t="s">
        <v>55</v>
      </c>
      <c r="R684" s="12" t="s">
        <v>72</v>
      </c>
      <c r="S684" s="12" t="b">
        <v>0</v>
      </c>
      <c r="T684" s="12" t="s">
        <v>78</v>
      </c>
      <c r="U684" s="15">
        <f t="shared" si="40"/>
        <v>368.06560200000001</v>
      </c>
      <c r="V684" s="15">
        <f t="shared" si="41"/>
        <v>291.07600000000002</v>
      </c>
      <c r="W684" s="15">
        <f t="shared" si="42"/>
        <v>53.94</v>
      </c>
      <c r="X684" s="15">
        <f t="shared" si="43"/>
        <v>14.584</v>
      </c>
    </row>
    <row r="685" spans="1:24">
      <c r="A685" s="12" t="s">
        <v>2097</v>
      </c>
      <c r="B685" s="12" t="s">
        <v>2098</v>
      </c>
      <c r="C685" s="12" t="s">
        <v>50</v>
      </c>
      <c r="D685" s="12" t="s">
        <v>130</v>
      </c>
      <c r="E685" s="12" t="s">
        <v>235</v>
      </c>
      <c r="F685" s="13">
        <v>3803.21</v>
      </c>
      <c r="G685" s="13">
        <v>32.14</v>
      </c>
      <c r="H685" s="13">
        <v>2580.67</v>
      </c>
      <c r="I685" s="13">
        <v>3.7</v>
      </c>
      <c r="J685" s="13">
        <v>22</v>
      </c>
      <c r="K685" s="13">
        <v>91</v>
      </c>
      <c r="L685" s="12" t="s">
        <v>2099</v>
      </c>
      <c r="M685" s="12">
        <v>2.8</v>
      </c>
      <c r="N685" s="14">
        <v>45763</v>
      </c>
      <c r="O685" s="13">
        <v>5</v>
      </c>
      <c r="P685" s="12" t="s">
        <v>54</v>
      </c>
      <c r="Q685" s="12" t="s">
        <v>46</v>
      </c>
      <c r="R685" s="12" t="s">
        <v>47</v>
      </c>
      <c r="S685" s="12" t="b">
        <v>0</v>
      </c>
      <c r="T685" s="12" t="s">
        <v>62</v>
      </c>
      <c r="U685" s="15">
        <f t="shared" si="40"/>
        <v>1222.351694</v>
      </c>
      <c r="V685" s="15">
        <f t="shared" si="41"/>
        <v>1521.2840000000001</v>
      </c>
      <c r="W685" s="15">
        <f t="shared" si="42"/>
        <v>387.10050000000001</v>
      </c>
      <c r="X685" s="15">
        <f t="shared" si="43"/>
        <v>672.28549999999996</v>
      </c>
    </row>
    <row r="686" spans="1:24">
      <c r="A686" s="12" t="s">
        <v>2100</v>
      </c>
      <c r="B686" s="12" t="s">
        <v>2101</v>
      </c>
      <c r="C686" s="12" t="s">
        <v>50</v>
      </c>
      <c r="D686" s="12" t="s">
        <v>130</v>
      </c>
      <c r="E686" s="12" t="s">
        <v>65</v>
      </c>
      <c r="F686" s="13">
        <v>422.06</v>
      </c>
      <c r="G686" s="13">
        <v>14.58</v>
      </c>
      <c r="H686" s="13">
        <v>360.52</v>
      </c>
      <c r="I686" s="13">
        <v>4.2</v>
      </c>
      <c r="J686" s="13">
        <v>72</v>
      </c>
      <c r="K686" s="13">
        <v>52</v>
      </c>
      <c r="L686" s="12" t="s">
        <v>2102</v>
      </c>
      <c r="M686" s="12">
        <v>3.3</v>
      </c>
      <c r="N686" s="14">
        <v>45571</v>
      </c>
      <c r="O686" s="13">
        <v>5</v>
      </c>
      <c r="P686" s="12" t="s">
        <v>40</v>
      </c>
      <c r="Q686" s="12" t="s">
        <v>46</v>
      </c>
      <c r="R686" s="12" t="s">
        <v>32</v>
      </c>
      <c r="S686" s="12" t="b">
        <v>0</v>
      </c>
      <c r="T686" s="12" t="s">
        <v>62</v>
      </c>
      <c r="U686" s="15">
        <f t="shared" si="40"/>
        <v>61.536347999999997</v>
      </c>
      <c r="V686" s="15">
        <f t="shared" si="41"/>
        <v>168.82400000000001</v>
      </c>
      <c r="W686" s="15">
        <f t="shared" si="42"/>
        <v>54.078000000000003</v>
      </c>
      <c r="X686" s="15">
        <f t="shared" si="43"/>
        <v>137.61799999999999</v>
      </c>
    </row>
    <row r="687" spans="1:24">
      <c r="A687" s="12" t="s">
        <v>2103</v>
      </c>
      <c r="B687" s="12" t="s">
        <v>2104</v>
      </c>
      <c r="C687" s="12" t="s">
        <v>59</v>
      </c>
      <c r="D687" s="12" t="s">
        <v>170</v>
      </c>
      <c r="E687" s="12" t="s">
        <v>38</v>
      </c>
      <c r="F687" s="13">
        <v>3801.61</v>
      </c>
      <c r="G687" s="13">
        <v>38.86</v>
      </c>
      <c r="H687" s="13">
        <v>2324.36</v>
      </c>
      <c r="I687" s="13">
        <v>4.3</v>
      </c>
      <c r="J687" s="13">
        <v>52</v>
      </c>
      <c r="K687" s="13">
        <v>327</v>
      </c>
      <c r="L687" s="12" t="s">
        <v>2105</v>
      </c>
      <c r="M687" s="12">
        <v>2.9</v>
      </c>
      <c r="N687" s="14">
        <v>45681</v>
      </c>
      <c r="O687" s="13">
        <v>5</v>
      </c>
      <c r="P687" s="12" t="s">
        <v>117</v>
      </c>
      <c r="Q687" s="12" t="s">
        <v>46</v>
      </c>
      <c r="R687" s="12" t="s">
        <v>86</v>
      </c>
      <c r="S687" s="12" t="b">
        <v>0</v>
      </c>
      <c r="T687" s="12" t="s">
        <v>56</v>
      </c>
      <c r="U687" s="15">
        <f t="shared" si="40"/>
        <v>1477.305646</v>
      </c>
      <c r="V687" s="15">
        <f t="shared" si="41"/>
        <v>1520.644</v>
      </c>
      <c r="W687" s="15">
        <f t="shared" si="42"/>
        <v>348.654</v>
      </c>
      <c r="X687" s="15">
        <f t="shared" si="43"/>
        <v>455.06200000000001</v>
      </c>
    </row>
    <row r="688" spans="1:24">
      <c r="A688" s="12" t="s">
        <v>2106</v>
      </c>
      <c r="B688" s="12" t="s">
        <v>2107</v>
      </c>
      <c r="C688" s="12" t="s">
        <v>75</v>
      </c>
      <c r="D688" s="12" t="s">
        <v>76</v>
      </c>
      <c r="E688" s="12" t="s">
        <v>112</v>
      </c>
      <c r="F688" s="13">
        <v>3767.85</v>
      </c>
      <c r="G688" s="13">
        <v>50.27</v>
      </c>
      <c r="H688" s="13">
        <v>1873.63</v>
      </c>
      <c r="I688" s="13">
        <v>3.7</v>
      </c>
      <c r="J688" s="13">
        <v>65</v>
      </c>
      <c r="K688" s="13">
        <v>263</v>
      </c>
      <c r="L688" s="12" t="s">
        <v>2108</v>
      </c>
      <c r="M688" s="12">
        <v>3.9</v>
      </c>
      <c r="N688" s="14">
        <v>45382</v>
      </c>
      <c r="O688" s="13">
        <v>5</v>
      </c>
      <c r="P688" s="12" t="s">
        <v>117</v>
      </c>
      <c r="Q688" s="12" t="s">
        <v>55</v>
      </c>
      <c r="R688" s="12" t="s">
        <v>86</v>
      </c>
      <c r="S688" s="12" t="b">
        <v>0</v>
      </c>
      <c r="T688" s="12" t="s">
        <v>56</v>
      </c>
      <c r="U688" s="15">
        <f t="shared" si="40"/>
        <v>1894.098195</v>
      </c>
      <c r="V688" s="15">
        <f t="shared" si="41"/>
        <v>1507.14</v>
      </c>
      <c r="W688" s="15">
        <f t="shared" si="42"/>
        <v>281.04450000000003</v>
      </c>
      <c r="X688" s="15">
        <f t="shared" si="43"/>
        <v>85.445499999999996</v>
      </c>
    </row>
    <row r="689" spans="1:24">
      <c r="A689" s="12" t="s">
        <v>2109</v>
      </c>
      <c r="B689" s="12" t="s">
        <v>2110</v>
      </c>
      <c r="C689" s="12" t="s">
        <v>26</v>
      </c>
      <c r="D689" s="12" t="s">
        <v>123</v>
      </c>
      <c r="E689" s="12" t="s">
        <v>38</v>
      </c>
      <c r="F689" s="13">
        <v>71212.740000000005</v>
      </c>
      <c r="G689" s="13">
        <v>38.76</v>
      </c>
      <c r="H689" s="13">
        <v>43607.71</v>
      </c>
      <c r="I689" s="13">
        <v>4.5</v>
      </c>
      <c r="J689" s="13">
        <v>41</v>
      </c>
      <c r="K689" s="13">
        <v>62</v>
      </c>
      <c r="L689" s="12" t="s">
        <v>2111</v>
      </c>
      <c r="M689" s="12">
        <v>4.3</v>
      </c>
      <c r="N689" s="14">
        <v>45734</v>
      </c>
      <c r="O689" s="13">
        <v>3</v>
      </c>
      <c r="P689" s="12" t="s">
        <v>117</v>
      </c>
      <c r="Q689" s="12" t="s">
        <v>55</v>
      </c>
      <c r="R689" s="12" t="s">
        <v>72</v>
      </c>
      <c r="S689" s="12" t="b">
        <v>0</v>
      </c>
      <c r="T689" s="12" t="s">
        <v>62</v>
      </c>
      <c r="U689" s="15">
        <f t="shared" si="40"/>
        <v>27602.058024000002</v>
      </c>
      <c r="V689" s="15">
        <f t="shared" si="41"/>
        <v>28485.096000000001</v>
      </c>
      <c r="W689" s="15">
        <f t="shared" si="42"/>
        <v>6541.1565000000001</v>
      </c>
      <c r="X689" s="15">
        <f t="shared" si="43"/>
        <v>8581.4574999999895</v>
      </c>
    </row>
    <row r="690" spans="1:24">
      <c r="A690" s="12" t="s">
        <v>2112</v>
      </c>
      <c r="B690" s="12" t="s">
        <v>2113</v>
      </c>
      <c r="C690" s="12" t="s">
        <v>59</v>
      </c>
      <c r="D690" s="12" t="s">
        <v>170</v>
      </c>
      <c r="E690" s="12" t="s">
        <v>38</v>
      </c>
      <c r="F690" s="13">
        <v>4218.53</v>
      </c>
      <c r="G690" s="13">
        <v>30.63</v>
      </c>
      <c r="H690" s="13">
        <v>2926.46</v>
      </c>
      <c r="I690" s="13">
        <v>3.5</v>
      </c>
      <c r="J690" s="13">
        <v>30</v>
      </c>
      <c r="K690" s="13">
        <v>436</v>
      </c>
      <c r="L690" s="12" t="s">
        <v>2114</v>
      </c>
      <c r="M690" s="12">
        <v>4.8</v>
      </c>
      <c r="N690" s="14">
        <v>46082</v>
      </c>
      <c r="O690" s="13">
        <v>2</v>
      </c>
      <c r="P690" s="12" t="s">
        <v>40</v>
      </c>
      <c r="Q690" s="12" t="s">
        <v>46</v>
      </c>
      <c r="R690" s="12" t="s">
        <v>86</v>
      </c>
      <c r="S690" s="12" t="b">
        <v>0</v>
      </c>
      <c r="T690" s="12" t="s">
        <v>56</v>
      </c>
      <c r="U690" s="15">
        <f t="shared" si="40"/>
        <v>1292.1357390000001</v>
      </c>
      <c r="V690" s="15">
        <f t="shared" si="41"/>
        <v>1687.412</v>
      </c>
      <c r="W690" s="15">
        <f t="shared" si="42"/>
        <v>438.96899999999999</v>
      </c>
      <c r="X690" s="15">
        <f t="shared" si="43"/>
        <v>800.07899999999995</v>
      </c>
    </row>
    <row r="691" spans="1:24">
      <c r="A691" s="12" t="s">
        <v>2115</v>
      </c>
      <c r="B691" s="12" t="s">
        <v>2116</v>
      </c>
      <c r="C691" s="12" t="s">
        <v>75</v>
      </c>
      <c r="D691" s="12" t="s">
        <v>135</v>
      </c>
      <c r="E691" s="12" t="s">
        <v>131</v>
      </c>
      <c r="F691" s="13">
        <v>2364.9299999999998</v>
      </c>
      <c r="G691" s="13">
        <v>69.8</v>
      </c>
      <c r="H691" s="13">
        <v>714.19</v>
      </c>
      <c r="I691" s="13">
        <v>4.2</v>
      </c>
      <c r="J691" s="13">
        <v>72</v>
      </c>
      <c r="K691" s="13">
        <v>97</v>
      </c>
      <c r="L691" s="12" t="s">
        <v>1223</v>
      </c>
      <c r="M691" s="12">
        <v>4.5</v>
      </c>
      <c r="N691" s="14">
        <v>45454</v>
      </c>
      <c r="O691" s="13">
        <v>5</v>
      </c>
      <c r="P691" s="12" t="s">
        <v>40</v>
      </c>
      <c r="Q691" s="12" t="s">
        <v>31</v>
      </c>
      <c r="R691" s="12" t="s">
        <v>86</v>
      </c>
      <c r="S691" s="12" t="b">
        <v>0</v>
      </c>
      <c r="T691" s="12" t="s">
        <v>78</v>
      </c>
      <c r="U691" s="15">
        <f t="shared" si="40"/>
        <v>1650.7211400000001</v>
      </c>
      <c r="V691" s="15">
        <f t="shared" si="41"/>
        <v>945.97199999999998</v>
      </c>
      <c r="W691" s="15">
        <f t="shared" si="42"/>
        <v>107.1285</v>
      </c>
      <c r="X691" s="15">
        <f t="shared" si="43"/>
        <v>-338.91050000000001</v>
      </c>
    </row>
    <row r="692" spans="1:24">
      <c r="A692" s="12" t="s">
        <v>2117</v>
      </c>
      <c r="B692" s="12" t="s">
        <v>2118</v>
      </c>
      <c r="C692" s="12" t="s">
        <v>59</v>
      </c>
      <c r="D692" s="12" t="s">
        <v>170</v>
      </c>
      <c r="E692" s="12" t="s">
        <v>84</v>
      </c>
      <c r="F692" s="13">
        <v>10110.870000000001</v>
      </c>
      <c r="G692" s="13">
        <v>19.7</v>
      </c>
      <c r="H692" s="13">
        <v>8118.93</v>
      </c>
      <c r="I692" s="13">
        <v>3.1</v>
      </c>
      <c r="J692" s="13">
        <v>12</v>
      </c>
      <c r="K692" s="13">
        <v>71</v>
      </c>
      <c r="L692" s="12" t="s">
        <v>2119</v>
      </c>
      <c r="M692" s="12">
        <v>4.9000000000000004</v>
      </c>
      <c r="N692" s="14">
        <v>45775</v>
      </c>
      <c r="O692" s="13">
        <v>2</v>
      </c>
      <c r="P692" s="12" t="s">
        <v>117</v>
      </c>
      <c r="Q692" s="12" t="s">
        <v>46</v>
      </c>
      <c r="R692" s="12" t="s">
        <v>32</v>
      </c>
      <c r="S692" s="12" t="b">
        <v>1</v>
      </c>
      <c r="T692" s="12" t="s">
        <v>33</v>
      </c>
      <c r="U692" s="15">
        <f t="shared" si="40"/>
        <v>1991.84139</v>
      </c>
      <c r="V692" s="15">
        <f t="shared" si="41"/>
        <v>4044.348</v>
      </c>
      <c r="W692" s="15">
        <f t="shared" si="42"/>
        <v>1217.8395</v>
      </c>
      <c r="X692" s="15">
        <f t="shared" si="43"/>
        <v>2856.7424999999998</v>
      </c>
    </row>
    <row r="693" spans="1:24">
      <c r="A693" s="12" t="s">
        <v>2120</v>
      </c>
      <c r="B693" s="12" t="s">
        <v>2121</v>
      </c>
      <c r="C693" s="12" t="s">
        <v>36</v>
      </c>
      <c r="D693" s="12" t="s">
        <v>43</v>
      </c>
      <c r="E693" s="12" t="s">
        <v>235</v>
      </c>
      <c r="F693" s="13">
        <v>8533.85</v>
      </c>
      <c r="G693" s="13">
        <v>46.89</v>
      </c>
      <c r="H693" s="13">
        <v>4532.54</v>
      </c>
      <c r="I693" s="13">
        <v>3.8</v>
      </c>
      <c r="J693" s="13">
        <v>8</v>
      </c>
      <c r="K693" s="13">
        <v>329</v>
      </c>
      <c r="L693" s="12" t="s">
        <v>2122</v>
      </c>
      <c r="M693" s="12">
        <v>3.8</v>
      </c>
      <c r="N693" s="14">
        <v>45452</v>
      </c>
      <c r="O693" s="13">
        <v>3</v>
      </c>
      <c r="P693" s="12" t="s">
        <v>117</v>
      </c>
      <c r="Q693" s="12" t="s">
        <v>55</v>
      </c>
      <c r="R693" s="12" t="s">
        <v>86</v>
      </c>
      <c r="S693" s="12" t="b">
        <v>0</v>
      </c>
      <c r="T693" s="12" t="s">
        <v>78</v>
      </c>
      <c r="U693" s="15">
        <f t="shared" si="40"/>
        <v>4001.5222650000001</v>
      </c>
      <c r="V693" s="15">
        <f t="shared" si="41"/>
        <v>3413.54</v>
      </c>
      <c r="W693" s="15">
        <f t="shared" si="42"/>
        <v>679.88099999999997</v>
      </c>
      <c r="X693" s="15">
        <f t="shared" si="43"/>
        <v>439.11900000000003</v>
      </c>
    </row>
    <row r="694" spans="1:24">
      <c r="A694" s="12" t="s">
        <v>2123</v>
      </c>
      <c r="B694" s="12" t="s">
        <v>2124</v>
      </c>
      <c r="C694" s="12" t="s">
        <v>26</v>
      </c>
      <c r="D694" s="12" t="s">
        <v>313</v>
      </c>
      <c r="E694" s="12" t="s">
        <v>38</v>
      </c>
      <c r="F694" s="13">
        <v>15584.46</v>
      </c>
      <c r="G694" s="13">
        <v>37.01</v>
      </c>
      <c r="H694" s="13">
        <v>9816.41</v>
      </c>
      <c r="I694" s="13">
        <v>4.3</v>
      </c>
      <c r="J694" s="13">
        <v>6</v>
      </c>
      <c r="K694" s="13">
        <v>207</v>
      </c>
      <c r="L694" s="12" t="s">
        <v>2125</v>
      </c>
      <c r="M694" s="12">
        <v>4.2</v>
      </c>
      <c r="N694" s="14">
        <v>45638</v>
      </c>
      <c r="O694" s="13">
        <v>6</v>
      </c>
      <c r="P694" s="12" t="s">
        <v>30</v>
      </c>
      <c r="Q694" s="12" t="s">
        <v>46</v>
      </c>
      <c r="R694" s="12" t="s">
        <v>86</v>
      </c>
      <c r="S694" s="12" t="b">
        <v>1</v>
      </c>
      <c r="T694" s="12" t="s">
        <v>33</v>
      </c>
      <c r="U694" s="15">
        <f t="shared" si="40"/>
        <v>5767.8086460000004</v>
      </c>
      <c r="V694" s="15">
        <f t="shared" si="41"/>
        <v>6233.7839999999997</v>
      </c>
      <c r="W694" s="15">
        <f t="shared" si="42"/>
        <v>1472.4614999999999</v>
      </c>
      <c r="X694" s="15">
        <f t="shared" si="43"/>
        <v>2110.1644999999999</v>
      </c>
    </row>
    <row r="695" spans="1:24">
      <c r="A695" s="12" t="s">
        <v>2126</v>
      </c>
      <c r="B695" s="12" t="s">
        <v>2127</v>
      </c>
      <c r="C695" s="12" t="s">
        <v>36</v>
      </c>
      <c r="D695" s="12" t="s">
        <v>43</v>
      </c>
      <c r="E695" s="12" t="s">
        <v>28</v>
      </c>
      <c r="F695" s="13">
        <v>6948.96</v>
      </c>
      <c r="G695" s="13">
        <v>7.09</v>
      </c>
      <c r="H695" s="13">
        <v>6456.31</v>
      </c>
      <c r="I695" s="13">
        <v>3.8</v>
      </c>
      <c r="J695" s="13">
        <v>6</v>
      </c>
      <c r="K695" s="13">
        <v>18</v>
      </c>
      <c r="L695" s="12" t="s">
        <v>2128</v>
      </c>
      <c r="M695" s="12">
        <v>3.6</v>
      </c>
      <c r="N695" s="14">
        <v>45977</v>
      </c>
      <c r="O695" s="13">
        <v>4</v>
      </c>
      <c r="P695" s="12" t="s">
        <v>45</v>
      </c>
      <c r="Q695" s="12" t="s">
        <v>55</v>
      </c>
      <c r="R695" s="12" t="s">
        <v>32</v>
      </c>
      <c r="S695" s="12" t="b">
        <v>0</v>
      </c>
      <c r="T695" s="12" t="s">
        <v>56</v>
      </c>
      <c r="U695" s="15">
        <f t="shared" si="40"/>
        <v>492.681264</v>
      </c>
      <c r="V695" s="15">
        <f t="shared" si="41"/>
        <v>2779.5839999999998</v>
      </c>
      <c r="W695" s="15">
        <f t="shared" si="42"/>
        <v>968.44650000000001</v>
      </c>
      <c r="X695" s="15">
        <f t="shared" si="43"/>
        <v>2708.2795000000001</v>
      </c>
    </row>
    <row r="696" spans="1:24">
      <c r="A696" s="12" t="s">
        <v>2129</v>
      </c>
      <c r="B696" s="12" t="s">
        <v>2130</v>
      </c>
      <c r="C696" s="12" t="s">
        <v>36</v>
      </c>
      <c r="D696" s="12" t="s">
        <v>43</v>
      </c>
      <c r="E696" s="12" t="s">
        <v>70</v>
      </c>
      <c r="F696" s="13">
        <v>13431.39</v>
      </c>
      <c r="G696" s="13">
        <v>13.84</v>
      </c>
      <c r="H696" s="13">
        <v>11572.5</v>
      </c>
      <c r="I696" s="13">
        <v>3.6</v>
      </c>
      <c r="J696" s="13">
        <v>24</v>
      </c>
      <c r="K696" s="13">
        <v>323</v>
      </c>
      <c r="L696" s="12" t="s">
        <v>2131</v>
      </c>
      <c r="M696" s="12">
        <v>4.0999999999999996</v>
      </c>
      <c r="N696" s="14">
        <v>45889</v>
      </c>
      <c r="O696" s="13">
        <v>2</v>
      </c>
      <c r="P696" s="12" t="s">
        <v>54</v>
      </c>
      <c r="Q696" s="12" t="s">
        <v>55</v>
      </c>
      <c r="R696" s="12" t="s">
        <v>32</v>
      </c>
      <c r="S696" s="12" t="b">
        <v>0</v>
      </c>
      <c r="T696" s="12" t="s">
        <v>56</v>
      </c>
      <c r="U696" s="15">
        <f t="shared" si="40"/>
        <v>1858.904376</v>
      </c>
      <c r="V696" s="15">
        <f t="shared" si="41"/>
        <v>5372.5559999999996</v>
      </c>
      <c r="W696" s="15">
        <f t="shared" si="42"/>
        <v>1735.875</v>
      </c>
      <c r="X696" s="15">
        <f t="shared" si="43"/>
        <v>4464.0690000000004</v>
      </c>
    </row>
    <row r="697" spans="1:24">
      <c r="A697" s="12" t="s">
        <v>2132</v>
      </c>
      <c r="B697" s="12" t="s">
        <v>2133</v>
      </c>
      <c r="C697" s="12" t="s">
        <v>36</v>
      </c>
      <c r="D697" s="12" t="s">
        <v>43</v>
      </c>
      <c r="E697" s="12" t="s">
        <v>65</v>
      </c>
      <c r="F697" s="13">
        <v>10925.83</v>
      </c>
      <c r="G697" s="13">
        <v>27.67</v>
      </c>
      <c r="H697" s="13">
        <v>7902.11</v>
      </c>
      <c r="I697" s="13">
        <v>3.4</v>
      </c>
      <c r="J697" s="13">
        <v>46</v>
      </c>
      <c r="K697" s="13">
        <v>58</v>
      </c>
      <c r="L697" s="12" t="s">
        <v>2134</v>
      </c>
      <c r="M697" s="12">
        <v>2.6</v>
      </c>
      <c r="N697" s="14">
        <v>45754</v>
      </c>
      <c r="O697" s="13">
        <v>4</v>
      </c>
      <c r="P697" s="12" t="s">
        <v>40</v>
      </c>
      <c r="Q697" s="12" t="s">
        <v>31</v>
      </c>
      <c r="R697" s="12" t="s">
        <v>47</v>
      </c>
      <c r="S697" s="12" t="b">
        <v>0</v>
      </c>
      <c r="T697" s="12" t="s">
        <v>78</v>
      </c>
      <c r="U697" s="15">
        <f t="shared" si="40"/>
        <v>3023.1771610000001</v>
      </c>
      <c r="V697" s="15">
        <f t="shared" si="41"/>
        <v>4370.3320000000003</v>
      </c>
      <c r="W697" s="15">
        <f t="shared" si="42"/>
        <v>1185.3164999999999</v>
      </c>
      <c r="X697" s="15">
        <f t="shared" si="43"/>
        <v>2346.4614999999999</v>
      </c>
    </row>
    <row r="698" spans="1:24">
      <c r="A698" s="12" t="s">
        <v>2135</v>
      </c>
      <c r="B698" s="12" t="s">
        <v>2136</v>
      </c>
      <c r="C698" s="12" t="s">
        <v>75</v>
      </c>
      <c r="D698" s="12" t="s">
        <v>104</v>
      </c>
      <c r="E698" s="12" t="s">
        <v>112</v>
      </c>
      <c r="F698" s="13">
        <v>4114.87</v>
      </c>
      <c r="G698" s="13">
        <v>11.85</v>
      </c>
      <c r="H698" s="13">
        <v>3627.28</v>
      </c>
      <c r="I698" s="13">
        <v>3.8</v>
      </c>
      <c r="J698" s="13">
        <v>39</v>
      </c>
      <c r="K698" s="13">
        <v>499</v>
      </c>
      <c r="L698" s="12" t="s">
        <v>2137</v>
      </c>
      <c r="M698" s="12">
        <v>3.8</v>
      </c>
      <c r="N698" s="14">
        <v>45460</v>
      </c>
      <c r="O698" s="13">
        <v>3</v>
      </c>
      <c r="P698" s="12" t="s">
        <v>117</v>
      </c>
      <c r="Q698" s="12" t="s">
        <v>46</v>
      </c>
      <c r="R698" s="12" t="s">
        <v>72</v>
      </c>
      <c r="S698" s="12" t="b">
        <v>0</v>
      </c>
      <c r="T698" s="12" t="s">
        <v>78</v>
      </c>
      <c r="U698" s="15">
        <f t="shared" si="40"/>
        <v>487.61209500000001</v>
      </c>
      <c r="V698" s="15">
        <f t="shared" si="41"/>
        <v>1645.9480000000001</v>
      </c>
      <c r="W698" s="15">
        <f t="shared" si="42"/>
        <v>544.09199999999998</v>
      </c>
      <c r="X698" s="15">
        <f t="shared" si="43"/>
        <v>1437.24</v>
      </c>
    </row>
    <row r="699" spans="1:24">
      <c r="A699" s="12" t="s">
        <v>2138</v>
      </c>
      <c r="B699" s="12" t="s">
        <v>2139</v>
      </c>
      <c r="C699" s="12" t="s">
        <v>26</v>
      </c>
      <c r="D699" s="12" t="s">
        <v>123</v>
      </c>
      <c r="E699" s="12" t="s">
        <v>112</v>
      </c>
      <c r="F699" s="13">
        <v>55917.56</v>
      </c>
      <c r="G699" s="13">
        <v>37.69</v>
      </c>
      <c r="H699" s="13">
        <v>34843.18</v>
      </c>
      <c r="I699" s="13">
        <v>4.0999999999999996</v>
      </c>
      <c r="J699" s="13">
        <v>13</v>
      </c>
      <c r="K699" s="13">
        <v>72</v>
      </c>
      <c r="L699" s="12" t="s">
        <v>2140</v>
      </c>
      <c r="M699" s="12">
        <v>3.1</v>
      </c>
      <c r="N699" s="14">
        <v>46034</v>
      </c>
      <c r="O699" s="13">
        <v>5</v>
      </c>
      <c r="P699" s="12" t="s">
        <v>40</v>
      </c>
      <c r="Q699" s="12" t="s">
        <v>46</v>
      </c>
      <c r="R699" s="12" t="s">
        <v>72</v>
      </c>
      <c r="S699" s="12" t="b">
        <v>0</v>
      </c>
      <c r="T699" s="12" t="s">
        <v>62</v>
      </c>
      <c r="U699" s="15">
        <f t="shared" si="40"/>
        <v>21075.328364000001</v>
      </c>
      <c r="V699" s="15">
        <f t="shared" si="41"/>
        <v>22367.024000000001</v>
      </c>
      <c r="W699" s="15">
        <f t="shared" si="42"/>
        <v>5226.4769999999999</v>
      </c>
      <c r="X699" s="15">
        <f t="shared" si="43"/>
        <v>7249.6790000000001</v>
      </c>
    </row>
    <row r="700" spans="1:24">
      <c r="A700" s="12" t="s">
        <v>2141</v>
      </c>
      <c r="B700" s="12" t="s">
        <v>2142</v>
      </c>
      <c r="C700" s="12" t="s">
        <v>75</v>
      </c>
      <c r="D700" s="12" t="s">
        <v>104</v>
      </c>
      <c r="E700" s="12" t="s">
        <v>70</v>
      </c>
      <c r="F700" s="13">
        <v>670.19</v>
      </c>
      <c r="G700" s="13">
        <v>16.920000000000002</v>
      </c>
      <c r="H700" s="13">
        <v>556.80999999999995</v>
      </c>
      <c r="I700" s="13">
        <v>4</v>
      </c>
      <c r="J700" s="13">
        <v>11</v>
      </c>
      <c r="K700" s="13">
        <v>51</v>
      </c>
      <c r="L700" s="12" t="s">
        <v>2143</v>
      </c>
      <c r="M700" s="12">
        <v>4.5999999999999996</v>
      </c>
      <c r="N700" s="14">
        <v>45868</v>
      </c>
      <c r="O700" s="13">
        <v>6</v>
      </c>
      <c r="P700" s="12" t="s">
        <v>45</v>
      </c>
      <c r="Q700" s="12" t="s">
        <v>46</v>
      </c>
      <c r="R700" s="12" t="s">
        <v>32</v>
      </c>
      <c r="S700" s="12" t="b">
        <v>0</v>
      </c>
      <c r="T700" s="12" t="s">
        <v>56</v>
      </c>
      <c r="U700" s="15">
        <f t="shared" si="40"/>
        <v>113.396148</v>
      </c>
      <c r="V700" s="15">
        <f t="shared" si="41"/>
        <v>268.07600000000002</v>
      </c>
      <c r="W700" s="15">
        <f t="shared" si="42"/>
        <v>83.521500000000003</v>
      </c>
      <c r="X700" s="15">
        <f t="shared" si="43"/>
        <v>205.21250000000001</v>
      </c>
    </row>
    <row r="701" spans="1:24">
      <c r="A701" s="12" t="s">
        <v>2144</v>
      </c>
      <c r="B701" s="12" t="s">
        <v>2145</v>
      </c>
      <c r="C701" s="12" t="s">
        <v>26</v>
      </c>
      <c r="D701" s="12" t="s">
        <v>27</v>
      </c>
      <c r="E701" s="12" t="s">
        <v>38</v>
      </c>
      <c r="F701" s="13">
        <v>22941.74</v>
      </c>
      <c r="G701" s="13">
        <v>17.690000000000001</v>
      </c>
      <c r="H701" s="13">
        <v>18883.84</v>
      </c>
      <c r="I701" s="13">
        <v>4.9000000000000004</v>
      </c>
      <c r="J701" s="13">
        <v>70</v>
      </c>
      <c r="K701" s="13">
        <v>303</v>
      </c>
      <c r="L701" s="12" t="s">
        <v>2146</v>
      </c>
      <c r="M701" s="12">
        <v>4.0999999999999996</v>
      </c>
      <c r="N701" s="14">
        <v>45408</v>
      </c>
      <c r="O701" s="13">
        <v>4</v>
      </c>
      <c r="P701" s="12" t="s">
        <v>54</v>
      </c>
      <c r="Q701" s="12" t="s">
        <v>55</v>
      </c>
      <c r="R701" s="12" t="s">
        <v>86</v>
      </c>
      <c r="S701" s="12" t="b">
        <v>1</v>
      </c>
      <c r="T701" s="12" t="s">
        <v>33</v>
      </c>
      <c r="U701" s="15">
        <f t="shared" si="40"/>
        <v>4058.393806</v>
      </c>
      <c r="V701" s="15">
        <f t="shared" si="41"/>
        <v>9176.6959999999999</v>
      </c>
      <c r="W701" s="15">
        <f t="shared" si="42"/>
        <v>2832.576</v>
      </c>
      <c r="X701" s="15">
        <f t="shared" si="43"/>
        <v>6874.5680000000002</v>
      </c>
    </row>
    <row r="702" spans="1:24">
      <c r="A702" s="12" t="s">
        <v>2147</v>
      </c>
      <c r="B702" s="12" t="s">
        <v>2148</v>
      </c>
      <c r="C702" s="12" t="s">
        <v>75</v>
      </c>
      <c r="D702" s="12" t="s">
        <v>135</v>
      </c>
      <c r="E702" s="12" t="s">
        <v>92</v>
      </c>
      <c r="F702" s="13">
        <v>2934.44</v>
      </c>
      <c r="G702" s="13">
        <v>65.77</v>
      </c>
      <c r="H702" s="13">
        <v>1004.31</v>
      </c>
      <c r="I702" s="13">
        <v>3.7</v>
      </c>
      <c r="J702" s="13">
        <v>5</v>
      </c>
      <c r="K702" s="13">
        <v>210</v>
      </c>
      <c r="L702" s="12" t="s">
        <v>2149</v>
      </c>
      <c r="M702" s="12">
        <v>3</v>
      </c>
      <c r="N702" s="14">
        <v>45580</v>
      </c>
      <c r="O702" s="13">
        <v>4</v>
      </c>
      <c r="P702" s="12" t="s">
        <v>30</v>
      </c>
      <c r="Q702" s="12" t="s">
        <v>46</v>
      </c>
      <c r="R702" s="12" t="s">
        <v>32</v>
      </c>
      <c r="S702" s="12" t="b">
        <v>1</v>
      </c>
      <c r="T702" s="12" t="s">
        <v>33</v>
      </c>
      <c r="U702" s="15">
        <f t="shared" si="40"/>
        <v>1929.981188</v>
      </c>
      <c r="V702" s="15">
        <f t="shared" si="41"/>
        <v>1173.7760000000001</v>
      </c>
      <c r="W702" s="15">
        <f t="shared" si="42"/>
        <v>150.6465</v>
      </c>
      <c r="X702" s="15">
        <f t="shared" si="43"/>
        <v>-320.11250000000001</v>
      </c>
    </row>
    <row r="703" spans="1:24">
      <c r="A703" s="12" t="s">
        <v>2150</v>
      </c>
      <c r="B703" s="12" t="s">
        <v>1836</v>
      </c>
      <c r="C703" s="12" t="s">
        <v>36</v>
      </c>
      <c r="D703" s="12" t="s">
        <v>43</v>
      </c>
      <c r="E703" s="12" t="s">
        <v>28</v>
      </c>
      <c r="F703" s="13">
        <v>7107.08</v>
      </c>
      <c r="G703" s="13">
        <v>32.26</v>
      </c>
      <c r="H703" s="13">
        <v>4814.59</v>
      </c>
      <c r="I703" s="13">
        <v>3.4</v>
      </c>
      <c r="J703" s="13">
        <v>92</v>
      </c>
      <c r="K703" s="13">
        <v>321</v>
      </c>
      <c r="L703" s="12" t="s">
        <v>2151</v>
      </c>
      <c r="M703" s="12">
        <v>3.1</v>
      </c>
      <c r="N703" s="14">
        <v>45608</v>
      </c>
      <c r="O703" s="13">
        <v>6</v>
      </c>
      <c r="P703" s="12" t="s">
        <v>117</v>
      </c>
      <c r="Q703" s="12" t="s">
        <v>55</v>
      </c>
      <c r="R703" s="12" t="s">
        <v>86</v>
      </c>
      <c r="S703" s="12" t="b">
        <v>0</v>
      </c>
      <c r="T703" s="12" t="s">
        <v>78</v>
      </c>
      <c r="U703" s="15">
        <f t="shared" si="40"/>
        <v>2292.7440080000001</v>
      </c>
      <c r="V703" s="15">
        <f t="shared" si="41"/>
        <v>2842.8319999999999</v>
      </c>
      <c r="W703" s="15">
        <f t="shared" si="42"/>
        <v>722.18849999999998</v>
      </c>
      <c r="X703" s="15">
        <f t="shared" si="43"/>
        <v>1249.5695000000001</v>
      </c>
    </row>
    <row r="704" spans="1:24">
      <c r="A704" s="12" t="s">
        <v>2152</v>
      </c>
      <c r="B704" s="12" t="s">
        <v>2153</v>
      </c>
      <c r="C704" s="12" t="s">
        <v>36</v>
      </c>
      <c r="D704" s="12" t="s">
        <v>43</v>
      </c>
      <c r="E704" s="12" t="s">
        <v>70</v>
      </c>
      <c r="F704" s="13">
        <v>3812.84</v>
      </c>
      <c r="G704" s="13">
        <v>43.99</v>
      </c>
      <c r="H704" s="13">
        <v>2135.6</v>
      </c>
      <c r="I704" s="13">
        <v>4</v>
      </c>
      <c r="J704" s="13">
        <v>8</v>
      </c>
      <c r="K704" s="13">
        <v>316</v>
      </c>
      <c r="L704" s="12" t="s">
        <v>2154</v>
      </c>
      <c r="M704" s="12">
        <v>3.7</v>
      </c>
      <c r="N704" s="14">
        <v>45983</v>
      </c>
      <c r="O704" s="13">
        <v>3</v>
      </c>
      <c r="P704" s="12" t="s">
        <v>40</v>
      </c>
      <c r="Q704" s="12" t="s">
        <v>31</v>
      </c>
      <c r="R704" s="12" t="s">
        <v>47</v>
      </c>
      <c r="S704" s="12" t="b">
        <v>0</v>
      </c>
      <c r="T704" s="12" t="s">
        <v>56</v>
      </c>
      <c r="U704" s="15">
        <f t="shared" si="40"/>
        <v>1677.2683159999999</v>
      </c>
      <c r="V704" s="15">
        <f t="shared" si="41"/>
        <v>1525.136</v>
      </c>
      <c r="W704" s="15">
        <f t="shared" si="42"/>
        <v>320.33999999999997</v>
      </c>
      <c r="X704" s="15">
        <f t="shared" si="43"/>
        <v>290.12400000000002</v>
      </c>
    </row>
    <row r="705" spans="1:24">
      <c r="A705" s="12" t="s">
        <v>2155</v>
      </c>
      <c r="B705" s="12" t="s">
        <v>2156</v>
      </c>
      <c r="C705" s="12" t="s">
        <v>75</v>
      </c>
      <c r="D705" s="12" t="s">
        <v>104</v>
      </c>
      <c r="E705" s="12" t="s">
        <v>38</v>
      </c>
      <c r="F705" s="13">
        <v>2347.35</v>
      </c>
      <c r="G705" s="13">
        <v>13.32</v>
      </c>
      <c r="H705" s="13">
        <v>2034.68</v>
      </c>
      <c r="I705" s="13">
        <v>3.1</v>
      </c>
      <c r="J705" s="13">
        <v>55</v>
      </c>
      <c r="K705" s="13">
        <v>350</v>
      </c>
      <c r="L705" s="12" t="s">
        <v>2157</v>
      </c>
      <c r="M705" s="12">
        <v>3.4</v>
      </c>
      <c r="N705" s="14">
        <v>45443</v>
      </c>
      <c r="O705" s="13">
        <v>3</v>
      </c>
      <c r="P705" s="12" t="s">
        <v>54</v>
      </c>
      <c r="Q705" s="12" t="s">
        <v>55</v>
      </c>
      <c r="R705" s="12" t="s">
        <v>47</v>
      </c>
      <c r="S705" s="12" t="b">
        <v>0</v>
      </c>
      <c r="T705" s="12" t="s">
        <v>78</v>
      </c>
      <c r="U705" s="15">
        <f t="shared" si="40"/>
        <v>312.66701999999998</v>
      </c>
      <c r="V705" s="15">
        <f t="shared" si="41"/>
        <v>938.94</v>
      </c>
      <c r="W705" s="15">
        <f t="shared" si="42"/>
        <v>305.202</v>
      </c>
      <c r="X705" s="15">
        <f t="shared" si="43"/>
        <v>790.53800000000001</v>
      </c>
    </row>
    <row r="706" spans="1:24">
      <c r="A706" s="12" t="s">
        <v>2158</v>
      </c>
      <c r="B706" s="12" t="s">
        <v>2159</v>
      </c>
      <c r="C706" s="12" t="s">
        <v>26</v>
      </c>
      <c r="D706" s="12" t="s">
        <v>27</v>
      </c>
      <c r="E706" s="12" t="s">
        <v>100</v>
      </c>
      <c r="F706" s="13">
        <v>31838.09</v>
      </c>
      <c r="G706" s="13">
        <v>36.22</v>
      </c>
      <c r="H706" s="13">
        <v>20305.509999999998</v>
      </c>
      <c r="I706" s="13">
        <v>5</v>
      </c>
      <c r="J706" s="13">
        <v>129</v>
      </c>
      <c r="K706" s="13">
        <v>222</v>
      </c>
      <c r="L706" s="12" t="s">
        <v>2160</v>
      </c>
      <c r="M706" s="12">
        <v>3.1</v>
      </c>
      <c r="N706" s="14">
        <v>45710</v>
      </c>
      <c r="O706" s="13">
        <v>2</v>
      </c>
      <c r="P706" s="12" t="s">
        <v>30</v>
      </c>
      <c r="Q706" s="12" t="s">
        <v>55</v>
      </c>
      <c r="R706" s="12" t="s">
        <v>86</v>
      </c>
      <c r="S706" s="12" t="b">
        <v>0</v>
      </c>
      <c r="T706" s="12" t="s">
        <v>78</v>
      </c>
      <c r="U706" s="15">
        <f t="shared" si="40"/>
        <v>11531.756197999999</v>
      </c>
      <c r="V706" s="15">
        <f t="shared" si="41"/>
        <v>12735.236000000001</v>
      </c>
      <c r="W706" s="15">
        <f t="shared" si="42"/>
        <v>3045.8265000000001</v>
      </c>
      <c r="X706" s="15">
        <f t="shared" si="43"/>
        <v>4524.4475000000002</v>
      </c>
    </row>
    <row r="707" spans="1:24">
      <c r="A707" s="12" t="s">
        <v>2161</v>
      </c>
      <c r="B707" s="12" t="s">
        <v>2162</v>
      </c>
      <c r="C707" s="12" t="s">
        <v>26</v>
      </c>
      <c r="D707" s="12" t="s">
        <v>27</v>
      </c>
      <c r="E707" s="12" t="s">
        <v>131</v>
      </c>
      <c r="F707" s="13">
        <v>34147.42</v>
      </c>
      <c r="G707" s="13">
        <v>24.75</v>
      </c>
      <c r="H707" s="13">
        <v>25697.02</v>
      </c>
      <c r="I707" s="13">
        <v>5</v>
      </c>
      <c r="J707" s="13">
        <v>19</v>
      </c>
      <c r="K707" s="13">
        <v>248</v>
      </c>
      <c r="L707" s="12" t="s">
        <v>2163</v>
      </c>
      <c r="M707" s="12">
        <v>3.7</v>
      </c>
      <c r="N707" s="14">
        <v>46014</v>
      </c>
      <c r="O707" s="13">
        <v>2</v>
      </c>
      <c r="P707" s="12" t="s">
        <v>54</v>
      </c>
      <c r="Q707" s="12" t="s">
        <v>46</v>
      </c>
      <c r="R707" s="12" t="s">
        <v>32</v>
      </c>
      <c r="S707" s="12" t="b">
        <v>0</v>
      </c>
      <c r="T707" s="12" t="s">
        <v>78</v>
      </c>
      <c r="U707" s="15">
        <f t="shared" ref="U707:U770" si="44">F707*(G707/100)</f>
        <v>8451.4864500000003</v>
      </c>
      <c r="V707" s="15">
        <f t="shared" ref="V707:V770" si="45">F707*0.4</f>
        <v>13658.968000000001</v>
      </c>
      <c r="W707" s="15">
        <f t="shared" ref="W707:W770" si="46">H707*0.15</f>
        <v>3854.5529999999999</v>
      </c>
      <c r="X707" s="15">
        <f t="shared" ref="X707:X770" si="47">H707-V707-W707</f>
        <v>8183.4989999999998</v>
      </c>
    </row>
    <row r="708" spans="1:24">
      <c r="A708" s="12" t="s">
        <v>2164</v>
      </c>
      <c r="B708" s="12" t="s">
        <v>2165</v>
      </c>
      <c r="C708" s="12" t="s">
        <v>50</v>
      </c>
      <c r="D708" s="12" t="s">
        <v>213</v>
      </c>
      <c r="E708" s="12" t="s">
        <v>65</v>
      </c>
      <c r="F708" s="13">
        <v>560.97</v>
      </c>
      <c r="G708" s="13">
        <v>26.74</v>
      </c>
      <c r="H708" s="13">
        <v>410.99</v>
      </c>
      <c r="I708" s="13">
        <v>3.1</v>
      </c>
      <c r="J708" s="13">
        <v>3</v>
      </c>
      <c r="K708" s="13">
        <v>382</v>
      </c>
      <c r="L708" s="12" t="s">
        <v>2166</v>
      </c>
      <c r="M708" s="12">
        <v>3.1</v>
      </c>
      <c r="N708" s="14">
        <v>45706</v>
      </c>
      <c r="O708" s="13">
        <v>3</v>
      </c>
      <c r="P708" s="12" t="s">
        <v>30</v>
      </c>
      <c r="Q708" s="12" t="s">
        <v>46</v>
      </c>
      <c r="R708" s="12" t="s">
        <v>32</v>
      </c>
      <c r="S708" s="12" t="b">
        <v>0</v>
      </c>
      <c r="T708" s="12" t="s">
        <v>56</v>
      </c>
      <c r="U708" s="15">
        <f t="shared" si="44"/>
        <v>150.003378</v>
      </c>
      <c r="V708" s="15">
        <f t="shared" si="45"/>
        <v>224.38800000000001</v>
      </c>
      <c r="W708" s="15">
        <f t="shared" si="46"/>
        <v>61.648499999999999</v>
      </c>
      <c r="X708" s="15">
        <f t="shared" si="47"/>
        <v>124.95350000000001</v>
      </c>
    </row>
    <row r="709" spans="1:24">
      <c r="A709" s="12" t="s">
        <v>2167</v>
      </c>
      <c r="B709" s="12" t="s">
        <v>2168</v>
      </c>
      <c r="C709" s="12" t="s">
        <v>75</v>
      </c>
      <c r="D709" s="12" t="s">
        <v>135</v>
      </c>
      <c r="E709" s="12" t="s">
        <v>70</v>
      </c>
      <c r="F709" s="13">
        <v>4114.1000000000004</v>
      </c>
      <c r="G709" s="13">
        <v>57.76</v>
      </c>
      <c r="H709" s="13">
        <v>1737.63</v>
      </c>
      <c r="I709" s="13">
        <v>3.7</v>
      </c>
      <c r="J709" s="13">
        <v>1</v>
      </c>
      <c r="K709" s="13">
        <v>456</v>
      </c>
      <c r="L709" s="12" t="s">
        <v>2169</v>
      </c>
      <c r="M709" s="12">
        <v>4.3</v>
      </c>
      <c r="N709" s="14">
        <v>45872</v>
      </c>
      <c r="O709" s="13">
        <v>3</v>
      </c>
      <c r="P709" s="12" t="s">
        <v>117</v>
      </c>
      <c r="Q709" s="12" t="s">
        <v>46</v>
      </c>
      <c r="R709" s="12" t="s">
        <v>86</v>
      </c>
      <c r="S709" s="12" t="b">
        <v>0</v>
      </c>
      <c r="T709" s="12" t="s">
        <v>62</v>
      </c>
      <c r="U709" s="15">
        <f t="shared" si="44"/>
        <v>2376.3041600000001</v>
      </c>
      <c r="V709" s="15">
        <f t="shared" si="45"/>
        <v>1645.64</v>
      </c>
      <c r="W709" s="15">
        <f t="shared" si="46"/>
        <v>260.64449999999999</v>
      </c>
      <c r="X709" s="15">
        <f t="shared" si="47"/>
        <v>-168.65450000000001</v>
      </c>
    </row>
    <row r="710" spans="1:24">
      <c r="A710" s="12" t="s">
        <v>2170</v>
      </c>
      <c r="B710" s="12" t="s">
        <v>2171</v>
      </c>
      <c r="C710" s="12" t="s">
        <v>50</v>
      </c>
      <c r="D710" s="12" t="s">
        <v>130</v>
      </c>
      <c r="E710" s="12" t="s">
        <v>96</v>
      </c>
      <c r="F710" s="13">
        <v>3891.1</v>
      </c>
      <c r="G710" s="13">
        <v>26.28</v>
      </c>
      <c r="H710" s="13">
        <v>2868.63</v>
      </c>
      <c r="I710" s="13">
        <v>3.4</v>
      </c>
      <c r="J710" s="13">
        <v>26</v>
      </c>
      <c r="K710" s="13">
        <v>232</v>
      </c>
      <c r="L710" s="12" t="s">
        <v>2172</v>
      </c>
      <c r="M710" s="12">
        <v>2.6</v>
      </c>
      <c r="N710" s="14">
        <v>45660</v>
      </c>
      <c r="O710" s="13">
        <v>3</v>
      </c>
      <c r="P710" s="12" t="s">
        <v>54</v>
      </c>
      <c r="Q710" s="12" t="s">
        <v>55</v>
      </c>
      <c r="R710" s="12" t="s">
        <v>72</v>
      </c>
      <c r="S710" s="12" t="b">
        <v>0</v>
      </c>
      <c r="T710" s="12" t="s">
        <v>78</v>
      </c>
      <c r="U710" s="15">
        <f t="shared" si="44"/>
        <v>1022.58108</v>
      </c>
      <c r="V710" s="15">
        <f t="shared" si="45"/>
        <v>1556.44</v>
      </c>
      <c r="W710" s="15">
        <f t="shared" si="46"/>
        <v>430.29450000000003</v>
      </c>
      <c r="X710" s="15">
        <f t="shared" si="47"/>
        <v>881.89549999999997</v>
      </c>
    </row>
    <row r="711" spans="1:24">
      <c r="A711" s="12" t="s">
        <v>2173</v>
      </c>
      <c r="B711" s="12" t="s">
        <v>2174</v>
      </c>
      <c r="C711" s="12" t="s">
        <v>50</v>
      </c>
      <c r="D711" s="12" t="s">
        <v>213</v>
      </c>
      <c r="E711" s="12" t="s">
        <v>70</v>
      </c>
      <c r="F711" s="13">
        <v>707.84</v>
      </c>
      <c r="G711" s="13">
        <v>9.2799999999999994</v>
      </c>
      <c r="H711" s="13">
        <v>642.17999999999995</v>
      </c>
      <c r="I711" s="13">
        <v>3.9</v>
      </c>
      <c r="J711" s="13">
        <v>12</v>
      </c>
      <c r="K711" s="13">
        <v>171</v>
      </c>
      <c r="L711" s="12" t="s">
        <v>2175</v>
      </c>
      <c r="M711" s="12">
        <v>2.6</v>
      </c>
      <c r="N711" s="14">
        <v>45891</v>
      </c>
      <c r="O711" s="13">
        <v>5</v>
      </c>
      <c r="P711" s="12" t="s">
        <v>30</v>
      </c>
      <c r="Q711" s="12" t="s">
        <v>46</v>
      </c>
      <c r="R711" s="12" t="s">
        <v>32</v>
      </c>
      <c r="S711" s="12" t="b">
        <v>0</v>
      </c>
      <c r="T711" s="12" t="s">
        <v>56</v>
      </c>
      <c r="U711" s="15">
        <f t="shared" si="44"/>
        <v>65.687551999999997</v>
      </c>
      <c r="V711" s="15">
        <f t="shared" si="45"/>
        <v>283.13600000000002</v>
      </c>
      <c r="W711" s="15">
        <f t="shared" si="46"/>
        <v>96.326999999999998</v>
      </c>
      <c r="X711" s="15">
        <f t="shared" si="47"/>
        <v>262.71699999999998</v>
      </c>
    </row>
    <row r="712" spans="1:24">
      <c r="A712" s="12" t="s">
        <v>2176</v>
      </c>
      <c r="B712" s="12" t="s">
        <v>2177</v>
      </c>
      <c r="C712" s="12" t="s">
        <v>75</v>
      </c>
      <c r="D712" s="12" t="s">
        <v>135</v>
      </c>
      <c r="E712" s="12" t="s">
        <v>235</v>
      </c>
      <c r="F712" s="13">
        <v>1009.11</v>
      </c>
      <c r="G712" s="13">
        <v>12.9</v>
      </c>
      <c r="H712" s="13">
        <v>878.94</v>
      </c>
      <c r="I712" s="13">
        <v>4.8</v>
      </c>
      <c r="J712" s="13">
        <v>46</v>
      </c>
      <c r="K712" s="13">
        <v>389</v>
      </c>
      <c r="L712" s="12" t="s">
        <v>1036</v>
      </c>
      <c r="M712" s="12">
        <v>3.5</v>
      </c>
      <c r="N712" s="14">
        <v>45740</v>
      </c>
      <c r="O712" s="13">
        <v>1</v>
      </c>
      <c r="P712" s="12" t="s">
        <v>117</v>
      </c>
      <c r="Q712" s="12" t="s">
        <v>46</v>
      </c>
      <c r="R712" s="12" t="s">
        <v>72</v>
      </c>
      <c r="S712" s="12" t="b">
        <v>0</v>
      </c>
      <c r="T712" s="12" t="s">
        <v>62</v>
      </c>
      <c r="U712" s="15">
        <f t="shared" si="44"/>
        <v>130.17518999999999</v>
      </c>
      <c r="V712" s="15">
        <f t="shared" si="45"/>
        <v>403.64400000000001</v>
      </c>
      <c r="W712" s="15">
        <f t="shared" si="46"/>
        <v>131.84100000000001</v>
      </c>
      <c r="X712" s="15">
        <f t="shared" si="47"/>
        <v>343.45499999999998</v>
      </c>
    </row>
    <row r="713" spans="1:24">
      <c r="A713" s="12" t="s">
        <v>2178</v>
      </c>
      <c r="B713" s="12" t="s">
        <v>2179</v>
      </c>
      <c r="C713" s="12" t="s">
        <v>75</v>
      </c>
      <c r="D713" s="12" t="s">
        <v>76</v>
      </c>
      <c r="E713" s="12" t="s">
        <v>65</v>
      </c>
      <c r="F713" s="13">
        <v>3312.25</v>
      </c>
      <c r="G713" s="13">
        <v>67.010000000000005</v>
      </c>
      <c r="H713" s="13">
        <v>1092.6199999999999</v>
      </c>
      <c r="I713" s="13">
        <v>3.9</v>
      </c>
      <c r="J713" s="13">
        <v>10</v>
      </c>
      <c r="K713" s="13">
        <v>437</v>
      </c>
      <c r="L713" s="12" t="s">
        <v>2180</v>
      </c>
      <c r="M713" s="12">
        <v>3.8</v>
      </c>
      <c r="N713" s="14">
        <v>45671</v>
      </c>
      <c r="O713" s="13">
        <v>5</v>
      </c>
      <c r="P713" s="12" t="s">
        <v>54</v>
      </c>
      <c r="Q713" s="12" t="s">
        <v>46</v>
      </c>
      <c r="R713" s="12" t="s">
        <v>86</v>
      </c>
      <c r="S713" s="12" t="b">
        <v>0</v>
      </c>
      <c r="T713" s="12" t="s">
        <v>62</v>
      </c>
      <c r="U713" s="15">
        <f t="shared" si="44"/>
        <v>2219.5387249999999</v>
      </c>
      <c r="V713" s="15">
        <f t="shared" si="45"/>
        <v>1324.9</v>
      </c>
      <c r="W713" s="15">
        <f t="shared" si="46"/>
        <v>163.893</v>
      </c>
      <c r="X713" s="15">
        <f t="shared" si="47"/>
        <v>-396.173</v>
      </c>
    </row>
    <row r="714" spans="1:24">
      <c r="A714" s="12" t="s">
        <v>2181</v>
      </c>
      <c r="B714" s="12" t="s">
        <v>2182</v>
      </c>
      <c r="C714" s="12" t="s">
        <v>50</v>
      </c>
      <c r="D714" s="12" t="s">
        <v>130</v>
      </c>
      <c r="E714" s="12" t="s">
        <v>65</v>
      </c>
      <c r="F714" s="13">
        <v>385.24</v>
      </c>
      <c r="G714" s="13">
        <v>19.170000000000002</v>
      </c>
      <c r="H714" s="13">
        <v>311.38</v>
      </c>
      <c r="I714" s="13">
        <v>3.8</v>
      </c>
      <c r="J714" s="13">
        <v>6</v>
      </c>
      <c r="K714" s="13">
        <v>142</v>
      </c>
      <c r="L714" s="12" t="s">
        <v>2183</v>
      </c>
      <c r="M714" s="12">
        <v>2.6</v>
      </c>
      <c r="N714" s="14">
        <v>45916</v>
      </c>
      <c r="O714" s="13">
        <v>5</v>
      </c>
      <c r="P714" s="12" t="s">
        <v>117</v>
      </c>
      <c r="Q714" s="12" t="s">
        <v>31</v>
      </c>
      <c r="R714" s="12" t="s">
        <v>86</v>
      </c>
      <c r="S714" s="12" t="b">
        <v>0</v>
      </c>
      <c r="T714" s="12" t="s">
        <v>62</v>
      </c>
      <c r="U714" s="15">
        <f t="shared" si="44"/>
        <v>73.850508000000005</v>
      </c>
      <c r="V714" s="15">
        <f t="shared" si="45"/>
        <v>154.096</v>
      </c>
      <c r="W714" s="15">
        <f t="shared" si="46"/>
        <v>46.707000000000001</v>
      </c>
      <c r="X714" s="15">
        <f t="shared" si="47"/>
        <v>110.577</v>
      </c>
    </row>
    <row r="715" spans="1:24">
      <c r="A715" s="12" t="s">
        <v>2184</v>
      </c>
      <c r="B715" s="12" t="s">
        <v>2185</v>
      </c>
      <c r="C715" s="12" t="s">
        <v>75</v>
      </c>
      <c r="D715" s="12" t="s">
        <v>135</v>
      </c>
      <c r="E715" s="12" t="s">
        <v>112</v>
      </c>
      <c r="F715" s="13">
        <v>3218.59</v>
      </c>
      <c r="G715" s="13">
        <v>25.55</v>
      </c>
      <c r="H715" s="13">
        <v>2396.15</v>
      </c>
      <c r="I715" s="13">
        <v>3.7</v>
      </c>
      <c r="J715" s="13">
        <v>39</v>
      </c>
      <c r="K715" s="13">
        <v>456</v>
      </c>
      <c r="L715" s="12" t="s">
        <v>2186</v>
      </c>
      <c r="M715" s="12">
        <v>4.3</v>
      </c>
      <c r="N715" s="14">
        <v>46054</v>
      </c>
      <c r="O715" s="13">
        <v>1</v>
      </c>
      <c r="P715" s="12" t="s">
        <v>117</v>
      </c>
      <c r="Q715" s="12" t="s">
        <v>31</v>
      </c>
      <c r="R715" s="12" t="s">
        <v>32</v>
      </c>
      <c r="S715" s="12" t="b">
        <v>0</v>
      </c>
      <c r="T715" s="12" t="s">
        <v>56</v>
      </c>
      <c r="U715" s="15">
        <f t="shared" si="44"/>
        <v>822.34974499999998</v>
      </c>
      <c r="V715" s="15">
        <f t="shared" si="45"/>
        <v>1287.4359999999999</v>
      </c>
      <c r="W715" s="15">
        <f t="shared" si="46"/>
        <v>359.42250000000001</v>
      </c>
      <c r="X715" s="15">
        <f t="shared" si="47"/>
        <v>749.29150000000004</v>
      </c>
    </row>
    <row r="716" spans="1:24">
      <c r="A716" s="12" t="s">
        <v>2187</v>
      </c>
      <c r="B716" s="12" t="s">
        <v>2188</v>
      </c>
      <c r="C716" s="12" t="s">
        <v>26</v>
      </c>
      <c r="D716" s="12" t="s">
        <v>27</v>
      </c>
      <c r="E716" s="12" t="s">
        <v>235</v>
      </c>
      <c r="F716" s="13">
        <v>58188.55</v>
      </c>
      <c r="G716" s="13">
        <v>20.350000000000001</v>
      </c>
      <c r="H716" s="13">
        <v>46345.14</v>
      </c>
      <c r="I716" s="13">
        <v>4.7</v>
      </c>
      <c r="J716" s="13">
        <v>39</v>
      </c>
      <c r="K716" s="13">
        <v>271</v>
      </c>
      <c r="L716" s="12" t="s">
        <v>2189</v>
      </c>
      <c r="M716" s="12">
        <v>4.0999999999999996</v>
      </c>
      <c r="N716" s="14">
        <v>45762</v>
      </c>
      <c r="O716" s="13">
        <v>3</v>
      </c>
      <c r="P716" s="12" t="s">
        <v>45</v>
      </c>
      <c r="Q716" s="12" t="s">
        <v>55</v>
      </c>
      <c r="R716" s="12" t="s">
        <v>32</v>
      </c>
      <c r="S716" s="12" t="b">
        <v>0</v>
      </c>
      <c r="T716" s="12" t="s">
        <v>56</v>
      </c>
      <c r="U716" s="15">
        <f t="shared" si="44"/>
        <v>11841.369925000001</v>
      </c>
      <c r="V716" s="15">
        <f t="shared" si="45"/>
        <v>23275.42</v>
      </c>
      <c r="W716" s="15">
        <f t="shared" si="46"/>
        <v>6951.7709999999997</v>
      </c>
      <c r="X716" s="15">
        <f t="shared" si="47"/>
        <v>16117.949000000001</v>
      </c>
    </row>
    <row r="717" spans="1:24">
      <c r="A717" s="12" t="s">
        <v>2190</v>
      </c>
      <c r="B717" s="12" t="s">
        <v>2191</v>
      </c>
      <c r="C717" s="12" t="s">
        <v>50</v>
      </c>
      <c r="D717" s="12" t="s">
        <v>130</v>
      </c>
      <c r="E717" s="12" t="s">
        <v>84</v>
      </c>
      <c r="F717" s="13">
        <v>3121.2</v>
      </c>
      <c r="G717" s="13">
        <v>48.25</v>
      </c>
      <c r="H717" s="13">
        <v>1615.21</v>
      </c>
      <c r="I717" s="13">
        <v>3.1</v>
      </c>
      <c r="J717" s="13">
        <v>41</v>
      </c>
      <c r="K717" s="13">
        <v>354</v>
      </c>
      <c r="L717" s="12" t="s">
        <v>2192</v>
      </c>
      <c r="M717" s="12">
        <v>4.3</v>
      </c>
      <c r="N717" s="14">
        <v>46013</v>
      </c>
      <c r="O717" s="13">
        <v>1</v>
      </c>
      <c r="P717" s="12" t="s">
        <v>45</v>
      </c>
      <c r="Q717" s="12" t="s">
        <v>46</v>
      </c>
      <c r="R717" s="12" t="s">
        <v>47</v>
      </c>
      <c r="S717" s="12" t="b">
        <v>0</v>
      </c>
      <c r="T717" s="12" t="s">
        <v>56</v>
      </c>
      <c r="U717" s="15">
        <f t="shared" si="44"/>
        <v>1505.979</v>
      </c>
      <c r="V717" s="15">
        <f t="shared" si="45"/>
        <v>1248.48</v>
      </c>
      <c r="W717" s="15">
        <f t="shared" si="46"/>
        <v>242.28149999999999</v>
      </c>
      <c r="X717" s="15">
        <f t="shared" si="47"/>
        <v>124.4485</v>
      </c>
    </row>
    <row r="718" spans="1:24">
      <c r="A718" s="12" t="s">
        <v>2193</v>
      </c>
      <c r="B718" s="12" t="s">
        <v>2194</v>
      </c>
      <c r="C718" s="12" t="s">
        <v>59</v>
      </c>
      <c r="D718" s="12" t="s">
        <v>69</v>
      </c>
      <c r="E718" s="12" t="s">
        <v>100</v>
      </c>
      <c r="F718" s="13">
        <v>19830.07</v>
      </c>
      <c r="G718" s="13">
        <v>7.81</v>
      </c>
      <c r="H718" s="13">
        <v>18281.310000000001</v>
      </c>
      <c r="I718" s="13">
        <v>3.8</v>
      </c>
      <c r="J718" s="13">
        <v>23</v>
      </c>
      <c r="K718" s="13">
        <v>342</v>
      </c>
      <c r="L718" s="12" t="s">
        <v>2195</v>
      </c>
      <c r="M718" s="12">
        <v>4.0999999999999996</v>
      </c>
      <c r="N718" s="14">
        <v>46064</v>
      </c>
      <c r="O718" s="13">
        <v>5</v>
      </c>
      <c r="P718" s="12" t="s">
        <v>40</v>
      </c>
      <c r="Q718" s="12" t="s">
        <v>46</v>
      </c>
      <c r="R718" s="12" t="s">
        <v>86</v>
      </c>
      <c r="S718" s="12" t="b">
        <v>0</v>
      </c>
      <c r="T718" s="12" t="s">
        <v>62</v>
      </c>
      <c r="U718" s="15">
        <f t="shared" si="44"/>
        <v>1548.7284669999999</v>
      </c>
      <c r="V718" s="15">
        <f t="shared" si="45"/>
        <v>7932.0280000000002</v>
      </c>
      <c r="W718" s="15">
        <f t="shared" si="46"/>
        <v>2742.1965</v>
      </c>
      <c r="X718" s="15">
        <f t="shared" si="47"/>
        <v>7607.0855000000001</v>
      </c>
    </row>
    <row r="719" spans="1:24">
      <c r="A719" s="12" t="s">
        <v>2196</v>
      </c>
      <c r="B719" s="12" t="s">
        <v>2197</v>
      </c>
      <c r="C719" s="12" t="s">
        <v>36</v>
      </c>
      <c r="D719" s="12" t="s">
        <v>43</v>
      </c>
      <c r="E719" s="12" t="s">
        <v>235</v>
      </c>
      <c r="F719" s="13">
        <v>9457.0400000000009</v>
      </c>
      <c r="G719" s="13">
        <v>25.53</v>
      </c>
      <c r="H719" s="13">
        <v>7042.22</v>
      </c>
      <c r="I719" s="13">
        <v>3.9</v>
      </c>
      <c r="J719" s="13">
        <v>53</v>
      </c>
      <c r="K719" s="13">
        <v>447</v>
      </c>
      <c r="L719" s="12" t="s">
        <v>2198</v>
      </c>
      <c r="M719" s="12">
        <v>4</v>
      </c>
      <c r="N719" s="14">
        <v>46000</v>
      </c>
      <c r="O719" s="13">
        <v>3</v>
      </c>
      <c r="P719" s="12" t="s">
        <v>117</v>
      </c>
      <c r="Q719" s="12" t="s">
        <v>46</v>
      </c>
      <c r="R719" s="12" t="s">
        <v>72</v>
      </c>
      <c r="S719" s="12" t="b">
        <v>0</v>
      </c>
      <c r="T719" s="12" t="s">
        <v>62</v>
      </c>
      <c r="U719" s="15">
        <f t="shared" si="44"/>
        <v>2414.3823120000002</v>
      </c>
      <c r="V719" s="15">
        <f t="shared" si="45"/>
        <v>3782.8159999999998</v>
      </c>
      <c r="W719" s="15">
        <f t="shared" si="46"/>
        <v>1056.3330000000001</v>
      </c>
      <c r="X719" s="15">
        <f t="shared" si="47"/>
        <v>2203.0709999999999</v>
      </c>
    </row>
    <row r="720" spans="1:24">
      <c r="A720" s="12" t="s">
        <v>2199</v>
      </c>
      <c r="B720" s="12" t="s">
        <v>2200</v>
      </c>
      <c r="C720" s="12" t="s">
        <v>50</v>
      </c>
      <c r="D720" s="12" t="s">
        <v>213</v>
      </c>
      <c r="E720" s="12" t="s">
        <v>100</v>
      </c>
      <c r="F720" s="13">
        <v>251.23</v>
      </c>
      <c r="G720" s="13">
        <v>41.97</v>
      </c>
      <c r="H720" s="13">
        <v>145.78</v>
      </c>
      <c r="I720" s="13">
        <v>3.9</v>
      </c>
      <c r="J720" s="13">
        <v>11</v>
      </c>
      <c r="K720" s="13">
        <v>197</v>
      </c>
      <c r="L720" s="12" t="s">
        <v>2201</v>
      </c>
      <c r="M720" s="12">
        <v>2.8</v>
      </c>
      <c r="N720" s="14">
        <v>45833</v>
      </c>
      <c r="O720" s="13">
        <v>2</v>
      </c>
      <c r="P720" s="12" t="s">
        <v>40</v>
      </c>
      <c r="Q720" s="12" t="s">
        <v>31</v>
      </c>
      <c r="R720" s="12" t="s">
        <v>32</v>
      </c>
      <c r="S720" s="12" t="b">
        <v>0</v>
      </c>
      <c r="T720" s="12" t="s">
        <v>56</v>
      </c>
      <c r="U720" s="15">
        <f t="shared" si="44"/>
        <v>105.441231</v>
      </c>
      <c r="V720" s="15">
        <f t="shared" si="45"/>
        <v>100.492</v>
      </c>
      <c r="W720" s="15">
        <f t="shared" si="46"/>
        <v>21.867000000000001</v>
      </c>
      <c r="X720" s="15">
        <f t="shared" si="47"/>
        <v>23.420999999999999</v>
      </c>
    </row>
    <row r="721" spans="1:24">
      <c r="A721" s="12" t="s">
        <v>2202</v>
      </c>
      <c r="B721" s="12" t="s">
        <v>2203</v>
      </c>
      <c r="C721" s="12" t="s">
        <v>50</v>
      </c>
      <c r="D721" s="12" t="s">
        <v>51</v>
      </c>
      <c r="E721" s="12" t="s">
        <v>28</v>
      </c>
      <c r="F721" s="13">
        <v>4304.53</v>
      </c>
      <c r="G721" s="13">
        <v>48.79</v>
      </c>
      <c r="H721" s="13">
        <v>2204.48</v>
      </c>
      <c r="I721" s="13">
        <v>3.4</v>
      </c>
      <c r="J721" s="13">
        <v>17</v>
      </c>
      <c r="K721" s="13">
        <v>406</v>
      </c>
      <c r="L721" s="12" t="s">
        <v>2204</v>
      </c>
      <c r="M721" s="12">
        <v>4.3</v>
      </c>
      <c r="N721" s="14">
        <v>45810</v>
      </c>
      <c r="O721" s="13">
        <v>3</v>
      </c>
      <c r="P721" s="12" t="s">
        <v>45</v>
      </c>
      <c r="Q721" s="12" t="s">
        <v>31</v>
      </c>
      <c r="R721" s="12" t="s">
        <v>32</v>
      </c>
      <c r="S721" s="12" t="b">
        <v>0</v>
      </c>
      <c r="T721" s="12" t="s">
        <v>62</v>
      </c>
      <c r="U721" s="15">
        <f t="shared" si="44"/>
        <v>2100.1801869999999</v>
      </c>
      <c r="V721" s="15">
        <f t="shared" si="45"/>
        <v>1721.8119999999999</v>
      </c>
      <c r="W721" s="15">
        <f t="shared" si="46"/>
        <v>330.67200000000003</v>
      </c>
      <c r="X721" s="15">
        <f t="shared" si="47"/>
        <v>151.99600000000001</v>
      </c>
    </row>
    <row r="722" spans="1:24">
      <c r="A722" s="12" t="s">
        <v>2205</v>
      </c>
      <c r="B722" s="12" t="s">
        <v>2206</v>
      </c>
      <c r="C722" s="12" t="s">
        <v>59</v>
      </c>
      <c r="D722" s="12" t="s">
        <v>60</v>
      </c>
      <c r="E722" s="12" t="s">
        <v>38</v>
      </c>
      <c r="F722" s="13">
        <v>14411.77</v>
      </c>
      <c r="G722" s="13">
        <v>39.82</v>
      </c>
      <c r="H722" s="13">
        <v>8672.85</v>
      </c>
      <c r="I722" s="13">
        <v>3.4</v>
      </c>
      <c r="J722" s="13">
        <v>12</v>
      </c>
      <c r="K722" s="13">
        <v>454</v>
      </c>
      <c r="L722" s="12" t="s">
        <v>2207</v>
      </c>
      <c r="M722" s="12">
        <v>3.9</v>
      </c>
      <c r="N722" s="14">
        <v>45473</v>
      </c>
      <c r="O722" s="13">
        <v>5</v>
      </c>
      <c r="P722" s="12" t="s">
        <v>45</v>
      </c>
      <c r="Q722" s="12" t="s">
        <v>46</v>
      </c>
      <c r="R722" s="12" t="s">
        <v>86</v>
      </c>
      <c r="S722" s="12" t="b">
        <v>0</v>
      </c>
      <c r="T722" s="12" t="s">
        <v>56</v>
      </c>
      <c r="U722" s="15">
        <f t="shared" si="44"/>
        <v>5738.7668139999996</v>
      </c>
      <c r="V722" s="15">
        <f t="shared" si="45"/>
        <v>5764.7079999999996</v>
      </c>
      <c r="W722" s="15">
        <f t="shared" si="46"/>
        <v>1300.9275</v>
      </c>
      <c r="X722" s="15">
        <f t="shared" si="47"/>
        <v>1607.2145</v>
      </c>
    </row>
    <row r="723" spans="1:24">
      <c r="A723" s="12" t="s">
        <v>2208</v>
      </c>
      <c r="B723" s="12" t="s">
        <v>2209</v>
      </c>
      <c r="C723" s="12" t="s">
        <v>50</v>
      </c>
      <c r="D723" s="12" t="s">
        <v>213</v>
      </c>
      <c r="E723" s="12" t="s">
        <v>38</v>
      </c>
      <c r="F723" s="13">
        <v>1014.84</v>
      </c>
      <c r="G723" s="13">
        <v>5.67</v>
      </c>
      <c r="H723" s="13">
        <v>957.31</v>
      </c>
      <c r="I723" s="13">
        <v>2.8</v>
      </c>
      <c r="J723" s="13">
        <v>15</v>
      </c>
      <c r="K723" s="13">
        <v>331</v>
      </c>
      <c r="L723" s="12" t="s">
        <v>2210</v>
      </c>
      <c r="M723" s="12">
        <v>3.1</v>
      </c>
      <c r="N723" s="14">
        <v>45901</v>
      </c>
      <c r="O723" s="13">
        <v>1</v>
      </c>
      <c r="P723" s="12" t="s">
        <v>30</v>
      </c>
      <c r="Q723" s="12" t="s">
        <v>31</v>
      </c>
      <c r="R723" s="12" t="s">
        <v>47</v>
      </c>
      <c r="S723" s="12" t="b">
        <v>1</v>
      </c>
      <c r="T723" s="12" t="s">
        <v>33</v>
      </c>
      <c r="U723" s="15">
        <f t="shared" si="44"/>
        <v>57.541428000000003</v>
      </c>
      <c r="V723" s="15">
        <f t="shared" si="45"/>
        <v>405.93599999999998</v>
      </c>
      <c r="W723" s="15">
        <f t="shared" si="46"/>
        <v>143.59649999999999</v>
      </c>
      <c r="X723" s="15">
        <f t="shared" si="47"/>
        <v>407.77749999999997</v>
      </c>
    </row>
    <row r="724" spans="1:24">
      <c r="A724" s="12" t="s">
        <v>2211</v>
      </c>
      <c r="B724" s="12" t="s">
        <v>2212</v>
      </c>
      <c r="C724" s="12" t="s">
        <v>75</v>
      </c>
      <c r="D724" s="12" t="s">
        <v>104</v>
      </c>
      <c r="E724" s="12" t="s">
        <v>70</v>
      </c>
      <c r="F724" s="13">
        <v>3719.46</v>
      </c>
      <c r="G724" s="13">
        <v>43.31</v>
      </c>
      <c r="H724" s="13">
        <v>2108.58</v>
      </c>
      <c r="I724" s="13">
        <v>4</v>
      </c>
      <c r="J724" s="13">
        <v>113</v>
      </c>
      <c r="K724" s="13">
        <v>244</v>
      </c>
      <c r="L724" s="12" t="s">
        <v>2213</v>
      </c>
      <c r="M724" s="12">
        <v>3.3</v>
      </c>
      <c r="N724" s="14">
        <v>46004</v>
      </c>
      <c r="O724" s="13">
        <v>2</v>
      </c>
      <c r="P724" s="12" t="s">
        <v>45</v>
      </c>
      <c r="Q724" s="12" t="s">
        <v>31</v>
      </c>
      <c r="R724" s="12" t="s">
        <v>47</v>
      </c>
      <c r="S724" s="12" t="b">
        <v>0</v>
      </c>
      <c r="T724" s="12" t="s">
        <v>56</v>
      </c>
      <c r="U724" s="15">
        <f t="shared" si="44"/>
        <v>1610.898126</v>
      </c>
      <c r="V724" s="15">
        <f t="shared" si="45"/>
        <v>1487.7840000000001</v>
      </c>
      <c r="W724" s="15">
        <f t="shared" si="46"/>
        <v>316.28699999999998</v>
      </c>
      <c r="X724" s="15">
        <f t="shared" si="47"/>
        <v>304.50900000000001</v>
      </c>
    </row>
    <row r="725" spans="1:24">
      <c r="A725" s="12" t="s">
        <v>2214</v>
      </c>
      <c r="B725" s="12" t="s">
        <v>2215</v>
      </c>
      <c r="C725" s="12" t="s">
        <v>59</v>
      </c>
      <c r="D725" s="12" t="s">
        <v>170</v>
      </c>
      <c r="E725" s="12" t="s">
        <v>131</v>
      </c>
      <c r="F725" s="13">
        <v>3004.76</v>
      </c>
      <c r="G725" s="13">
        <v>47.78</v>
      </c>
      <c r="H725" s="13">
        <v>1569.17</v>
      </c>
      <c r="I725" s="13">
        <v>4.9000000000000004</v>
      </c>
      <c r="J725" s="13">
        <v>5</v>
      </c>
      <c r="K725" s="13">
        <v>32</v>
      </c>
      <c r="L725" s="12" t="s">
        <v>1093</v>
      </c>
      <c r="M725" s="12">
        <v>3.3</v>
      </c>
      <c r="N725" s="14">
        <v>45780</v>
      </c>
      <c r="O725" s="13">
        <v>6</v>
      </c>
      <c r="P725" s="12" t="s">
        <v>117</v>
      </c>
      <c r="Q725" s="12" t="s">
        <v>55</v>
      </c>
      <c r="R725" s="12" t="s">
        <v>86</v>
      </c>
      <c r="S725" s="12" t="b">
        <v>1</v>
      </c>
      <c r="T725" s="12" t="s">
        <v>33</v>
      </c>
      <c r="U725" s="15">
        <f t="shared" si="44"/>
        <v>1435.6743280000001</v>
      </c>
      <c r="V725" s="15">
        <f t="shared" si="45"/>
        <v>1201.904</v>
      </c>
      <c r="W725" s="15">
        <f t="shared" si="46"/>
        <v>235.37549999999999</v>
      </c>
      <c r="X725" s="15">
        <f t="shared" si="47"/>
        <v>131.8905</v>
      </c>
    </row>
    <row r="726" spans="1:24">
      <c r="A726" s="12" t="s">
        <v>2216</v>
      </c>
      <c r="B726" s="12" t="s">
        <v>2217</v>
      </c>
      <c r="C726" s="12" t="s">
        <v>50</v>
      </c>
      <c r="D726" s="12" t="s">
        <v>213</v>
      </c>
      <c r="E726" s="12" t="s">
        <v>131</v>
      </c>
      <c r="F726" s="13">
        <v>744.62</v>
      </c>
      <c r="G726" s="13">
        <v>41.33</v>
      </c>
      <c r="H726" s="13">
        <v>436.86</v>
      </c>
      <c r="I726" s="13">
        <v>3.5</v>
      </c>
      <c r="J726" s="13">
        <v>78</v>
      </c>
      <c r="K726" s="13">
        <v>347</v>
      </c>
      <c r="L726" s="12" t="s">
        <v>2218</v>
      </c>
      <c r="M726" s="12">
        <v>4</v>
      </c>
      <c r="N726" s="14">
        <v>45718</v>
      </c>
      <c r="O726" s="13">
        <v>2</v>
      </c>
      <c r="P726" s="12" t="s">
        <v>40</v>
      </c>
      <c r="Q726" s="12" t="s">
        <v>55</v>
      </c>
      <c r="R726" s="12" t="s">
        <v>86</v>
      </c>
      <c r="S726" s="12" t="b">
        <v>0</v>
      </c>
      <c r="T726" s="12" t="s">
        <v>62</v>
      </c>
      <c r="U726" s="15">
        <f t="shared" si="44"/>
        <v>307.75144599999999</v>
      </c>
      <c r="V726" s="15">
        <f t="shared" si="45"/>
        <v>297.84800000000001</v>
      </c>
      <c r="W726" s="15">
        <f t="shared" si="46"/>
        <v>65.528999999999996</v>
      </c>
      <c r="X726" s="15">
        <f t="shared" si="47"/>
        <v>73.483000000000004</v>
      </c>
    </row>
    <row r="727" spans="1:24">
      <c r="A727" s="12" t="s">
        <v>2219</v>
      </c>
      <c r="B727" s="12" t="s">
        <v>2220</v>
      </c>
      <c r="C727" s="12" t="s">
        <v>59</v>
      </c>
      <c r="D727" s="12" t="s">
        <v>60</v>
      </c>
      <c r="E727" s="12" t="s">
        <v>28</v>
      </c>
      <c r="F727" s="13">
        <v>15103.89</v>
      </c>
      <c r="G727" s="13">
        <v>18.73</v>
      </c>
      <c r="H727" s="13">
        <v>12274.23</v>
      </c>
      <c r="I727" s="13">
        <v>3.2</v>
      </c>
      <c r="J727" s="13">
        <v>10</v>
      </c>
      <c r="K727" s="13">
        <v>44</v>
      </c>
      <c r="L727" s="12" t="s">
        <v>2221</v>
      </c>
      <c r="M727" s="12">
        <v>2.9</v>
      </c>
      <c r="N727" s="14">
        <v>46047</v>
      </c>
      <c r="O727" s="13">
        <v>1</v>
      </c>
      <c r="P727" s="12" t="s">
        <v>40</v>
      </c>
      <c r="Q727" s="12" t="s">
        <v>55</v>
      </c>
      <c r="R727" s="12" t="s">
        <v>47</v>
      </c>
      <c r="S727" s="12" t="b">
        <v>0</v>
      </c>
      <c r="T727" s="12" t="s">
        <v>56</v>
      </c>
      <c r="U727" s="15">
        <f t="shared" si="44"/>
        <v>2828.9585969999998</v>
      </c>
      <c r="V727" s="15">
        <f t="shared" si="45"/>
        <v>6041.5559999999996</v>
      </c>
      <c r="W727" s="15">
        <f t="shared" si="46"/>
        <v>1841.1344999999999</v>
      </c>
      <c r="X727" s="15">
        <f t="shared" si="47"/>
        <v>4391.5394999999999</v>
      </c>
    </row>
    <row r="728" spans="1:24">
      <c r="A728" s="12" t="s">
        <v>2222</v>
      </c>
      <c r="B728" s="12" t="s">
        <v>2223</v>
      </c>
      <c r="C728" s="12" t="s">
        <v>26</v>
      </c>
      <c r="D728" s="12" t="s">
        <v>27</v>
      </c>
      <c r="E728" s="12" t="s">
        <v>92</v>
      </c>
      <c r="F728" s="13">
        <v>44737.54</v>
      </c>
      <c r="G728" s="13">
        <v>14.92</v>
      </c>
      <c r="H728" s="13">
        <v>38064.769999999997</v>
      </c>
      <c r="I728" s="13">
        <v>4.5999999999999996</v>
      </c>
      <c r="J728" s="13">
        <v>9</v>
      </c>
      <c r="K728" s="13">
        <v>254</v>
      </c>
      <c r="L728" s="12" t="s">
        <v>2224</v>
      </c>
      <c r="M728" s="12">
        <v>3.7</v>
      </c>
      <c r="N728" s="14">
        <v>45431</v>
      </c>
      <c r="O728" s="13">
        <v>2</v>
      </c>
      <c r="P728" s="12" t="s">
        <v>30</v>
      </c>
      <c r="Q728" s="12" t="s">
        <v>46</v>
      </c>
      <c r="R728" s="12" t="s">
        <v>32</v>
      </c>
      <c r="S728" s="12" t="b">
        <v>0</v>
      </c>
      <c r="T728" s="12" t="s">
        <v>56</v>
      </c>
      <c r="U728" s="15">
        <f t="shared" si="44"/>
        <v>6674.8409680000004</v>
      </c>
      <c r="V728" s="15">
        <f t="shared" si="45"/>
        <v>17895.016</v>
      </c>
      <c r="W728" s="15">
        <f t="shared" si="46"/>
        <v>5709.7155000000002</v>
      </c>
      <c r="X728" s="15">
        <f t="shared" si="47"/>
        <v>14460.038500000001</v>
      </c>
    </row>
    <row r="729" spans="1:24">
      <c r="A729" s="12" t="s">
        <v>2225</v>
      </c>
      <c r="B729" s="12" t="s">
        <v>2226</v>
      </c>
      <c r="C729" s="12" t="s">
        <v>50</v>
      </c>
      <c r="D729" s="12" t="s">
        <v>213</v>
      </c>
      <c r="E729" s="12" t="s">
        <v>131</v>
      </c>
      <c r="F729" s="13">
        <v>3155.49</v>
      </c>
      <c r="G729" s="13">
        <v>23.19</v>
      </c>
      <c r="H729" s="13">
        <v>2423.84</v>
      </c>
      <c r="I729" s="13">
        <v>3.7</v>
      </c>
      <c r="J729" s="13">
        <v>54</v>
      </c>
      <c r="K729" s="13">
        <v>215</v>
      </c>
      <c r="L729" s="12" t="s">
        <v>2227</v>
      </c>
      <c r="M729" s="12">
        <v>3.4</v>
      </c>
      <c r="N729" s="14">
        <v>45879</v>
      </c>
      <c r="O729" s="13">
        <v>4</v>
      </c>
      <c r="P729" s="12" t="s">
        <v>54</v>
      </c>
      <c r="Q729" s="12" t="s">
        <v>31</v>
      </c>
      <c r="R729" s="12" t="s">
        <v>32</v>
      </c>
      <c r="S729" s="12" t="b">
        <v>0</v>
      </c>
      <c r="T729" s="12" t="s">
        <v>56</v>
      </c>
      <c r="U729" s="15">
        <f t="shared" si="44"/>
        <v>731.75813100000005</v>
      </c>
      <c r="V729" s="15">
        <f t="shared" si="45"/>
        <v>1262.1959999999999</v>
      </c>
      <c r="W729" s="15">
        <f t="shared" si="46"/>
        <v>363.57600000000002</v>
      </c>
      <c r="X729" s="15">
        <f t="shared" si="47"/>
        <v>798.06799999999998</v>
      </c>
    </row>
    <row r="730" spans="1:24">
      <c r="A730" s="12" t="s">
        <v>2228</v>
      </c>
      <c r="B730" s="12" t="s">
        <v>2229</v>
      </c>
      <c r="C730" s="12" t="s">
        <v>75</v>
      </c>
      <c r="D730" s="12" t="s">
        <v>135</v>
      </c>
      <c r="E730" s="12" t="s">
        <v>38</v>
      </c>
      <c r="F730" s="13">
        <v>599.91</v>
      </c>
      <c r="G730" s="13">
        <v>25.14</v>
      </c>
      <c r="H730" s="13">
        <v>449.12</v>
      </c>
      <c r="I730" s="13">
        <v>4.5</v>
      </c>
      <c r="J730" s="13">
        <v>23</v>
      </c>
      <c r="K730" s="13">
        <v>330</v>
      </c>
      <c r="L730" s="12" t="s">
        <v>2230</v>
      </c>
      <c r="M730" s="12">
        <v>4.5</v>
      </c>
      <c r="N730" s="14">
        <v>45962</v>
      </c>
      <c r="O730" s="13">
        <v>2</v>
      </c>
      <c r="P730" s="12" t="s">
        <v>54</v>
      </c>
      <c r="Q730" s="12" t="s">
        <v>55</v>
      </c>
      <c r="R730" s="12" t="s">
        <v>72</v>
      </c>
      <c r="S730" s="12" t="b">
        <v>0</v>
      </c>
      <c r="T730" s="12" t="s">
        <v>62</v>
      </c>
      <c r="U730" s="15">
        <f t="shared" si="44"/>
        <v>150.817374</v>
      </c>
      <c r="V730" s="15">
        <f t="shared" si="45"/>
        <v>239.964</v>
      </c>
      <c r="W730" s="15">
        <f t="shared" si="46"/>
        <v>67.367999999999995</v>
      </c>
      <c r="X730" s="15">
        <f t="shared" si="47"/>
        <v>141.78800000000001</v>
      </c>
    </row>
    <row r="731" spans="1:24">
      <c r="A731" s="12" t="s">
        <v>2231</v>
      </c>
      <c r="B731" s="12" t="s">
        <v>2232</v>
      </c>
      <c r="C731" s="12" t="s">
        <v>59</v>
      </c>
      <c r="D731" s="12" t="s">
        <v>170</v>
      </c>
      <c r="E731" s="12" t="s">
        <v>65</v>
      </c>
      <c r="F731" s="13">
        <v>8314.2199999999993</v>
      </c>
      <c r="G731" s="13">
        <v>48.33</v>
      </c>
      <c r="H731" s="13">
        <v>4296.3500000000004</v>
      </c>
      <c r="I731" s="13">
        <v>3.8</v>
      </c>
      <c r="J731" s="13">
        <v>7</v>
      </c>
      <c r="K731" s="13">
        <v>227</v>
      </c>
      <c r="L731" s="12" t="s">
        <v>2233</v>
      </c>
      <c r="M731" s="12">
        <v>2.7</v>
      </c>
      <c r="N731" s="14">
        <v>45660</v>
      </c>
      <c r="O731" s="13">
        <v>1</v>
      </c>
      <c r="P731" s="12" t="s">
        <v>45</v>
      </c>
      <c r="Q731" s="12" t="s">
        <v>55</v>
      </c>
      <c r="R731" s="12" t="s">
        <v>47</v>
      </c>
      <c r="S731" s="12" t="b">
        <v>0</v>
      </c>
      <c r="T731" s="12" t="s">
        <v>56</v>
      </c>
      <c r="U731" s="15">
        <f t="shared" si="44"/>
        <v>4018.262526</v>
      </c>
      <c r="V731" s="15">
        <f t="shared" si="45"/>
        <v>3325.6880000000001</v>
      </c>
      <c r="W731" s="15">
        <f t="shared" si="46"/>
        <v>644.45249999999999</v>
      </c>
      <c r="X731" s="15">
        <f t="shared" si="47"/>
        <v>326.20949999999999</v>
      </c>
    </row>
    <row r="732" spans="1:24">
      <c r="A732" s="12" t="s">
        <v>2234</v>
      </c>
      <c r="B732" s="12" t="s">
        <v>2235</v>
      </c>
      <c r="C732" s="12" t="s">
        <v>75</v>
      </c>
      <c r="D732" s="12" t="s">
        <v>104</v>
      </c>
      <c r="E732" s="12" t="s">
        <v>70</v>
      </c>
      <c r="F732" s="13">
        <v>4125.67</v>
      </c>
      <c r="G732" s="13">
        <v>49.05</v>
      </c>
      <c r="H732" s="13">
        <v>2101.9499999999998</v>
      </c>
      <c r="I732" s="13">
        <v>3.5</v>
      </c>
      <c r="J732" s="13">
        <v>9</v>
      </c>
      <c r="K732" s="13">
        <v>394</v>
      </c>
      <c r="L732" s="12" t="s">
        <v>2236</v>
      </c>
      <c r="M732" s="12">
        <v>5</v>
      </c>
      <c r="N732" s="14">
        <v>46098</v>
      </c>
      <c r="O732" s="13">
        <v>4</v>
      </c>
      <c r="P732" s="12" t="s">
        <v>117</v>
      </c>
      <c r="Q732" s="12" t="s">
        <v>46</v>
      </c>
      <c r="R732" s="12" t="s">
        <v>72</v>
      </c>
      <c r="S732" s="12" t="b">
        <v>0</v>
      </c>
      <c r="T732" s="12" t="s">
        <v>56</v>
      </c>
      <c r="U732" s="15">
        <f t="shared" si="44"/>
        <v>2023.6411350000001</v>
      </c>
      <c r="V732" s="15">
        <f t="shared" si="45"/>
        <v>1650.268</v>
      </c>
      <c r="W732" s="15">
        <f t="shared" si="46"/>
        <v>315.29250000000002</v>
      </c>
      <c r="X732" s="15">
        <f t="shared" si="47"/>
        <v>136.3895</v>
      </c>
    </row>
    <row r="733" spans="1:24">
      <c r="A733" s="12" t="s">
        <v>2237</v>
      </c>
      <c r="B733" s="12" t="s">
        <v>2238</v>
      </c>
      <c r="C733" s="12" t="s">
        <v>50</v>
      </c>
      <c r="D733" s="12" t="s">
        <v>130</v>
      </c>
      <c r="E733" s="12" t="s">
        <v>65</v>
      </c>
      <c r="F733" s="13">
        <v>4367.83</v>
      </c>
      <c r="G733" s="13">
        <v>5.08</v>
      </c>
      <c r="H733" s="13">
        <v>4145.88</v>
      </c>
      <c r="I733" s="13">
        <v>3.5</v>
      </c>
      <c r="J733" s="13">
        <v>6</v>
      </c>
      <c r="K733" s="13">
        <v>146</v>
      </c>
      <c r="L733" s="12" t="s">
        <v>2239</v>
      </c>
      <c r="M733" s="12">
        <v>3.1</v>
      </c>
      <c r="N733" s="14">
        <v>45831</v>
      </c>
      <c r="O733" s="13">
        <v>3</v>
      </c>
      <c r="P733" s="12" t="s">
        <v>54</v>
      </c>
      <c r="Q733" s="12" t="s">
        <v>46</v>
      </c>
      <c r="R733" s="12" t="s">
        <v>47</v>
      </c>
      <c r="S733" s="12" t="b">
        <v>0</v>
      </c>
      <c r="T733" s="12" t="s">
        <v>78</v>
      </c>
      <c r="U733" s="15">
        <f t="shared" si="44"/>
        <v>221.88576399999999</v>
      </c>
      <c r="V733" s="15">
        <f t="shared" si="45"/>
        <v>1747.1320000000001</v>
      </c>
      <c r="W733" s="15">
        <f t="shared" si="46"/>
        <v>621.88199999999995</v>
      </c>
      <c r="X733" s="15">
        <f t="shared" si="47"/>
        <v>1776.866</v>
      </c>
    </row>
    <row r="734" spans="1:24">
      <c r="A734" s="12" t="s">
        <v>2240</v>
      </c>
      <c r="B734" s="12" t="s">
        <v>2241</v>
      </c>
      <c r="C734" s="12" t="s">
        <v>75</v>
      </c>
      <c r="D734" s="12" t="s">
        <v>135</v>
      </c>
      <c r="E734" s="12" t="s">
        <v>38</v>
      </c>
      <c r="F734" s="13">
        <v>2840.72</v>
      </c>
      <c r="G734" s="13">
        <v>30.1</v>
      </c>
      <c r="H734" s="13">
        <v>1985.65</v>
      </c>
      <c r="I734" s="13">
        <v>3.6</v>
      </c>
      <c r="J734" s="13">
        <v>5</v>
      </c>
      <c r="K734" s="13">
        <v>225</v>
      </c>
      <c r="L734" s="12" t="s">
        <v>2242</v>
      </c>
      <c r="M734" s="12">
        <v>3.9</v>
      </c>
      <c r="N734" s="14">
        <v>45948</v>
      </c>
      <c r="O734" s="13">
        <v>5</v>
      </c>
      <c r="P734" s="12" t="s">
        <v>30</v>
      </c>
      <c r="Q734" s="12" t="s">
        <v>55</v>
      </c>
      <c r="R734" s="12" t="s">
        <v>47</v>
      </c>
      <c r="S734" s="12" t="b">
        <v>0</v>
      </c>
      <c r="T734" s="12" t="s">
        <v>78</v>
      </c>
      <c r="U734" s="15">
        <f t="shared" si="44"/>
        <v>855.05672000000004</v>
      </c>
      <c r="V734" s="15">
        <f t="shared" si="45"/>
        <v>1136.288</v>
      </c>
      <c r="W734" s="15">
        <f t="shared" si="46"/>
        <v>297.84750000000003</v>
      </c>
      <c r="X734" s="15">
        <f t="shared" si="47"/>
        <v>551.5145</v>
      </c>
    </row>
    <row r="735" spans="1:24">
      <c r="A735" s="12" t="s">
        <v>2243</v>
      </c>
      <c r="B735" s="12" t="s">
        <v>2244</v>
      </c>
      <c r="C735" s="12" t="s">
        <v>36</v>
      </c>
      <c r="D735" s="12" t="s">
        <v>108</v>
      </c>
      <c r="E735" s="12" t="s">
        <v>38</v>
      </c>
      <c r="F735" s="13">
        <v>5970.15</v>
      </c>
      <c r="G735" s="13">
        <v>34.880000000000003</v>
      </c>
      <c r="H735" s="13">
        <v>3887.56</v>
      </c>
      <c r="I735" s="13">
        <v>3.6</v>
      </c>
      <c r="J735" s="13">
        <v>13</v>
      </c>
      <c r="K735" s="13">
        <v>190</v>
      </c>
      <c r="L735" s="12" t="s">
        <v>2245</v>
      </c>
      <c r="M735" s="12">
        <v>2.9</v>
      </c>
      <c r="N735" s="14">
        <v>45737</v>
      </c>
      <c r="O735" s="13">
        <v>1</v>
      </c>
      <c r="P735" s="12" t="s">
        <v>30</v>
      </c>
      <c r="Q735" s="12" t="s">
        <v>31</v>
      </c>
      <c r="R735" s="12" t="s">
        <v>47</v>
      </c>
      <c r="S735" s="12" t="b">
        <v>0</v>
      </c>
      <c r="T735" s="12" t="s">
        <v>62</v>
      </c>
      <c r="U735" s="15">
        <f t="shared" si="44"/>
        <v>2082.38832</v>
      </c>
      <c r="V735" s="15">
        <f t="shared" si="45"/>
        <v>2388.06</v>
      </c>
      <c r="W735" s="15">
        <f t="shared" si="46"/>
        <v>583.13400000000001</v>
      </c>
      <c r="X735" s="15">
        <f t="shared" si="47"/>
        <v>916.36599999999999</v>
      </c>
    </row>
    <row r="736" spans="1:24">
      <c r="A736" s="12" t="s">
        <v>2246</v>
      </c>
      <c r="B736" s="12" t="s">
        <v>2247</v>
      </c>
      <c r="C736" s="12" t="s">
        <v>59</v>
      </c>
      <c r="D736" s="12" t="s">
        <v>69</v>
      </c>
      <c r="E736" s="12" t="s">
        <v>38</v>
      </c>
      <c r="F736" s="13">
        <v>1300.92</v>
      </c>
      <c r="G736" s="13">
        <v>27.79</v>
      </c>
      <c r="H736" s="13">
        <v>939.33</v>
      </c>
      <c r="I736" s="13">
        <v>2.9</v>
      </c>
      <c r="J736" s="13">
        <v>37</v>
      </c>
      <c r="K736" s="13">
        <v>485</v>
      </c>
      <c r="L736" s="12" t="s">
        <v>2248</v>
      </c>
      <c r="M736" s="12">
        <v>4.8</v>
      </c>
      <c r="N736" s="14">
        <v>45515</v>
      </c>
      <c r="O736" s="13">
        <v>4</v>
      </c>
      <c r="P736" s="12" t="s">
        <v>117</v>
      </c>
      <c r="Q736" s="12" t="s">
        <v>55</v>
      </c>
      <c r="R736" s="12" t="s">
        <v>47</v>
      </c>
      <c r="S736" s="12" t="b">
        <v>0</v>
      </c>
      <c r="T736" s="12" t="s">
        <v>78</v>
      </c>
      <c r="U736" s="15">
        <f t="shared" si="44"/>
        <v>361.525668</v>
      </c>
      <c r="V736" s="15">
        <f t="shared" si="45"/>
        <v>520.36800000000005</v>
      </c>
      <c r="W736" s="15">
        <f t="shared" si="46"/>
        <v>140.89949999999999</v>
      </c>
      <c r="X736" s="15">
        <f t="shared" si="47"/>
        <v>278.0625</v>
      </c>
    </row>
    <row r="737" spans="1:24">
      <c r="A737" s="12" t="s">
        <v>2249</v>
      </c>
      <c r="B737" s="12" t="s">
        <v>2250</v>
      </c>
      <c r="C737" s="12" t="s">
        <v>36</v>
      </c>
      <c r="D737" s="12" t="s">
        <v>108</v>
      </c>
      <c r="E737" s="12" t="s">
        <v>112</v>
      </c>
      <c r="F737" s="13">
        <v>2939.78</v>
      </c>
      <c r="G737" s="13">
        <v>31.17</v>
      </c>
      <c r="H737" s="13">
        <v>2023.32</v>
      </c>
      <c r="I737" s="13">
        <v>4</v>
      </c>
      <c r="J737" s="13">
        <v>2</v>
      </c>
      <c r="K737" s="13">
        <v>496</v>
      </c>
      <c r="L737" s="12" t="s">
        <v>2251</v>
      </c>
      <c r="M737" s="12">
        <v>2.7</v>
      </c>
      <c r="N737" s="14">
        <v>45744</v>
      </c>
      <c r="O737" s="13">
        <v>5</v>
      </c>
      <c r="P737" s="12" t="s">
        <v>30</v>
      </c>
      <c r="Q737" s="12" t="s">
        <v>31</v>
      </c>
      <c r="R737" s="12" t="s">
        <v>86</v>
      </c>
      <c r="S737" s="12" t="b">
        <v>0</v>
      </c>
      <c r="T737" s="12" t="s">
        <v>56</v>
      </c>
      <c r="U737" s="15">
        <f t="shared" si="44"/>
        <v>916.32942600000001</v>
      </c>
      <c r="V737" s="15">
        <f t="shared" si="45"/>
        <v>1175.912</v>
      </c>
      <c r="W737" s="15">
        <f t="shared" si="46"/>
        <v>303.49799999999999</v>
      </c>
      <c r="X737" s="15">
        <f t="shared" si="47"/>
        <v>543.91</v>
      </c>
    </row>
    <row r="738" spans="1:24">
      <c r="A738" s="12" t="s">
        <v>2252</v>
      </c>
      <c r="B738" s="12" t="s">
        <v>2253</v>
      </c>
      <c r="C738" s="12" t="s">
        <v>26</v>
      </c>
      <c r="D738" s="12" t="s">
        <v>148</v>
      </c>
      <c r="E738" s="12" t="s">
        <v>38</v>
      </c>
      <c r="F738" s="13">
        <v>46101.61</v>
      </c>
      <c r="G738" s="13">
        <v>29.86</v>
      </c>
      <c r="H738" s="13">
        <v>32337.48</v>
      </c>
      <c r="I738" s="13">
        <v>3.4</v>
      </c>
      <c r="J738" s="13">
        <v>7</v>
      </c>
      <c r="K738" s="13">
        <v>59</v>
      </c>
      <c r="L738" s="12" t="s">
        <v>2254</v>
      </c>
      <c r="M738" s="12">
        <v>4.2</v>
      </c>
      <c r="N738" s="14">
        <v>46058</v>
      </c>
      <c r="O738" s="13">
        <v>4</v>
      </c>
      <c r="P738" s="12" t="s">
        <v>54</v>
      </c>
      <c r="Q738" s="12" t="s">
        <v>46</v>
      </c>
      <c r="R738" s="12" t="s">
        <v>86</v>
      </c>
      <c r="S738" s="12" t="b">
        <v>0</v>
      </c>
      <c r="T738" s="12" t="s">
        <v>62</v>
      </c>
      <c r="U738" s="15">
        <f t="shared" si="44"/>
        <v>13765.940746</v>
      </c>
      <c r="V738" s="15">
        <f t="shared" si="45"/>
        <v>18440.644</v>
      </c>
      <c r="W738" s="15">
        <f t="shared" si="46"/>
        <v>4850.6220000000003</v>
      </c>
      <c r="X738" s="15">
        <f t="shared" si="47"/>
        <v>9046.2139999999999</v>
      </c>
    </row>
    <row r="739" spans="1:24">
      <c r="A739" s="12" t="s">
        <v>2255</v>
      </c>
      <c r="B739" s="12" t="s">
        <v>2256</v>
      </c>
      <c r="C739" s="12" t="s">
        <v>75</v>
      </c>
      <c r="D739" s="12" t="s">
        <v>104</v>
      </c>
      <c r="E739" s="12" t="s">
        <v>112</v>
      </c>
      <c r="F739" s="13">
        <v>2258.39</v>
      </c>
      <c r="G739" s="13">
        <v>22.25</v>
      </c>
      <c r="H739" s="13">
        <v>1755.8</v>
      </c>
      <c r="I739" s="13">
        <v>3.6</v>
      </c>
      <c r="J739" s="13">
        <v>8</v>
      </c>
      <c r="K739" s="13">
        <v>311</v>
      </c>
      <c r="L739" s="12" t="s">
        <v>2257</v>
      </c>
      <c r="M739" s="12">
        <v>3</v>
      </c>
      <c r="N739" s="14">
        <v>45756</v>
      </c>
      <c r="O739" s="13">
        <v>4</v>
      </c>
      <c r="P739" s="12" t="s">
        <v>40</v>
      </c>
      <c r="Q739" s="12" t="s">
        <v>31</v>
      </c>
      <c r="R739" s="12" t="s">
        <v>47</v>
      </c>
      <c r="S739" s="12" t="b">
        <v>1</v>
      </c>
      <c r="T739" s="12" t="s">
        <v>33</v>
      </c>
      <c r="U739" s="15">
        <f t="shared" si="44"/>
        <v>502.49177500000002</v>
      </c>
      <c r="V739" s="15">
        <f t="shared" si="45"/>
        <v>903.35599999999999</v>
      </c>
      <c r="W739" s="15">
        <f t="shared" si="46"/>
        <v>263.37</v>
      </c>
      <c r="X739" s="15">
        <f t="shared" si="47"/>
        <v>589.07399999999996</v>
      </c>
    </row>
    <row r="740" spans="1:24">
      <c r="A740" s="12" t="s">
        <v>2258</v>
      </c>
      <c r="B740" s="12" t="s">
        <v>2259</v>
      </c>
      <c r="C740" s="12" t="s">
        <v>59</v>
      </c>
      <c r="D740" s="12" t="s">
        <v>69</v>
      </c>
      <c r="E740" s="12" t="s">
        <v>38</v>
      </c>
      <c r="F740" s="13">
        <v>16520.68</v>
      </c>
      <c r="G740" s="13">
        <v>21.43</v>
      </c>
      <c r="H740" s="13">
        <v>12980.43</v>
      </c>
      <c r="I740" s="13">
        <v>4.7</v>
      </c>
      <c r="J740" s="13">
        <v>48</v>
      </c>
      <c r="K740" s="13">
        <v>346</v>
      </c>
      <c r="L740" s="12" t="s">
        <v>2260</v>
      </c>
      <c r="M740" s="12">
        <v>3.7</v>
      </c>
      <c r="N740" s="14">
        <v>45639</v>
      </c>
      <c r="O740" s="13">
        <v>5</v>
      </c>
      <c r="P740" s="12" t="s">
        <v>40</v>
      </c>
      <c r="Q740" s="12" t="s">
        <v>31</v>
      </c>
      <c r="R740" s="12" t="s">
        <v>86</v>
      </c>
      <c r="S740" s="12" t="b">
        <v>0</v>
      </c>
      <c r="T740" s="12" t="s">
        <v>78</v>
      </c>
      <c r="U740" s="15">
        <f t="shared" si="44"/>
        <v>3540.3817239999998</v>
      </c>
      <c r="V740" s="15">
        <f t="shared" si="45"/>
        <v>6608.2719999999999</v>
      </c>
      <c r="W740" s="15">
        <f t="shared" si="46"/>
        <v>1947.0645</v>
      </c>
      <c r="X740" s="15">
        <f t="shared" si="47"/>
        <v>4425.0934999999999</v>
      </c>
    </row>
    <row r="741" spans="1:24">
      <c r="A741" s="12" t="s">
        <v>2261</v>
      </c>
      <c r="B741" s="12" t="s">
        <v>2262</v>
      </c>
      <c r="C741" s="12" t="s">
        <v>50</v>
      </c>
      <c r="D741" s="12" t="s">
        <v>51</v>
      </c>
      <c r="E741" s="12" t="s">
        <v>65</v>
      </c>
      <c r="F741" s="13">
        <v>985.02</v>
      </c>
      <c r="G741" s="13">
        <v>11.35</v>
      </c>
      <c r="H741" s="13">
        <v>873.22</v>
      </c>
      <c r="I741" s="13">
        <v>3.2</v>
      </c>
      <c r="J741" s="13">
        <v>29</v>
      </c>
      <c r="K741" s="13">
        <v>465</v>
      </c>
      <c r="L741" s="12" t="s">
        <v>2263</v>
      </c>
      <c r="M741" s="12">
        <v>4.3</v>
      </c>
      <c r="N741" s="14">
        <v>45831</v>
      </c>
      <c r="O741" s="13">
        <v>1</v>
      </c>
      <c r="P741" s="12" t="s">
        <v>45</v>
      </c>
      <c r="Q741" s="12" t="s">
        <v>55</v>
      </c>
      <c r="R741" s="12" t="s">
        <v>47</v>
      </c>
      <c r="S741" s="12" t="b">
        <v>1</v>
      </c>
      <c r="T741" s="12" t="s">
        <v>33</v>
      </c>
      <c r="U741" s="15">
        <f t="shared" si="44"/>
        <v>111.79977</v>
      </c>
      <c r="V741" s="15">
        <f t="shared" si="45"/>
        <v>394.00799999999998</v>
      </c>
      <c r="W741" s="15">
        <f t="shared" si="46"/>
        <v>130.983</v>
      </c>
      <c r="X741" s="15">
        <f t="shared" si="47"/>
        <v>348.22899999999998</v>
      </c>
    </row>
    <row r="742" spans="1:24">
      <c r="A742" s="12" t="s">
        <v>2264</v>
      </c>
      <c r="B742" s="12" t="s">
        <v>2265</v>
      </c>
      <c r="C742" s="12" t="s">
        <v>50</v>
      </c>
      <c r="D742" s="12" t="s">
        <v>51</v>
      </c>
      <c r="E742" s="12" t="s">
        <v>96</v>
      </c>
      <c r="F742" s="13">
        <v>4535.8500000000004</v>
      </c>
      <c r="G742" s="13">
        <v>45.39</v>
      </c>
      <c r="H742" s="13">
        <v>2477.08</v>
      </c>
      <c r="I742" s="13">
        <v>2.8</v>
      </c>
      <c r="J742" s="13">
        <v>3</v>
      </c>
      <c r="K742" s="13">
        <v>176</v>
      </c>
      <c r="L742" s="12" t="s">
        <v>2266</v>
      </c>
      <c r="M742" s="12">
        <v>3</v>
      </c>
      <c r="N742" s="14">
        <v>45650</v>
      </c>
      <c r="O742" s="13">
        <v>4</v>
      </c>
      <c r="P742" s="12" t="s">
        <v>30</v>
      </c>
      <c r="Q742" s="12" t="s">
        <v>55</v>
      </c>
      <c r="R742" s="12" t="s">
        <v>86</v>
      </c>
      <c r="S742" s="12" t="b">
        <v>1</v>
      </c>
      <c r="T742" s="12" t="s">
        <v>33</v>
      </c>
      <c r="U742" s="15">
        <f t="shared" si="44"/>
        <v>2058.8223149999999</v>
      </c>
      <c r="V742" s="15">
        <f t="shared" si="45"/>
        <v>1814.34</v>
      </c>
      <c r="W742" s="15">
        <f t="shared" si="46"/>
        <v>371.56200000000001</v>
      </c>
      <c r="X742" s="15">
        <f t="shared" si="47"/>
        <v>291.178</v>
      </c>
    </row>
    <row r="743" spans="1:24">
      <c r="A743" s="12" t="s">
        <v>2267</v>
      </c>
      <c r="B743" s="12" t="s">
        <v>2268</v>
      </c>
      <c r="C743" s="12" t="s">
        <v>36</v>
      </c>
      <c r="D743" s="12" t="s">
        <v>43</v>
      </c>
      <c r="E743" s="12" t="s">
        <v>70</v>
      </c>
      <c r="F743" s="13">
        <v>910.89</v>
      </c>
      <c r="G743" s="13">
        <v>42.28</v>
      </c>
      <c r="H743" s="13">
        <v>525.73</v>
      </c>
      <c r="I743" s="13">
        <v>3.5</v>
      </c>
      <c r="J743" s="13">
        <v>45</v>
      </c>
      <c r="K743" s="13">
        <v>411</v>
      </c>
      <c r="L743" s="12" t="s">
        <v>2269</v>
      </c>
      <c r="M743" s="12">
        <v>2.6</v>
      </c>
      <c r="N743" s="14">
        <v>45558</v>
      </c>
      <c r="O743" s="13">
        <v>6</v>
      </c>
      <c r="P743" s="12" t="s">
        <v>117</v>
      </c>
      <c r="Q743" s="12" t="s">
        <v>55</v>
      </c>
      <c r="R743" s="12" t="s">
        <v>47</v>
      </c>
      <c r="S743" s="12" t="b">
        <v>0</v>
      </c>
      <c r="T743" s="12" t="s">
        <v>62</v>
      </c>
      <c r="U743" s="15">
        <f t="shared" si="44"/>
        <v>385.12429200000003</v>
      </c>
      <c r="V743" s="15">
        <f t="shared" si="45"/>
        <v>364.35599999999999</v>
      </c>
      <c r="W743" s="15">
        <f t="shared" si="46"/>
        <v>78.859499999999997</v>
      </c>
      <c r="X743" s="15">
        <f t="shared" si="47"/>
        <v>82.514499999999998</v>
      </c>
    </row>
    <row r="744" spans="1:24">
      <c r="A744" s="12" t="s">
        <v>2270</v>
      </c>
      <c r="B744" s="12" t="s">
        <v>2271</v>
      </c>
      <c r="C744" s="12" t="s">
        <v>50</v>
      </c>
      <c r="D744" s="12" t="s">
        <v>213</v>
      </c>
      <c r="E744" s="12" t="s">
        <v>96</v>
      </c>
      <c r="F744" s="13">
        <v>2208.56</v>
      </c>
      <c r="G744" s="13">
        <v>26.45</v>
      </c>
      <c r="H744" s="13">
        <v>1624.31</v>
      </c>
      <c r="I744" s="13">
        <v>3</v>
      </c>
      <c r="J744" s="13">
        <v>96</v>
      </c>
      <c r="K744" s="13">
        <v>306</v>
      </c>
      <c r="L744" s="12" t="s">
        <v>2272</v>
      </c>
      <c r="M744" s="12">
        <v>4.4000000000000004</v>
      </c>
      <c r="N744" s="14">
        <v>45517</v>
      </c>
      <c r="O744" s="13">
        <v>2</v>
      </c>
      <c r="P744" s="12" t="s">
        <v>54</v>
      </c>
      <c r="Q744" s="12" t="s">
        <v>46</v>
      </c>
      <c r="R744" s="12" t="s">
        <v>47</v>
      </c>
      <c r="S744" s="12" t="b">
        <v>0</v>
      </c>
      <c r="T744" s="12" t="s">
        <v>56</v>
      </c>
      <c r="U744" s="15">
        <f t="shared" si="44"/>
        <v>584.16412000000003</v>
      </c>
      <c r="V744" s="15">
        <f t="shared" si="45"/>
        <v>883.42399999999998</v>
      </c>
      <c r="W744" s="15">
        <f t="shared" si="46"/>
        <v>243.6465</v>
      </c>
      <c r="X744" s="15">
        <f t="shared" si="47"/>
        <v>497.23950000000002</v>
      </c>
    </row>
    <row r="745" spans="1:24">
      <c r="A745" s="12" t="s">
        <v>2273</v>
      </c>
      <c r="B745" s="12" t="s">
        <v>2274</v>
      </c>
      <c r="C745" s="12" t="s">
        <v>50</v>
      </c>
      <c r="D745" s="12" t="s">
        <v>213</v>
      </c>
      <c r="E745" s="12" t="s">
        <v>112</v>
      </c>
      <c r="F745" s="13">
        <v>3541.86</v>
      </c>
      <c r="G745" s="13">
        <v>24.86</v>
      </c>
      <c r="H745" s="13">
        <v>2661.52</v>
      </c>
      <c r="I745" s="13">
        <v>3.8</v>
      </c>
      <c r="J745" s="13">
        <v>61</v>
      </c>
      <c r="K745" s="13">
        <v>45</v>
      </c>
      <c r="L745" s="12" t="s">
        <v>2275</v>
      </c>
      <c r="M745" s="12">
        <v>3.6</v>
      </c>
      <c r="N745" s="14">
        <v>45778</v>
      </c>
      <c r="O745" s="13">
        <v>5</v>
      </c>
      <c r="P745" s="12" t="s">
        <v>40</v>
      </c>
      <c r="Q745" s="12" t="s">
        <v>55</v>
      </c>
      <c r="R745" s="12" t="s">
        <v>72</v>
      </c>
      <c r="S745" s="12" t="b">
        <v>0</v>
      </c>
      <c r="T745" s="12" t="s">
        <v>56</v>
      </c>
      <c r="U745" s="15">
        <f t="shared" si="44"/>
        <v>880.506396</v>
      </c>
      <c r="V745" s="15">
        <f t="shared" si="45"/>
        <v>1416.7439999999999</v>
      </c>
      <c r="W745" s="15">
        <f t="shared" si="46"/>
        <v>399.22800000000001</v>
      </c>
      <c r="X745" s="15">
        <f t="shared" si="47"/>
        <v>845.548</v>
      </c>
    </row>
    <row r="746" spans="1:24">
      <c r="A746" s="12" t="s">
        <v>2276</v>
      </c>
      <c r="B746" s="12" t="s">
        <v>2277</v>
      </c>
      <c r="C746" s="12" t="s">
        <v>75</v>
      </c>
      <c r="D746" s="12" t="s">
        <v>76</v>
      </c>
      <c r="E746" s="12" t="s">
        <v>235</v>
      </c>
      <c r="F746" s="13">
        <v>3048.33</v>
      </c>
      <c r="G746" s="13">
        <v>30.12</v>
      </c>
      <c r="H746" s="13">
        <v>2130.16</v>
      </c>
      <c r="I746" s="13">
        <v>4.5</v>
      </c>
      <c r="J746" s="13">
        <v>132</v>
      </c>
      <c r="K746" s="13">
        <v>102</v>
      </c>
      <c r="L746" s="12" t="s">
        <v>2278</v>
      </c>
      <c r="M746" s="12">
        <v>2.6</v>
      </c>
      <c r="N746" s="14">
        <v>45979</v>
      </c>
      <c r="O746" s="13">
        <v>4</v>
      </c>
      <c r="P746" s="12" t="s">
        <v>45</v>
      </c>
      <c r="Q746" s="12" t="s">
        <v>55</v>
      </c>
      <c r="R746" s="12" t="s">
        <v>72</v>
      </c>
      <c r="S746" s="12" t="b">
        <v>0</v>
      </c>
      <c r="T746" s="12" t="s">
        <v>62</v>
      </c>
      <c r="U746" s="15">
        <f t="shared" si="44"/>
        <v>918.15699600000005</v>
      </c>
      <c r="V746" s="15">
        <f t="shared" si="45"/>
        <v>1219.3320000000001</v>
      </c>
      <c r="W746" s="15">
        <f t="shared" si="46"/>
        <v>319.524</v>
      </c>
      <c r="X746" s="15">
        <f t="shared" si="47"/>
        <v>591.30399999999997</v>
      </c>
    </row>
    <row r="747" spans="1:24">
      <c r="A747" s="12" t="s">
        <v>2279</v>
      </c>
      <c r="B747" s="12" t="s">
        <v>2280</v>
      </c>
      <c r="C747" s="12" t="s">
        <v>50</v>
      </c>
      <c r="D747" s="12" t="s">
        <v>130</v>
      </c>
      <c r="E747" s="12" t="s">
        <v>52</v>
      </c>
      <c r="F747" s="13">
        <v>3709.86</v>
      </c>
      <c r="G747" s="13">
        <v>9.41</v>
      </c>
      <c r="H747" s="13">
        <v>3360.67</v>
      </c>
      <c r="I747" s="13">
        <v>4.0999999999999996</v>
      </c>
      <c r="J747" s="13">
        <v>18</v>
      </c>
      <c r="K747" s="13">
        <v>286</v>
      </c>
      <c r="L747" s="12" t="s">
        <v>2281</v>
      </c>
      <c r="M747" s="12">
        <v>3.9</v>
      </c>
      <c r="N747" s="14">
        <v>45663</v>
      </c>
      <c r="O747" s="13">
        <v>4</v>
      </c>
      <c r="P747" s="12" t="s">
        <v>45</v>
      </c>
      <c r="Q747" s="12" t="s">
        <v>46</v>
      </c>
      <c r="R747" s="12" t="s">
        <v>32</v>
      </c>
      <c r="S747" s="12" t="b">
        <v>0</v>
      </c>
      <c r="T747" s="12" t="s">
        <v>78</v>
      </c>
      <c r="U747" s="15">
        <f t="shared" si="44"/>
        <v>349.097826</v>
      </c>
      <c r="V747" s="15">
        <f t="shared" si="45"/>
        <v>1483.944</v>
      </c>
      <c r="W747" s="15">
        <f t="shared" si="46"/>
        <v>504.10050000000001</v>
      </c>
      <c r="X747" s="15">
        <f t="shared" si="47"/>
        <v>1372.6255000000001</v>
      </c>
    </row>
    <row r="748" spans="1:24">
      <c r="A748" s="12" t="s">
        <v>2282</v>
      </c>
      <c r="B748" s="12" t="s">
        <v>2283</v>
      </c>
      <c r="C748" s="12" t="s">
        <v>75</v>
      </c>
      <c r="D748" s="12" t="s">
        <v>104</v>
      </c>
      <c r="E748" s="12" t="s">
        <v>52</v>
      </c>
      <c r="F748" s="13">
        <v>1927.65</v>
      </c>
      <c r="G748" s="13">
        <v>19.510000000000002</v>
      </c>
      <c r="H748" s="13">
        <v>1551.52</v>
      </c>
      <c r="I748" s="13">
        <v>3.7</v>
      </c>
      <c r="J748" s="13">
        <v>25</v>
      </c>
      <c r="K748" s="13">
        <v>340</v>
      </c>
      <c r="L748" s="12" t="s">
        <v>2284</v>
      </c>
      <c r="M748" s="12">
        <v>4.0999999999999996</v>
      </c>
      <c r="N748" s="14">
        <v>45644</v>
      </c>
      <c r="O748" s="13">
        <v>4</v>
      </c>
      <c r="P748" s="12" t="s">
        <v>117</v>
      </c>
      <c r="Q748" s="12" t="s">
        <v>55</v>
      </c>
      <c r="R748" s="12" t="s">
        <v>47</v>
      </c>
      <c r="S748" s="12" t="b">
        <v>1</v>
      </c>
      <c r="T748" s="12" t="s">
        <v>33</v>
      </c>
      <c r="U748" s="15">
        <f t="shared" si="44"/>
        <v>376.08451500000001</v>
      </c>
      <c r="V748" s="15">
        <f t="shared" si="45"/>
        <v>771.06</v>
      </c>
      <c r="W748" s="15">
        <f t="shared" si="46"/>
        <v>232.72800000000001</v>
      </c>
      <c r="X748" s="15">
        <f t="shared" si="47"/>
        <v>547.73199999999997</v>
      </c>
    </row>
    <row r="749" spans="1:24">
      <c r="A749" s="12" t="s">
        <v>2285</v>
      </c>
      <c r="B749" s="12" t="s">
        <v>2286</v>
      </c>
      <c r="C749" s="12" t="s">
        <v>50</v>
      </c>
      <c r="D749" s="12" t="s">
        <v>213</v>
      </c>
      <c r="E749" s="12" t="s">
        <v>100</v>
      </c>
      <c r="F749" s="13">
        <v>4342.26</v>
      </c>
      <c r="G749" s="13">
        <v>7.83</v>
      </c>
      <c r="H749" s="13">
        <v>4002.32</v>
      </c>
      <c r="I749" s="13">
        <v>4.8</v>
      </c>
      <c r="J749" s="13">
        <v>15</v>
      </c>
      <c r="K749" s="13">
        <v>391</v>
      </c>
      <c r="L749" s="12" t="s">
        <v>2287</v>
      </c>
      <c r="M749" s="12">
        <v>4</v>
      </c>
      <c r="N749" s="14">
        <v>46076</v>
      </c>
      <c r="O749" s="13">
        <v>1</v>
      </c>
      <c r="P749" s="12" t="s">
        <v>54</v>
      </c>
      <c r="Q749" s="12" t="s">
        <v>55</v>
      </c>
      <c r="R749" s="12" t="s">
        <v>32</v>
      </c>
      <c r="S749" s="12" t="b">
        <v>0</v>
      </c>
      <c r="T749" s="12" t="s">
        <v>62</v>
      </c>
      <c r="U749" s="15">
        <f t="shared" si="44"/>
        <v>339.99895800000002</v>
      </c>
      <c r="V749" s="15">
        <f t="shared" si="45"/>
        <v>1736.904</v>
      </c>
      <c r="W749" s="15">
        <f t="shared" si="46"/>
        <v>600.34799999999996</v>
      </c>
      <c r="X749" s="15">
        <f t="shared" si="47"/>
        <v>1665.068</v>
      </c>
    </row>
    <row r="750" spans="1:24">
      <c r="A750" s="12" t="s">
        <v>2288</v>
      </c>
      <c r="B750" s="12" t="s">
        <v>2289</v>
      </c>
      <c r="C750" s="12" t="s">
        <v>59</v>
      </c>
      <c r="D750" s="12" t="s">
        <v>60</v>
      </c>
      <c r="E750" s="12" t="s">
        <v>235</v>
      </c>
      <c r="F750" s="13">
        <v>5309.9</v>
      </c>
      <c r="G750" s="13">
        <v>28.17</v>
      </c>
      <c r="H750" s="13">
        <v>3814.01</v>
      </c>
      <c r="I750" s="13">
        <v>4.0999999999999996</v>
      </c>
      <c r="J750" s="13">
        <v>7</v>
      </c>
      <c r="K750" s="13">
        <v>321</v>
      </c>
      <c r="L750" s="12" t="s">
        <v>2290</v>
      </c>
      <c r="M750" s="12">
        <v>3.9</v>
      </c>
      <c r="N750" s="14">
        <v>45559</v>
      </c>
      <c r="O750" s="13">
        <v>4</v>
      </c>
      <c r="P750" s="12" t="s">
        <v>45</v>
      </c>
      <c r="Q750" s="12" t="s">
        <v>31</v>
      </c>
      <c r="R750" s="12" t="s">
        <v>32</v>
      </c>
      <c r="S750" s="12" t="b">
        <v>0</v>
      </c>
      <c r="T750" s="12" t="s">
        <v>56</v>
      </c>
      <c r="U750" s="15">
        <f t="shared" si="44"/>
        <v>1495.79883</v>
      </c>
      <c r="V750" s="15">
        <f t="shared" si="45"/>
        <v>2123.96</v>
      </c>
      <c r="W750" s="15">
        <f t="shared" si="46"/>
        <v>572.10149999999999</v>
      </c>
      <c r="X750" s="15">
        <f t="shared" si="47"/>
        <v>1117.9485</v>
      </c>
    </row>
    <row r="751" spans="1:24">
      <c r="A751" s="12" t="s">
        <v>2291</v>
      </c>
      <c r="B751" s="12" t="s">
        <v>2292</v>
      </c>
      <c r="C751" s="12" t="s">
        <v>36</v>
      </c>
      <c r="D751" s="12" t="s">
        <v>108</v>
      </c>
      <c r="E751" s="12" t="s">
        <v>65</v>
      </c>
      <c r="F751" s="13">
        <v>14365.57</v>
      </c>
      <c r="G751" s="13">
        <v>39.5</v>
      </c>
      <c r="H751" s="13">
        <v>8690.92</v>
      </c>
      <c r="I751" s="13">
        <v>3</v>
      </c>
      <c r="J751" s="13">
        <v>55</v>
      </c>
      <c r="K751" s="13">
        <v>83</v>
      </c>
      <c r="L751" s="12" t="s">
        <v>2293</v>
      </c>
      <c r="M751" s="12">
        <v>4.9000000000000004</v>
      </c>
      <c r="N751" s="14">
        <v>45487</v>
      </c>
      <c r="O751" s="13">
        <v>4</v>
      </c>
      <c r="P751" s="12" t="s">
        <v>40</v>
      </c>
      <c r="Q751" s="12" t="s">
        <v>46</v>
      </c>
      <c r="R751" s="12" t="s">
        <v>72</v>
      </c>
      <c r="S751" s="12" t="b">
        <v>0</v>
      </c>
      <c r="T751" s="12" t="s">
        <v>56</v>
      </c>
      <c r="U751" s="15">
        <f t="shared" si="44"/>
        <v>5674.4001500000004</v>
      </c>
      <c r="V751" s="15">
        <f t="shared" si="45"/>
        <v>5746.2280000000001</v>
      </c>
      <c r="W751" s="15">
        <f t="shared" si="46"/>
        <v>1303.6379999999999</v>
      </c>
      <c r="X751" s="15">
        <f t="shared" si="47"/>
        <v>1641.0540000000001</v>
      </c>
    </row>
    <row r="752" spans="1:24">
      <c r="A752" s="12" t="s">
        <v>2294</v>
      </c>
      <c r="B752" s="12" t="s">
        <v>2295</v>
      </c>
      <c r="C752" s="12" t="s">
        <v>75</v>
      </c>
      <c r="D752" s="12" t="s">
        <v>104</v>
      </c>
      <c r="E752" s="12" t="s">
        <v>92</v>
      </c>
      <c r="F752" s="13">
        <v>4691.91</v>
      </c>
      <c r="G752" s="13">
        <v>22.56</v>
      </c>
      <c r="H752" s="13">
        <v>3633.54</v>
      </c>
      <c r="I752" s="13">
        <v>2.7</v>
      </c>
      <c r="J752" s="13">
        <v>24</v>
      </c>
      <c r="K752" s="13">
        <v>214</v>
      </c>
      <c r="L752" s="12" t="s">
        <v>2296</v>
      </c>
      <c r="M752" s="12">
        <v>5</v>
      </c>
      <c r="N752" s="14">
        <v>45933</v>
      </c>
      <c r="O752" s="13">
        <v>1</v>
      </c>
      <c r="P752" s="12" t="s">
        <v>40</v>
      </c>
      <c r="Q752" s="12" t="s">
        <v>46</v>
      </c>
      <c r="R752" s="12" t="s">
        <v>72</v>
      </c>
      <c r="S752" s="12" t="b">
        <v>0</v>
      </c>
      <c r="T752" s="12" t="s">
        <v>56</v>
      </c>
      <c r="U752" s="15">
        <f t="shared" si="44"/>
        <v>1058.4948959999999</v>
      </c>
      <c r="V752" s="15">
        <f t="shared" si="45"/>
        <v>1876.7639999999999</v>
      </c>
      <c r="W752" s="15">
        <f t="shared" si="46"/>
        <v>545.03099999999995</v>
      </c>
      <c r="X752" s="15">
        <f t="shared" si="47"/>
        <v>1211.7449999999999</v>
      </c>
    </row>
    <row r="753" spans="1:24">
      <c r="A753" s="12" t="s">
        <v>2297</v>
      </c>
      <c r="B753" s="12" t="s">
        <v>2298</v>
      </c>
      <c r="C753" s="12" t="s">
        <v>36</v>
      </c>
      <c r="D753" s="12" t="s">
        <v>108</v>
      </c>
      <c r="E753" s="12" t="s">
        <v>84</v>
      </c>
      <c r="F753" s="13">
        <v>5113.72</v>
      </c>
      <c r="G753" s="13">
        <v>12.47</v>
      </c>
      <c r="H753" s="13">
        <v>4476.07</v>
      </c>
      <c r="I753" s="13">
        <v>3.5</v>
      </c>
      <c r="J753" s="13">
        <v>80</v>
      </c>
      <c r="K753" s="13">
        <v>93</v>
      </c>
      <c r="L753" s="12" t="s">
        <v>2299</v>
      </c>
      <c r="M753" s="12">
        <v>3.1</v>
      </c>
      <c r="N753" s="14">
        <v>45809</v>
      </c>
      <c r="O753" s="13">
        <v>4</v>
      </c>
      <c r="P753" s="12" t="s">
        <v>45</v>
      </c>
      <c r="Q753" s="12" t="s">
        <v>31</v>
      </c>
      <c r="R753" s="12" t="s">
        <v>47</v>
      </c>
      <c r="S753" s="12" t="b">
        <v>0</v>
      </c>
      <c r="T753" s="12" t="s">
        <v>62</v>
      </c>
      <c r="U753" s="15">
        <f t="shared" si="44"/>
        <v>637.68088399999999</v>
      </c>
      <c r="V753" s="15">
        <f t="shared" si="45"/>
        <v>2045.4880000000001</v>
      </c>
      <c r="W753" s="15">
        <f t="shared" si="46"/>
        <v>671.41049999999996</v>
      </c>
      <c r="X753" s="15">
        <f t="shared" si="47"/>
        <v>1759.1714999999999</v>
      </c>
    </row>
    <row r="754" spans="1:24">
      <c r="A754" s="12" t="s">
        <v>2300</v>
      </c>
      <c r="B754" s="12" t="s">
        <v>2301</v>
      </c>
      <c r="C754" s="12" t="s">
        <v>59</v>
      </c>
      <c r="D754" s="12" t="s">
        <v>170</v>
      </c>
      <c r="E754" s="12" t="s">
        <v>100</v>
      </c>
      <c r="F754" s="13">
        <v>6876.09</v>
      </c>
      <c r="G754" s="13">
        <v>18.89</v>
      </c>
      <c r="H754" s="13">
        <v>5577.3</v>
      </c>
      <c r="I754" s="13">
        <v>3.7</v>
      </c>
      <c r="J754" s="13">
        <v>14</v>
      </c>
      <c r="K754" s="13">
        <v>357</v>
      </c>
      <c r="L754" s="12" t="s">
        <v>2302</v>
      </c>
      <c r="M754" s="12">
        <v>3.2</v>
      </c>
      <c r="N754" s="14">
        <v>45995</v>
      </c>
      <c r="O754" s="13">
        <v>3</v>
      </c>
      <c r="P754" s="12" t="s">
        <v>30</v>
      </c>
      <c r="Q754" s="12" t="s">
        <v>46</v>
      </c>
      <c r="R754" s="12" t="s">
        <v>72</v>
      </c>
      <c r="S754" s="12" t="b">
        <v>1</v>
      </c>
      <c r="T754" s="12" t="s">
        <v>33</v>
      </c>
      <c r="U754" s="15">
        <f t="shared" si="44"/>
        <v>1298.893401</v>
      </c>
      <c r="V754" s="15">
        <f t="shared" si="45"/>
        <v>2750.4360000000001</v>
      </c>
      <c r="W754" s="15">
        <f t="shared" si="46"/>
        <v>836.59500000000003</v>
      </c>
      <c r="X754" s="15">
        <f t="shared" si="47"/>
        <v>1990.269</v>
      </c>
    </row>
    <row r="755" spans="1:24">
      <c r="A755" s="12" t="s">
        <v>2303</v>
      </c>
      <c r="B755" s="12" t="s">
        <v>2304</v>
      </c>
      <c r="C755" s="12" t="s">
        <v>75</v>
      </c>
      <c r="D755" s="12" t="s">
        <v>135</v>
      </c>
      <c r="E755" s="12" t="s">
        <v>92</v>
      </c>
      <c r="F755" s="13">
        <v>2389.7199999999998</v>
      </c>
      <c r="G755" s="13">
        <v>50.16</v>
      </c>
      <c r="H755" s="13">
        <v>1191.1500000000001</v>
      </c>
      <c r="I755" s="13">
        <v>3.9</v>
      </c>
      <c r="J755" s="13">
        <v>16</v>
      </c>
      <c r="K755" s="13">
        <v>398</v>
      </c>
      <c r="L755" s="12" t="s">
        <v>2305</v>
      </c>
      <c r="M755" s="12">
        <v>3.5</v>
      </c>
      <c r="N755" s="14">
        <v>45678</v>
      </c>
      <c r="O755" s="13">
        <v>5</v>
      </c>
      <c r="P755" s="12" t="s">
        <v>45</v>
      </c>
      <c r="Q755" s="12" t="s">
        <v>55</v>
      </c>
      <c r="R755" s="12" t="s">
        <v>72</v>
      </c>
      <c r="S755" s="12" t="b">
        <v>0</v>
      </c>
      <c r="T755" s="12" t="s">
        <v>78</v>
      </c>
      <c r="U755" s="15">
        <f t="shared" si="44"/>
        <v>1198.683552</v>
      </c>
      <c r="V755" s="15">
        <f t="shared" si="45"/>
        <v>955.88800000000003</v>
      </c>
      <c r="W755" s="15">
        <f t="shared" si="46"/>
        <v>178.67250000000001</v>
      </c>
      <c r="X755" s="15">
        <f t="shared" si="47"/>
        <v>56.5895000000002</v>
      </c>
    </row>
    <row r="756" spans="1:24">
      <c r="A756" s="12" t="s">
        <v>2306</v>
      </c>
      <c r="B756" s="12" t="s">
        <v>2307</v>
      </c>
      <c r="C756" s="12" t="s">
        <v>26</v>
      </c>
      <c r="D756" s="12" t="s">
        <v>123</v>
      </c>
      <c r="E756" s="12" t="s">
        <v>92</v>
      </c>
      <c r="F756" s="13">
        <v>18474.45</v>
      </c>
      <c r="G756" s="13">
        <v>32.5</v>
      </c>
      <c r="H756" s="13">
        <v>12470.56</v>
      </c>
      <c r="I756" s="13">
        <v>3.6</v>
      </c>
      <c r="J756" s="13">
        <v>28</v>
      </c>
      <c r="K756" s="13">
        <v>407</v>
      </c>
      <c r="L756" s="12" t="s">
        <v>2308</v>
      </c>
      <c r="M756" s="12">
        <v>4.9000000000000004</v>
      </c>
      <c r="N756" s="14">
        <v>45994</v>
      </c>
      <c r="O756" s="13">
        <v>3</v>
      </c>
      <c r="P756" s="12" t="s">
        <v>45</v>
      </c>
      <c r="Q756" s="12" t="s">
        <v>31</v>
      </c>
      <c r="R756" s="12" t="s">
        <v>32</v>
      </c>
      <c r="S756" s="12" t="b">
        <v>0</v>
      </c>
      <c r="T756" s="12" t="s">
        <v>56</v>
      </c>
      <c r="U756" s="15">
        <f t="shared" si="44"/>
        <v>6004.19625</v>
      </c>
      <c r="V756" s="15">
        <f t="shared" si="45"/>
        <v>7389.78</v>
      </c>
      <c r="W756" s="15">
        <f t="shared" si="46"/>
        <v>1870.5840000000001</v>
      </c>
      <c r="X756" s="15">
        <f t="shared" si="47"/>
        <v>3210.1959999999999</v>
      </c>
    </row>
    <row r="757" spans="1:24">
      <c r="A757" s="12" t="s">
        <v>2309</v>
      </c>
      <c r="B757" s="12" t="s">
        <v>2310</v>
      </c>
      <c r="C757" s="12" t="s">
        <v>50</v>
      </c>
      <c r="D757" s="12" t="s">
        <v>130</v>
      </c>
      <c r="E757" s="12" t="s">
        <v>84</v>
      </c>
      <c r="F757" s="13">
        <v>4792.71</v>
      </c>
      <c r="G757" s="13">
        <v>48.3</v>
      </c>
      <c r="H757" s="13">
        <v>2477.91</v>
      </c>
      <c r="I757" s="13">
        <v>3.7</v>
      </c>
      <c r="J757" s="13">
        <v>32</v>
      </c>
      <c r="K757" s="13">
        <v>178</v>
      </c>
      <c r="L757" s="12" t="s">
        <v>2311</v>
      </c>
      <c r="M757" s="12">
        <v>3.1</v>
      </c>
      <c r="N757" s="14">
        <v>46001</v>
      </c>
      <c r="O757" s="13">
        <v>5</v>
      </c>
      <c r="P757" s="12" t="s">
        <v>54</v>
      </c>
      <c r="Q757" s="12" t="s">
        <v>31</v>
      </c>
      <c r="R757" s="12" t="s">
        <v>72</v>
      </c>
      <c r="S757" s="12" t="b">
        <v>0</v>
      </c>
      <c r="T757" s="12" t="s">
        <v>78</v>
      </c>
      <c r="U757" s="15">
        <f t="shared" si="44"/>
        <v>2314.8789299999999</v>
      </c>
      <c r="V757" s="15">
        <f t="shared" si="45"/>
        <v>1917.0840000000001</v>
      </c>
      <c r="W757" s="15">
        <f t="shared" si="46"/>
        <v>371.68650000000002</v>
      </c>
      <c r="X757" s="15">
        <f t="shared" si="47"/>
        <v>189.1395</v>
      </c>
    </row>
    <row r="758" spans="1:24">
      <c r="A758" s="12" t="s">
        <v>2312</v>
      </c>
      <c r="B758" s="12" t="s">
        <v>2313</v>
      </c>
      <c r="C758" s="12" t="s">
        <v>50</v>
      </c>
      <c r="D758" s="12" t="s">
        <v>213</v>
      </c>
      <c r="E758" s="12" t="s">
        <v>131</v>
      </c>
      <c r="F758" s="13">
        <v>273.27</v>
      </c>
      <c r="G758" s="13">
        <v>17.690000000000001</v>
      </c>
      <c r="H758" s="13">
        <v>224.94</v>
      </c>
      <c r="I758" s="13">
        <v>3.2</v>
      </c>
      <c r="J758" s="13">
        <v>16</v>
      </c>
      <c r="K758" s="13">
        <v>14</v>
      </c>
      <c r="L758" s="12" t="s">
        <v>2314</v>
      </c>
      <c r="M758" s="12">
        <v>2.7</v>
      </c>
      <c r="N758" s="14">
        <v>45603</v>
      </c>
      <c r="O758" s="13">
        <v>3</v>
      </c>
      <c r="P758" s="12" t="s">
        <v>30</v>
      </c>
      <c r="Q758" s="12" t="s">
        <v>46</v>
      </c>
      <c r="R758" s="12" t="s">
        <v>47</v>
      </c>
      <c r="S758" s="12" t="b">
        <v>0</v>
      </c>
      <c r="T758" s="12" t="s">
        <v>62</v>
      </c>
      <c r="U758" s="15">
        <f t="shared" si="44"/>
        <v>48.341462999999997</v>
      </c>
      <c r="V758" s="15">
        <f t="shared" si="45"/>
        <v>109.30800000000001</v>
      </c>
      <c r="W758" s="15">
        <f t="shared" si="46"/>
        <v>33.741</v>
      </c>
      <c r="X758" s="15">
        <f t="shared" si="47"/>
        <v>81.891000000000005</v>
      </c>
    </row>
    <row r="759" spans="1:24">
      <c r="A759" s="12" t="s">
        <v>2315</v>
      </c>
      <c r="B759" s="12" t="s">
        <v>2316</v>
      </c>
      <c r="C759" s="12" t="s">
        <v>75</v>
      </c>
      <c r="D759" s="12" t="s">
        <v>76</v>
      </c>
      <c r="E759" s="12" t="s">
        <v>70</v>
      </c>
      <c r="F759" s="13">
        <v>3441.45</v>
      </c>
      <c r="G759" s="13">
        <v>65.67</v>
      </c>
      <c r="H759" s="13">
        <v>1181.54</v>
      </c>
      <c r="I759" s="13">
        <v>3.9</v>
      </c>
      <c r="J759" s="13">
        <v>27</v>
      </c>
      <c r="K759" s="13">
        <v>66</v>
      </c>
      <c r="L759" s="12" t="s">
        <v>2317</v>
      </c>
      <c r="M759" s="12">
        <v>4.4000000000000004</v>
      </c>
      <c r="N759" s="14">
        <v>46011</v>
      </c>
      <c r="O759" s="13">
        <v>4</v>
      </c>
      <c r="P759" s="12" t="s">
        <v>30</v>
      </c>
      <c r="Q759" s="12" t="s">
        <v>55</v>
      </c>
      <c r="R759" s="12" t="s">
        <v>32</v>
      </c>
      <c r="S759" s="12" t="b">
        <v>0</v>
      </c>
      <c r="T759" s="12" t="s">
        <v>78</v>
      </c>
      <c r="U759" s="15">
        <f t="shared" si="44"/>
        <v>2260.000215</v>
      </c>
      <c r="V759" s="15">
        <f t="shared" si="45"/>
        <v>1376.58</v>
      </c>
      <c r="W759" s="15">
        <f t="shared" si="46"/>
        <v>177.23099999999999</v>
      </c>
      <c r="X759" s="15">
        <f t="shared" si="47"/>
        <v>-372.27100000000002</v>
      </c>
    </row>
    <row r="760" spans="1:24">
      <c r="A760" s="12" t="s">
        <v>2318</v>
      </c>
      <c r="B760" s="12" t="s">
        <v>2319</v>
      </c>
      <c r="C760" s="12" t="s">
        <v>26</v>
      </c>
      <c r="D760" s="12" t="s">
        <v>148</v>
      </c>
      <c r="E760" s="12" t="s">
        <v>96</v>
      </c>
      <c r="F760" s="13">
        <v>6352.84</v>
      </c>
      <c r="G760" s="13">
        <v>37.94</v>
      </c>
      <c r="H760" s="13">
        <v>3942.59</v>
      </c>
      <c r="I760" s="13">
        <v>3.7</v>
      </c>
      <c r="J760" s="13">
        <v>40</v>
      </c>
      <c r="K760" s="13">
        <v>16</v>
      </c>
      <c r="L760" s="12" t="s">
        <v>2320</v>
      </c>
      <c r="M760" s="12">
        <v>3.9</v>
      </c>
      <c r="N760" s="14">
        <v>45851</v>
      </c>
      <c r="O760" s="13">
        <v>1</v>
      </c>
      <c r="P760" s="12" t="s">
        <v>40</v>
      </c>
      <c r="Q760" s="12" t="s">
        <v>31</v>
      </c>
      <c r="R760" s="12" t="s">
        <v>32</v>
      </c>
      <c r="S760" s="12" t="b">
        <v>0</v>
      </c>
      <c r="T760" s="12" t="s">
        <v>56</v>
      </c>
      <c r="U760" s="15">
        <f t="shared" si="44"/>
        <v>2410.2674959999999</v>
      </c>
      <c r="V760" s="15">
        <f t="shared" si="45"/>
        <v>2541.136</v>
      </c>
      <c r="W760" s="15">
        <f t="shared" si="46"/>
        <v>591.38850000000002</v>
      </c>
      <c r="X760" s="15">
        <f t="shared" si="47"/>
        <v>810.06550000000004</v>
      </c>
    </row>
    <row r="761" spans="1:24">
      <c r="A761" s="12" t="s">
        <v>2321</v>
      </c>
      <c r="B761" s="12" t="s">
        <v>2322</v>
      </c>
      <c r="C761" s="12" t="s">
        <v>26</v>
      </c>
      <c r="D761" s="12" t="s">
        <v>313</v>
      </c>
      <c r="E761" s="12" t="s">
        <v>38</v>
      </c>
      <c r="F761" s="13">
        <v>17760.71</v>
      </c>
      <c r="G761" s="13">
        <v>39.03</v>
      </c>
      <c r="H761" s="13">
        <v>10829.05</v>
      </c>
      <c r="I761" s="13">
        <v>4.2</v>
      </c>
      <c r="J761" s="13">
        <v>9</v>
      </c>
      <c r="K761" s="13">
        <v>5</v>
      </c>
      <c r="L761" s="12" t="s">
        <v>2323</v>
      </c>
      <c r="M761" s="12">
        <v>3.4</v>
      </c>
      <c r="N761" s="14">
        <v>46110</v>
      </c>
      <c r="O761" s="13">
        <v>4</v>
      </c>
      <c r="P761" s="12" t="s">
        <v>40</v>
      </c>
      <c r="Q761" s="12" t="s">
        <v>46</v>
      </c>
      <c r="R761" s="12" t="s">
        <v>47</v>
      </c>
      <c r="S761" s="12" t="b">
        <v>0</v>
      </c>
      <c r="T761" s="12" t="s">
        <v>62</v>
      </c>
      <c r="U761" s="15">
        <f t="shared" si="44"/>
        <v>6932.0051130000002</v>
      </c>
      <c r="V761" s="15">
        <f t="shared" si="45"/>
        <v>7104.2839999999997</v>
      </c>
      <c r="W761" s="15">
        <f t="shared" si="46"/>
        <v>1624.3575000000001</v>
      </c>
      <c r="X761" s="15">
        <f t="shared" si="47"/>
        <v>2100.4085</v>
      </c>
    </row>
    <row r="762" spans="1:24">
      <c r="A762" s="12" t="s">
        <v>2324</v>
      </c>
      <c r="B762" s="12" t="s">
        <v>2325</v>
      </c>
      <c r="C762" s="12" t="s">
        <v>75</v>
      </c>
      <c r="D762" s="12" t="s">
        <v>135</v>
      </c>
      <c r="E762" s="12" t="s">
        <v>100</v>
      </c>
      <c r="F762" s="13">
        <v>4653.1899999999996</v>
      </c>
      <c r="G762" s="13">
        <v>12.9</v>
      </c>
      <c r="H762" s="13">
        <v>4052.75</v>
      </c>
      <c r="I762" s="13">
        <v>3.7</v>
      </c>
      <c r="J762" s="13">
        <v>6</v>
      </c>
      <c r="K762" s="13">
        <v>74</v>
      </c>
      <c r="L762" s="12" t="s">
        <v>2326</v>
      </c>
      <c r="M762" s="12">
        <v>3.6</v>
      </c>
      <c r="N762" s="14">
        <v>46049</v>
      </c>
      <c r="O762" s="13">
        <v>5</v>
      </c>
      <c r="P762" s="12" t="s">
        <v>30</v>
      </c>
      <c r="Q762" s="12" t="s">
        <v>31</v>
      </c>
      <c r="R762" s="12" t="s">
        <v>72</v>
      </c>
      <c r="S762" s="12" t="b">
        <v>0</v>
      </c>
      <c r="T762" s="12" t="s">
        <v>56</v>
      </c>
      <c r="U762" s="15">
        <f t="shared" si="44"/>
        <v>600.26151000000004</v>
      </c>
      <c r="V762" s="15">
        <f t="shared" si="45"/>
        <v>1861.2760000000001</v>
      </c>
      <c r="W762" s="15">
        <f t="shared" si="46"/>
        <v>607.91250000000002</v>
      </c>
      <c r="X762" s="15">
        <f t="shared" si="47"/>
        <v>1583.5615</v>
      </c>
    </row>
    <row r="763" spans="1:24">
      <c r="A763" s="12" t="s">
        <v>2327</v>
      </c>
      <c r="B763" s="12" t="s">
        <v>2328</v>
      </c>
      <c r="C763" s="12" t="s">
        <v>75</v>
      </c>
      <c r="D763" s="12" t="s">
        <v>76</v>
      </c>
      <c r="E763" s="12" t="s">
        <v>28</v>
      </c>
      <c r="F763" s="13">
        <v>2535.46</v>
      </c>
      <c r="G763" s="13">
        <v>42.25</v>
      </c>
      <c r="H763" s="13">
        <v>1464.35</v>
      </c>
      <c r="I763" s="13">
        <v>3.8</v>
      </c>
      <c r="J763" s="13">
        <v>13</v>
      </c>
      <c r="K763" s="13">
        <v>291</v>
      </c>
      <c r="L763" s="12" t="s">
        <v>2329</v>
      </c>
      <c r="M763" s="12">
        <v>4.0999999999999996</v>
      </c>
      <c r="N763" s="14">
        <v>45943</v>
      </c>
      <c r="O763" s="13">
        <v>4</v>
      </c>
      <c r="P763" s="12" t="s">
        <v>45</v>
      </c>
      <c r="Q763" s="12" t="s">
        <v>46</v>
      </c>
      <c r="R763" s="12" t="s">
        <v>32</v>
      </c>
      <c r="S763" s="12" t="b">
        <v>0</v>
      </c>
      <c r="T763" s="12" t="s">
        <v>62</v>
      </c>
      <c r="U763" s="15">
        <f t="shared" si="44"/>
        <v>1071.2318499999999</v>
      </c>
      <c r="V763" s="15">
        <f t="shared" si="45"/>
        <v>1014.184</v>
      </c>
      <c r="W763" s="15">
        <f t="shared" si="46"/>
        <v>219.6525</v>
      </c>
      <c r="X763" s="15">
        <f t="shared" si="47"/>
        <v>230.51349999999999</v>
      </c>
    </row>
    <row r="764" spans="1:24">
      <c r="A764" s="12" t="s">
        <v>2330</v>
      </c>
      <c r="B764" s="12" t="s">
        <v>2331</v>
      </c>
      <c r="C764" s="12" t="s">
        <v>75</v>
      </c>
      <c r="D764" s="12" t="s">
        <v>76</v>
      </c>
      <c r="E764" s="12" t="s">
        <v>70</v>
      </c>
      <c r="F764" s="13">
        <v>927.09</v>
      </c>
      <c r="G764" s="13">
        <v>19.13</v>
      </c>
      <c r="H764" s="13">
        <v>749.73</v>
      </c>
      <c r="I764" s="13">
        <v>3.5</v>
      </c>
      <c r="J764" s="13">
        <v>8</v>
      </c>
      <c r="K764" s="13">
        <v>2</v>
      </c>
      <c r="L764" s="12" t="s">
        <v>2332</v>
      </c>
      <c r="M764" s="12">
        <v>4.7</v>
      </c>
      <c r="N764" s="14">
        <v>45396</v>
      </c>
      <c r="O764" s="13">
        <v>5</v>
      </c>
      <c r="P764" s="12" t="s">
        <v>30</v>
      </c>
      <c r="Q764" s="12" t="s">
        <v>46</v>
      </c>
      <c r="R764" s="12" t="s">
        <v>86</v>
      </c>
      <c r="S764" s="12" t="b">
        <v>0</v>
      </c>
      <c r="T764" s="12" t="s">
        <v>56</v>
      </c>
      <c r="U764" s="15">
        <f t="shared" si="44"/>
        <v>177.352317</v>
      </c>
      <c r="V764" s="15">
        <f t="shared" si="45"/>
        <v>370.83600000000001</v>
      </c>
      <c r="W764" s="15">
        <f t="shared" si="46"/>
        <v>112.45950000000001</v>
      </c>
      <c r="X764" s="15">
        <f t="shared" si="47"/>
        <v>266.43450000000001</v>
      </c>
    </row>
    <row r="765" spans="1:24">
      <c r="A765" s="12" t="s">
        <v>2333</v>
      </c>
      <c r="B765" s="12" t="s">
        <v>2334</v>
      </c>
      <c r="C765" s="12" t="s">
        <v>36</v>
      </c>
      <c r="D765" s="12" t="s">
        <v>43</v>
      </c>
      <c r="E765" s="12" t="s">
        <v>235</v>
      </c>
      <c r="F765" s="13">
        <v>6271.8</v>
      </c>
      <c r="G765" s="13">
        <v>28.11</v>
      </c>
      <c r="H765" s="13">
        <v>4508.58</v>
      </c>
      <c r="I765" s="13">
        <v>3.6</v>
      </c>
      <c r="J765" s="13">
        <v>66</v>
      </c>
      <c r="K765" s="13">
        <v>194</v>
      </c>
      <c r="L765" s="12" t="s">
        <v>2335</v>
      </c>
      <c r="M765" s="12">
        <v>4.9000000000000004</v>
      </c>
      <c r="N765" s="14">
        <v>45735</v>
      </c>
      <c r="O765" s="13">
        <v>3</v>
      </c>
      <c r="P765" s="12" t="s">
        <v>40</v>
      </c>
      <c r="Q765" s="12" t="s">
        <v>46</v>
      </c>
      <c r="R765" s="12" t="s">
        <v>47</v>
      </c>
      <c r="S765" s="12" t="b">
        <v>0</v>
      </c>
      <c r="T765" s="12" t="s">
        <v>56</v>
      </c>
      <c r="U765" s="15">
        <f t="shared" si="44"/>
        <v>1763.00298</v>
      </c>
      <c r="V765" s="15">
        <f t="shared" si="45"/>
        <v>2508.7199999999998</v>
      </c>
      <c r="W765" s="15">
        <f t="shared" si="46"/>
        <v>676.28700000000003</v>
      </c>
      <c r="X765" s="15">
        <f t="shared" si="47"/>
        <v>1323.5730000000001</v>
      </c>
    </row>
    <row r="766" spans="1:24">
      <c r="A766" s="12" t="s">
        <v>2336</v>
      </c>
      <c r="B766" s="12" t="s">
        <v>2337</v>
      </c>
      <c r="C766" s="12" t="s">
        <v>26</v>
      </c>
      <c r="D766" s="12" t="s">
        <v>313</v>
      </c>
      <c r="E766" s="12" t="s">
        <v>84</v>
      </c>
      <c r="F766" s="13">
        <v>76971.960000000006</v>
      </c>
      <c r="G766" s="13">
        <v>24.71</v>
      </c>
      <c r="H766" s="13">
        <v>57955.69</v>
      </c>
      <c r="I766" s="13">
        <v>3.9</v>
      </c>
      <c r="J766" s="13">
        <v>8</v>
      </c>
      <c r="K766" s="13">
        <v>69</v>
      </c>
      <c r="L766" s="12" t="s">
        <v>2338</v>
      </c>
      <c r="M766" s="12">
        <v>3.5</v>
      </c>
      <c r="N766" s="14">
        <v>45654</v>
      </c>
      <c r="O766" s="13">
        <v>5</v>
      </c>
      <c r="P766" s="12" t="s">
        <v>117</v>
      </c>
      <c r="Q766" s="12" t="s">
        <v>55</v>
      </c>
      <c r="R766" s="12" t="s">
        <v>72</v>
      </c>
      <c r="S766" s="12" t="b">
        <v>0</v>
      </c>
      <c r="T766" s="12" t="s">
        <v>62</v>
      </c>
      <c r="U766" s="15">
        <f t="shared" si="44"/>
        <v>19019.771315999998</v>
      </c>
      <c r="V766" s="15">
        <f t="shared" si="45"/>
        <v>30788.784</v>
      </c>
      <c r="W766" s="15">
        <f t="shared" si="46"/>
        <v>8693.3534999999993</v>
      </c>
      <c r="X766" s="15">
        <f t="shared" si="47"/>
        <v>18473.552500000002</v>
      </c>
    </row>
    <row r="767" spans="1:24">
      <c r="A767" s="12" t="s">
        <v>2339</v>
      </c>
      <c r="B767" s="12" t="s">
        <v>2340</v>
      </c>
      <c r="C767" s="12" t="s">
        <v>26</v>
      </c>
      <c r="D767" s="12" t="s">
        <v>27</v>
      </c>
      <c r="E767" s="12" t="s">
        <v>112</v>
      </c>
      <c r="F767" s="13">
        <v>77405.8</v>
      </c>
      <c r="G767" s="13">
        <v>22.07</v>
      </c>
      <c r="H767" s="13">
        <v>60319.4</v>
      </c>
      <c r="I767" s="13">
        <v>4.0999999999999996</v>
      </c>
      <c r="J767" s="13">
        <v>10</v>
      </c>
      <c r="K767" s="13">
        <v>145</v>
      </c>
      <c r="L767" s="12" t="s">
        <v>2341</v>
      </c>
      <c r="M767" s="12">
        <v>3.5</v>
      </c>
      <c r="N767" s="14">
        <v>45626</v>
      </c>
      <c r="O767" s="13">
        <v>4</v>
      </c>
      <c r="P767" s="12" t="s">
        <v>117</v>
      </c>
      <c r="Q767" s="12" t="s">
        <v>31</v>
      </c>
      <c r="R767" s="12" t="s">
        <v>72</v>
      </c>
      <c r="S767" s="12" t="b">
        <v>0</v>
      </c>
      <c r="T767" s="12" t="s">
        <v>62</v>
      </c>
      <c r="U767" s="15">
        <f t="shared" si="44"/>
        <v>17083.460060000001</v>
      </c>
      <c r="V767" s="15">
        <f t="shared" si="45"/>
        <v>30962.32</v>
      </c>
      <c r="W767" s="15">
        <f t="shared" si="46"/>
        <v>9047.91</v>
      </c>
      <c r="X767" s="15">
        <f t="shared" si="47"/>
        <v>20309.169999999998</v>
      </c>
    </row>
    <row r="768" spans="1:24">
      <c r="A768" s="12" t="s">
        <v>2342</v>
      </c>
      <c r="B768" s="12" t="s">
        <v>2343</v>
      </c>
      <c r="C768" s="12" t="s">
        <v>50</v>
      </c>
      <c r="D768" s="12" t="s">
        <v>130</v>
      </c>
      <c r="E768" s="12" t="s">
        <v>131</v>
      </c>
      <c r="F768" s="13">
        <v>535.34</v>
      </c>
      <c r="G768" s="13">
        <v>12.78</v>
      </c>
      <c r="H768" s="13">
        <v>466.94</v>
      </c>
      <c r="I768" s="13">
        <v>3.6</v>
      </c>
      <c r="J768" s="13">
        <v>16</v>
      </c>
      <c r="K768" s="13">
        <v>96</v>
      </c>
      <c r="L768" s="12" t="s">
        <v>2344</v>
      </c>
      <c r="M768" s="12">
        <v>3.3</v>
      </c>
      <c r="N768" s="14">
        <v>46103</v>
      </c>
      <c r="O768" s="13">
        <v>2</v>
      </c>
      <c r="P768" s="12" t="s">
        <v>117</v>
      </c>
      <c r="Q768" s="12" t="s">
        <v>55</v>
      </c>
      <c r="R768" s="12" t="s">
        <v>72</v>
      </c>
      <c r="S768" s="12" t="b">
        <v>0</v>
      </c>
      <c r="T768" s="12" t="s">
        <v>78</v>
      </c>
      <c r="U768" s="15">
        <f t="shared" si="44"/>
        <v>68.416452000000007</v>
      </c>
      <c r="V768" s="15">
        <f t="shared" si="45"/>
        <v>214.136</v>
      </c>
      <c r="W768" s="15">
        <f t="shared" si="46"/>
        <v>70.040999999999997</v>
      </c>
      <c r="X768" s="15">
        <f t="shared" si="47"/>
        <v>182.76300000000001</v>
      </c>
    </row>
    <row r="769" spans="1:24">
      <c r="A769" s="12" t="s">
        <v>2345</v>
      </c>
      <c r="B769" s="12" t="s">
        <v>2346</v>
      </c>
      <c r="C769" s="12" t="s">
        <v>26</v>
      </c>
      <c r="D769" s="12" t="s">
        <v>148</v>
      </c>
      <c r="E769" s="12" t="s">
        <v>100</v>
      </c>
      <c r="F769" s="13">
        <v>12943.68</v>
      </c>
      <c r="G769" s="13">
        <v>32.909999999999997</v>
      </c>
      <c r="H769" s="13">
        <v>8683.4</v>
      </c>
      <c r="I769" s="13">
        <v>3</v>
      </c>
      <c r="J769" s="13">
        <v>29</v>
      </c>
      <c r="K769" s="13">
        <v>267</v>
      </c>
      <c r="L769" s="12" t="s">
        <v>2347</v>
      </c>
      <c r="M769" s="12">
        <v>3.5</v>
      </c>
      <c r="N769" s="14">
        <v>46049</v>
      </c>
      <c r="O769" s="13">
        <v>3</v>
      </c>
      <c r="P769" s="12" t="s">
        <v>40</v>
      </c>
      <c r="Q769" s="12" t="s">
        <v>46</v>
      </c>
      <c r="R769" s="12" t="s">
        <v>47</v>
      </c>
      <c r="S769" s="12" t="b">
        <v>1</v>
      </c>
      <c r="T769" s="12" t="s">
        <v>33</v>
      </c>
      <c r="U769" s="15">
        <f t="shared" si="44"/>
        <v>4259.7650880000001</v>
      </c>
      <c r="V769" s="15">
        <f t="shared" si="45"/>
        <v>5177.4719999999998</v>
      </c>
      <c r="W769" s="15">
        <f t="shared" si="46"/>
        <v>1302.51</v>
      </c>
      <c r="X769" s="15">
        <f t="shared" si="47"/>
        <v>2203.4180000000001</v>
      </c>
    </row>
    <row r="770" spans="1:24">
      <c r="A770" s="12" t="s">
        <v>2348</v>
      </c>
      <c r="B770" s="12" t="s">
        <v>2349</v>
      </c>
      <c r="C770" s="12" t="s">
        <v>50</v>
      </c>
      <c r="D770" s="12" t="s">
        <v>51</v>
      </c>
      <c r="E770" s="12" t="s">
        <v>28</v>
      </c>
      <c r="F770" s="13">
        <v>2742.29</v>
      </c>
      <c r="G770" s="13">
        <v>28.42</v>
      </c>
      <c r="H770" s="13">
        <v>1962.84</v>
      </c>
      <c r="I770" s="13">
        <v>3.4</v>
      </c>
      <c r="J770" s="13">
        <v>122</v>
      </c>
      <c r="K770" s="13">
        <v>33</v>
      </c>
      <c r="L770" s="12" t="s">
        <v>2350</v>
      </c>
      <c r="M770" s="12">
        <v>2.9</v>
      </c>
      <c r="N770" s="14">
        <v>45672</v>
      </c>
      <c r="O770" s="13">
        <v>2</v>
      </c>
      <c r="P770" s="12" t="s">
        <v>45</v>
      </c>
      <c r="Q770" s="12" t="s">
        <v>46</v>
      </c>
      <c r="R770" s="12" t="s">
        <v>72</v>
      </c>
      <c r="S770" s="12" t="b">
        <v>0</v>
      </c>
      <c r="T770" s="12" t="s">
        <v>78</v>
      </c>
      <c r="U770" s="15">
        <f t="shared" si="44"/>
        <v>779.35881800000004</v>
      </c>
      <c r="V770" s="15">
        <f t="shared" si="45"/>
        <v>1096.9159999999999</v>
      </c>
      <c r="W770" s="15">
        <f t="shared" si="46"/>
        <v>294.42599999999999</v>
      </c>
      <c r="X770" s="15">
        <f t="shared" si="47"/>
        <v>571.49800000000005</v>
      </c>
    </row>
    <row r="771" spans="1:24">
      <c r="A771" s="12" t="s">
        <v>2351</v>
      </c>
      <c r="B771" s="12" t="s">
        <v>2352</v>
      </c>
      <c r="C771" s="12" t="s">
        <v>36</v>
      </c>
      <c r="D771" s="12" t="s">
        <v>37</v>
      </c>
      <c r="E771" s="12" t="s">
        <v>84</v>
      </c>
      <c r="F771" s="13">
        <v>9783.64</v>
      </c>
      <c r="G771" s="13">
        <v>44.49</v>
      </c>
      <c r="H771" s="13">
        <v>5431.19</v>
      </c>
      <c r="I771" s="13">
        <v>4.3</v>
      </c>
      <c r="J771" s="13">
        <v>17</v>
      </c>
      <c r="K771" s="13">
        <v>371</v>
      </c>
      <c r="L771" s="12" t="s">
        <v>2353</v>
      </c>
      <c r="M771" s="12">
        <v>4.8</v>
      </c>
      <c r="N771" s="14">
        <v>45460</v>
      </c>
      <c r="O771" s="13">
        <v>1</v>
      </c>
      <c r="P771" s="12" t="s">
        <v>54</v>
      </c>
      <c r="Q771" s="12" t="s">
        <v>55</v>
      </c>
      <c r="R771" s="12" t="s">
        <v>72</v>
      </c>
      <c r="S771" s="12" t="b">
        <v>0</v>
      </c>
      <c r="T771" s="12" t="s">
        <v>62</v>
      </c>
      <c r="U771" s="15">
        <f t="shared" ref="U771:U834" si="48">F771*(G771/100)</f>
        <v>4352.7414360000002</v>
      </c>
      <c r="V771" s="15">
        <f t="shared" ref="V771:V834" si="49">F771*0.4</f>
        <v>3913.4560000000001</v>
      </c>
      <c r="W771" s="15">
        <f t="shared" ref="W771:W834" si="50">H771*0.15</f>
        <v>814.67849999999999</v>
      </c>
      <c r="X771" s="15">
        <f t="shared" ref="X771:X834" si="51">H771-V771-W771</f>
        <v>703.05550000000005</v>
      </c>
    </row>
    <row r="772" spans="1:24">
      <c r="A772" s="12" t="s">
        <v>2354</v>
      </c>
      <c r="B772" s="12" t="s">
        <v>2355</v>
      </c>
      <c r="C772" s="12" t="s">
        <v>50</v>
      </c>
      <c r="D772" s="12" t="s">
        <v>51</v>
      </c>
      <c r="E772" s="12" t="s">
        <v>235</v>
      </c>
      <c r="F772" s="13">
        <v>2655.11</v>
      </c>
      <c r="G772" s="13">
        <v>9.6</v>
      </c>
      <c r="H772" s="13">
        <v>2400.2199999999998</v>
      </c>
      <c r="I772" s="13">
        <v>4</v>
      </c>
      <c r="J772" s="13">
        <v>62</v>
      </c>
      <c r="K772" s="13">
        <v>261</v>
      </c>
      <c r="L772" s="12" t="s">
        <v>2356</v>
      </c>
      <c r="M772" s="12">
        <v>2.6</v>
      </c>
      <c r="N772" s="14">
        <v>45875</v>
      </c>
      <c r="O772" s="13">
        <v>3</v>
      </c>
      <c r="P772" s="12" t="s">
        <v>45</v>
      </c>
      <c r="Q772" s="12" t="s">
        <v>46</v>
      </c>
      <c r="R772" s="12" t="s">
        <v>86</v>
      </c>
      <c r="S772" s="12" t="b">
        <v>0</v>
      </c>
      <c r="T772" s="12" t="s">
        <v>78</v>
      </c>
      <c r="U772" s="15">
        <f t="shared" si="48"/>
        <v>254.89055999999999</v>
      </c>
      <c r="V772" s="15">
        <f t="shared" si="49"/>
        <v>1062.0440000000001</v>
      </c>
      <c r="W772" s="15">
        <f t="shared" si="50"/>
        <v>360.03300000000002</v>
      </c>
      <c r="X772" s="15">
        <f t="shared" si="51"/>
        <v>978.14300000000003</v>
      </c>
    </row>
    <row r="773" spans="1:24">
      <c r="A773" s="12" t="s">
        <v>2357</v>
      </c>
      <c r="B773" s="12" t="s">
        <v>2358</v>
      </c>
      <c r="C773" s="12" t="s">
        <v>26</v>
      </c>
      <c r="D773" s="12" t="s">
        <v>313</v>
      </c>
      <c r="E773" s="12" t="s">
        <v>235</v>
      </c>
      <c r="F773" s="13">
        <v>50336.67</v>
      </c>
      <c r="G773" s="13">
        <v>28.6</v>
      </c>
      <c r="H773" s="13">
        <v>35941.550000000003</v>
      </c>
      <c r="I773" s="13">
        <v>3.5</v>
      </c>
      <c r="J773" s="13">
        <v>9</v>
      </c>
      <c r="K773" s="13">
        <v>482</v>
      </c>
      <c r="L773" s="12" t="s">
        <v>2359</v>
      </c>
      <c r="M773" s="12">
        <v>4.9000000000000004</v>
      </c>
      <c r="N773" s="14">
        <v>45743</v>
      </c>
      <c r="O773" s="13">
        <v>3</v>
      </c>
      <c r="P773" s="12" t="s">
        <v>117</v>
      </c>
      <c r="Q773" s="12" t="s">
        <v>46</v>
      </c>
      <c r="R773" s="12" t="s">
        <v>32</v>
      </c>
      <c r="S773" s="12" t="b">
        <v>0</v>
      </c>
      <c r="T773" s="12" t="s">
        <v>62</v>
      </c>
      <c r="U773" s="15">
        <f t="shared" si="48"/>
        <v>14396.287619999999</v>
      </c>
      <c r="V773" s="15">
        <f t="shared" si="49"/>
        <v>20134.668000000001</v>
      </c>
      <c r="W773" s="15">
        <f t="shared" si="50"/>
        <v>5391.2325000000001</v>
      </c>
      <c r="X773" s="15">
        <f t="shared" si="51"/>
        <v>10415.6495</v>
      </c>
    </row>
    <row r="774" spans="1:24">
      <c r="A774" s="12" t="s">
        <v>2360</v>
      </c>
      <c r="B774" s="12" t="s">
        <v>2361</v>
      </c>
      <c r="C774" s="12" t="s">
        <v>26</v>
      </c>
      <c r="D774" s="12" t="s">
        <v>27</v>
      </c>
      <c r="E774" s="12" t="s">
        <v>235</v>
      </c>
      <c r="F774" s="13">
        <v>42865.61</v>
      </c>
      <c r="G774" s="13">
        <v>24.13</v>
      </c>
      <c r="H774" s="13">
        <v>32521.32</v>
      </c>
      <c r="I774" s="13">
        <v>4.0999999999999996</v>
      </c>
      <c r="J774" s="13">
        <v>396</v>
      </c>
      <c r="K774" s="13">
        <v>309</v>
      </c>
      <c r="L774" s="12" t="s">
        <v>2362</v>
      </c>
      <c r="M774" s="12">
        <v>4</v>
      </c>
      <c r="N774" s="14">
        <v>45772</v>
      </c>
      <c r="O774" s="13">
        <v>4</v>
      </c>
      <c r="P774" s="12" t="s">
        <v>40</v>
      </c>
      <c r="Q774" s="12" t="s">
        <v>46</v>
      </c>
      <c r="R774" s="12" t="s">
        <v>72</v>
      </c>
      <c r="S774" s="12" t="b">
        <v>0</v>
      </c>
      <c r="T774" s="12" t="s">
        <v>62</v>
      </c>
      <c r="U774" s="15">
        <f t="shared" si="48"/>
        <v>10343.471693</v>
      </c>
      <c r="V774" s="15">
        <f t="shared" si="49"/>
        <v>17146.243999999999</v>
      </c>
      <c r="W774" s="15">
        <f t="shared" si="50"/>
        <v>4878.1980000000003</v>
      </c>
      <c r="X774" s="15">
        <f t="shared" si="51"/>
        <v>10496.878000000001</v>
      </c>
    </row>
    <row r="775" spans="1:24">
      <c r="A775" s="12" t="s">
        <v>2363</v>
      </c>
      <c r="B775" s="12" t="s">
        <v>2364</v>
      </c>
      <c r="C775" s="12" t="s">
        <v>36</v>
      </c>
      <c r="D775" s="12" t="s">
        <v>43</v>
      </c>
      <c r="E775" s="12" t="s">
        <v>84</v>
      </c>
      <c r="F775" s="13">
        <v>7743.46</v>
      </c>
      <c r="G775" s="13">
        <v>10.039999999999999</v>
      </c>
      <c r="H775" s="13">
        <v>6965.67</v>
      </c>
      <c r="I775" s="13">
        <v>3.4</v>
      </c>
      <c r="J775" s="13">
        <v>1</v>
      </c>
      <c r="K775" s="13">
        <v>405</v>
      </c>
      <c r="L775" s="12" t="s">
        <v>2365</v>
      </c>
      <c r="M775" s="12">
        <v>2.9</v>
      </c>
      <c r="N775" s="14">
        <v>45769</v>
      </c>
      <c r="O775" s="13">
        <v>4</v>
      </c>
      <c r="P775" s="12" t="s">
        <v>45</v>
      </c>
      <c r="Q775" s="12" t="s">
        <v>46</v>
      </c>
      <c r="R775" s="12" t="s">
        <v>72</v>
      </c>
      <c r="S775" s="12" t="b">
        <v>0</v>
      </c>
      <c r="T775" s="12" t="s">
        <v>62</v>
      </c>
      <c r="U775" s="15">
        <f t="shared" si="48"/>
        <v>777.44338400000004</v>
      </c>
      <c r="V775" s="15">
        <f t="shared" si="49"/>
        <v>3097.384</v>
      </c>
      <c r="W775" s="15">
        <f t="shared" si="50"/>
        <v>1044.8505</v>
      </c>
      <c r="X775" s="15">
        <f t="shared" si="51"/>
        <v>2823.4355</v>
      </c>
    </row>
    <row r="776" spans="1:24">
      <c r="A776" s="12" t="s">
        <v>2366</v>
      </c>
      <c r="B776" s="12" t="s">
        <v>2367</v>
      </c>
      <c r="C776" s="12" t="s">
        <v>50</v>
      </c>
      <c r="D776" s="12" t="s">
        <v>51</v>
      </c>
      <c r="E776" s="12" t="s">
        <v>131</v>
      </c>
      <c r="F776" s="13">
        <v>370.94</v>
      </c>
      <c r="G776" s="13">
        <v>29.94</v>
      </c>
      <c r="H776" s="13">
        <v>259.89</v>
      </c>
      <c r="I776" s="13">
        <v>4.7</v>
      </c>
      <c r="J776" s="13">
        <v>33</v>
      </c>
      <c r="K776" s="13">
        <v>414</v>
      </c>
      <c r="L776" s="12" t="s">
        <v>2368</v>
      </c>
      <c r="M776" s="12">
        <v>4.9000000000000004</v>
      </c>
      <c r="N776" s="14">
        <v>45740</v>
      </c>
      <c r="O776" s="13">
        <v>2</v>
      </c>
      <c r="P776" s="12" t="s">
        <v>30</v>
      </c>
      <c r="Q776" s="12" t="s">
        <v>31</v>
      </c>
      <c r="R776" s="12" t="s">
        <v>32</v>
      </c>
      <c r="S776" s="12" t="b">
        <v>0</v>
      </c>
      <c r="T776" s="12" t="s">
        <v>78</v>
      </c>
      <c r="U776" s="15">
        <f t="shared" si="48"/>
        <v>111.05943600000001</v>
      </c>
      <c r="V776" s="15">
        <f t="shared" si="49"/>
        <v>148.376</v>
      </c>
      <c r="W776" s="15">
        <f t="shared" si="50"/>
        <v>38.983499999999999</v>
      </c>
      <c r="X776" s="15">
        <f t="shared" si="51"/>
        <v>72.530500000000004</v>
      </c>
    </row>
    <row r="777" spans="1:24">
      <c r="A777" s="12" t="s">
        <v>2369</v>
      </c>
      <c r="B777" s="12" t="s">
        <v>2370</v>
      </c>
      <c r="C777" s="12" t="s">
        <v>50</v>
      </c>
      <c r="D777" s="12" t="s">
        <v>130</v>
      </c>
      <c r="E777" s="12" t="s">
        <v>96</v>
      </c>
      <c r="F777" s="13">
        <v>488.35</v>
      </c>
      <c r="G777" s="13">
        <v>11.47</v>
      </c>
      <c r="H777" s="13">
        <v>432.36</v>
      </c>
      <c r="I777" s="13">
        <v>4</v>
      </c>
      <c r="J777" s="13">
        <v>124</v>
      </c>
      <c r="K777" s="13">
        <v>226</v>
      </c>
      <c r="L777" s="12" t="s">
        <v>2371</v>
      </c>
      <c r="M777" s="12">
        <v>5</v>
      </c>
      <c r="N777" s="14">
        <v>45433</v>
      </c>
      <c r="O777" s="13">
        <v>5</v>
      </c>
      <c r="P777" s="12" t="s">
        <v>117</v>
      </c>
      <c r="Q777" s="12" t="s">
        <v>46</v>
      </c>
      <c r="R777" s="12" t="s">
        <v>32</v>
      </c>
      <c r="S777" s="12" t="b">
        <v>0</v>
      </c>
      <c r="T777" s="12" t="s">
        <v>78</v>
      </c>
      <c r="U777" s="15">
        <f t="shared" si="48"/>
        <v>56.013745</v>
      </c>
      <c r="V777" s="15">
        <f t="shared" si="49"/>
        <v>195.34</v>
      </c>
      <c r="W777" s="15">
        <f t="shared" si="50"/>
        <v>64.853999999999999</v>
      </c>
      <c r="X777" s="15">
        <f t="shared" si="51"/>
        <v>172.166</v>
      </c>
    </row>
    <row r="778" spans="1:24">
      <c r="A778" s="12" t="s">
        <v>2372</v>
      </c>
      <c r="B778" s="12" t="s">
        <v>2373</v>
      </c>
      <c r="C778" s="12" t="s">
        <v>36</v>
      </c>
      <c r="D778" s="12" t="s">
        <v>108</v>
      </c>
      <c r="E778" s="12" t="s">
        <v>52</v>
      </c>
      <c r="F778" s="13">
        <v>6540.59</v>
      </c>
      <c r="G778" s="13">
        <v>34.18</v>
      </c>
      <c r="H778" s="13">
        <v>4304.7700000000004</v>
      </c>
      <c r="I778" s="13">
        <v>4.3</v>
      </c>
      <c r="J778" s="13">
        <v>4</v>
      </c>
      <c r="K778" s="13">
        <v>68</v>
      </c>
      <c r="L778" s="12" t="s">
        <v>1967</v>
      </c>
      <c r="M778" s="12">
        <v>4.0999999999999996</v>
      </c>
      <c r="N778" s="14">
        <v>45448</v>
      </c>
      <c r="O778" s="13">
        <v>1</v>
      </c>
      <c r="P778" s="12" t="s">
        <v>54</v>
      </c>
      <c r="Q778" s="12" t="s">
        <v>31</v>
      </c>
      <c r="R778" s="12" t="s">
        <v>86</v>
      </c>
      <c r="S778" s="12" t="b">
        <v>0</v>
      </c>
      <c r="T778" s="12" t="s">
        <v>56</v>
      </c>
      <c r="U778" s="15">
        <f t="shared" si="48"/>
        <v>2235.5736619999998</v>
      </c>
      <c r="V778" s="15">
        <f t="shared" si="49"/>
        <v>2616.2359999999999</v>
      </c>
      <c r="W778" s="15">
        <f t="shared" si="50"/>
        <v>645.71550000000002</v>
      </c>
      <c r="X778" s="15">
        <f t="shared" si="51"/>
        <v>1042.8185000000001</v>
      </c>
    </row>
    <row r="779" spans="1:24">
      <c r="A779" s="12" t="s">
        <v>2374</v>
      </c>
      <c r="B779" s="12" t="s">
        <v>2375</v>
      </c>
      <c r="C779" s="12" t="s">
        <v>26</v>
      </c>
      <c r="D779" s="12" t="s">
        <v>148</v>
      </c>
      <c r="E779" s="12" t="s">
        <v>100</v>
      </c>
      <c r="F779" s="13">
        <v>24785.46</v>
      </c>
      <c r="G779" s="13">
        <v>25.63</v>
      </c>
      <c r="H779" s="13">
        <v>18432.580000000002</v>
      </c>
      <c r="I779" s="13">
        <v>5</v>
      </c>
      <c r="J779" s="13">
        <v>7</v>
      </c>
      <c r="K779" s="13">
        <v>292</v>
      </c>
      <c r="L779" s="12" t="s">
        <v>2376</v>
      </c>
      <c r="M779" s="12">
        <v>4.0999999999999996</v>
      </c>
      <c r="N779" s="14">
        <v>45678</v>
      </c>
      <c r="O779" s="13">
        <v>4</v>
      </c>
      <c r="P779" s="12" t="s">
        <v>45</v>
      </c>
      <c r="Q779" s="12" t="s">
        <v>55</v>
      </c>
      <c r="R779" s="12" t="s">
        <v>47</v>
      </c>
      <c r="S779" s="12" t="b">
        <v>0</v>
      </c>
      <c r="T779" s="12" t="s">
        <v>62</v>
      </c>
      <c r="U779" s="15">
        <f t="shared" si="48"/>
        <v>6352.5133980000001</v>
      </c>
      <c r="V779" s="15">
        <f t="shared" si="49"/>
        <v>9914.1839999999993</v>
      </c>
      <c r="W779" s="15">
        <f t="shared" si="50"/>
        <v>2764.8870000000002</v>
      </c>
      <c r="X779" s="15">
        <f t="shared" si="51"/>
        <v>5753.509</v>
      </c>
    </row>
    <row r="780" spans="1:24">
      <c r="A780" s="12" t="s">
        <v>2377</v>
      </c>
      <c r="B780" s="12" t="s">
        <v>2378</v>
      </c>
      <c r="C780" s="12" t="s">
        <v>26</v>
      </c>
      <c r="D780" s="12" t="s">
        <v>148</v>
      </c>
      <c r="E780" s="12" t="s">
        <v>52</v>
      </c>
      <c r="F780" s="13">
        <v>63830.61</v>
      </c>
      <c r="G780" s="13">
        <v>28.59</v>
      </c>
      <c r="H780" s="13">
        <v>45580.13</v>
      </c>
      <c r="I780" s="13">
        <v>4.7</v>
      </c>
      <c r="J780" s="13">
        <v>5</v>
      </c>
      <c r="K780" s="13">
        <v>315</v>
      </c>
      <c r="L780" s="12" t="s">
        <v>2379</v>
      </c>
      <c r="M780" s="12">
        <v>4.2</v>
      </c>
      <c r="N780" s="14">
        <v>45539</v>
      </c>
      <c r="O780" s="13">
        <v>4</v>
      </c>
      <c r="P780" s="12" t="s">
        <v>117</v>
      </c>
      <c r="Q780" s="12" t="s">
        <v>55</v>
      </c>
      <c r="R780" s="12" t="s">
        <v>72</v>
      </c>
      <c r="S780" s="12" t="b">
        <v>0</v>
      </c>
      <c r="T780" s="12" t="s">
        <v>78</v>
      </c>
      <c r="U780" s="15">
        <f t="shared" si="48"/>
        <v>18249.171398999999</v>
      </c>
      <c r="V780" s="15">
        <f t="shared" si="49"/>
        <v>25532.243999999999</v>
      </c>
      <c r="W780" s="15">
        <f t="shared" si="50"/>
        <v>6837.0195000000003</v>
      </c>
      <c r="X780" s="15">
        <f t="shared" si="51"/>
        <v>13210.8665</v>
      </c>
    </row>
    <row r="781" spans="1:24">
      <c r="A781" s="12" t="s">
        <v>2380</v>
      </c>
      <c r="B781" s="12" t="s">
        <v>2381</v>
      </c>
      <c r="C781" s="12" t="s">
        <v>26</v>
      </c>
      <c r="D781" s="12" t="s">
        <v>27</v>
      </c>
      <c r="E781" s="12" t="s">
        <v>92</v>
      </c>
      <c r="F781" s="13">
        <v>36994.39</v>
      </c>
      <c r="G781" s="13">
        <v>35.92</v>
      </c>
      <c r="H781" s="13">
        <v>23707.03</v>
      </c>
      <c r="I781" s="13">
        <v>3.2</v>
      </c>
      <c r="J781" s="13">
        <v>19</v>
      </c>
      <c r="K781" s="13">
        <v>13</v>
      </c>
      <c r="L781" s="12" t="s">
        <v>2382</v>
      </c>
      <c r="M781" s="12">
        <v>4.3</v>
      </c>
      <c r="N781" s="14">
        <v>45909</v>
      </c>
      <c r="O781" s="13">
        <v>5</v>
      </c>
      <c r="P781" s="12" t="s">
        <v>30</v>
      </c>
      <c r="Q781" s="12" t="s">
        <v>55</v>
      </c>
      <c r="R781" s="12" t="s">
        <v>32</v>
      </c>
      <c r="S781" s="12" t="b">
        <v>0</v>
      </c>
      <c r="T781" s="12" t="s">
        <v>56</v>
      </c>
      <c r="U781" s="15">
        <f t="shared" si="48"/>
        <v>13288.384888000001</v>
      </c>
      <c r="V781" s="15">
        <f t="shared" si="49"/>
        <v>14797.755999999999</v>
      </c>
      <c r="W781" s="15">
        <f t="shared" si="50"/>
        <v>3556.0545000000002</v>
      </c>
      <c r="X781" s="15">
        <f t="shared" si="51"/>
        <v>5353.2195000000002</v>
      </c>
    </row>
    <row r="782" spans="1:24">
      <c r="A782" s="12" t="s">
        <v>2383</v>
      </c>
      <c r="B782" s="12" t="s">
        <v>2384</v>
      </c>
      <c r="C782" s="12" t="s">
        <v>59</v>
      </c>
      <c r="D782" s="12" t="s">
        <v>170</v>
      </c>
      <c r="E782" s="12" t="s">
        <v>96</v>
      </c>
      <c r="F782" s="13">
        <v>12844.42</v>
      </c>
      <c r="G782" s="13">
        <v>34.58</v>
      </c>
      <c r="H782" s="13">
        <v>8402.9</v>
      </c>
      <c r="I782" s="13">
        <v>3.4</v>
      </c>
      <c r="J782" s="13">
        <v>15</v>
      </c>
      <c r="K782" s="13">
        <v>125</v>
      </c>
      <c r="L782" s="12" t="s">
        <v>2385</v>
      </c>
      <c r="M782" s="12">
        <v>3.6</v>
      </c>
      <c r="N782" s="14">
        <v>45463</v>
      </c>
      <c r="O782" s="13">
        <v>2</v>
      </c>
      <c r="P782" s="12" t="s">
        <v>30</v>
      </c>
      <c r="Q782" s="12" t="s">
        <v>46</v>
      </c>
      <c r="R782" s="12" t="s">
        <v>72</v>
      </c>
      <c r="S782" s="12" t="b">
        <v>0</v>
      </c>
      <c r="T782" s="12" t="s">
        <v>62</v>
      </c>
      <c r="U782" s="15">
        <f t="shared" si="48"/>
        <v>4441.6004359999997</v>
      </c>
      <c r="V782" s="15">
        <f t="shared" si="49"/>
        <v>5137.768</v>
      </c>
      <c r="W782" s="15">
        <f t="shared" si="50"/>
        <v>1260.4349999999999</v>
      </c>
      <c r="X782" s="15">
        <f t="shared" si="51"/>
        <v>2004.6969999999999</v>
      </c>
    </row>
    <row r="783" spans="1:24">
      <c r="A783" s="12" t="s">
        <v>2386</v>
      </c>
      <c r="B783" s="12" t="s">
        <v>2387</v>
      </c>
      <c r="C783" s="12" t="s">
        <v>26</v>
      </c>
      <c r="D783" s="12" t="s">
        <v>27</v>
      </c>
      <c r="E783" s="12" t="s">
        <v>52</v>
      </c>
      <c r="F783" s="13">
        <v>33939.46</v>
      </c>
      <c r="G783" s="13">
        <v>25.68</v>
      </c>
      <c r="H783" s="13">
        <v>25225.040000000001</v>
      </c>
      <c r="I783" s="13">
        <v>3.4</v>
      </c>
      <c r="J783" s="13">
        <v>122</v>
      </c>
      <c r="K783" s="13">
        <v>10</v>
      </c>
      <c r="L783" s="12" t="s">
        <v>2388</v>
      </c>
      <c r="M783" s="12">
        <v>4.3</v>
      </c>
      <c r="N783" s="14">
        <v>45916</v>
      </c>
      <c r="O783" s="13">
        <v>5</v>
      </c>
      <c r="P783" s="12" t="s">
        <v>40</v>
      </c>
      <c r="Q783" s="12" t="s">
        <v>55</v>
      </c>
      <c r="R783" s="12" t="s">
        <v>32</v>
      </c>
      <c r="S783" s="12" t="b">
        <v>0</v>
      </c>
      <c r="T783" s="12" t="s">
        <v>56</v>
      </c>
      <c r="U783" s="15">
        <f t="shared" si="48"/>
        <v>8715.6533280000003</v>
      </c>
      <c r="V783" s="15">
        <f t="shared" si="49"/>
        <v>13575.784</v>
      </c>
      <c r="W783" s="15">
        <f t="shared" si="50"/>
        <v>3783.7559999999999</v>
      </c>
      <c r="X783" s="15">
        <f t="shared" si="51"/>
        <v>7865.5</v>
      </c>
    </row>
    <row r="784" spans="1:24">
      <c r="A784" s="12" t="s">
        <v>2389</v>
      </c>
      <c r="B784" s="12" t="s">
        <v>2390</v>
      </c>
      <c r="C784" s="12" t="s">
        <v>50</v>
      </c>
      <c r="D784" s="12" t="s">
        <v>213</v>
      </c>
      <c r="E784" s="12" t="s">
        <v>131</v>
      </c>
      <c r="F784" s="13">
        <v>2507.4699999999998</v>
      </c>
      <c r="G784" s="13">
        <v>36.85</v>
      </c>
      <c r="H784" s="13">
        <v>1583.35</v>
      </c>
      <c r="I784" s="13">
        <v>3.4</v>
      </c>
      <c r="J784" s="13">
        <v>37</v>
      </c>
      <c r="K784" s="13">
        <v>356</v>
      </c>
      <c r="L784" s="12" t="s">
        <v>2391</v>
      </c>
      <c r="M784" s="12">
        <v>4.9000000000000004</v>
      </c>
      <c r="N784" s="14">
        <v>45874</v>
      </c>
      <c r="O784" s="13">
        <v>1</v>
      </c>
      <c r="P784" s="12" t="s">
        <v>117</v>
      </c>
      <c r="Q784" s="12" t="s">
        <v>31</v>
      </c>
      <c r="R784" s="12" t="s">
        <v>32</v>
      </c>
      <c r="S784" s="12" t="b">
        <v>0</v>
      </c>
      <c r="T784" s="12" t="s">
        <v>56</v>
      </c>
      <c r="U784" s="15">
        <f t="shared" si="48"/>
        <v>924.00269500000002</v>
      </c>
      <c r="V784" s="15">
        <f t="shared" si="49"/>
        <v>1002.9880000000001</v>
      </c>
      <c r="W784" s="15">
        <f t="shared" si="50"/>
        <v>237.5025</v>
      </c>
      <c r="X784" s="15">
        <f t="shared" si="51"/>
        <v>342.85950000000003</v>
      </c>
    </row>
    <row r="785" spans="1:24">
      <c r="A785" s="12" t="s">
        <v>2392</v>
      </c>
      <c r="B785" s="12" t="s">
        <v>2393</v>
      </c>
      <c r="C785" s="12" t="s">
        <v>50</v>
      </c>
      <c r="D785" s="12" t="s">
        <v>213</v>
      </c>
      <c r="E785" s="12" t="s">
        <v>96</v>
      </c>
      <c r="F785" s="13">
        <v>1207.49</v>
      </c>
      <c r="G785" s="13">
        <v>5.88</v>
      </c>
      <c r="H785" s="13">
        <v>1136.46</v>
      </c>
      <c r="I785" s="13">
        <v>4</v>
      </c>
      <c r="J785" s="13">
        <v>154</v>
      </c>
      <c r="K785" s="13">
        <v>413</v>
      </c>
      <c r="L785" s="12" t="s">
        <v>2394</v>
      </c>
      <c r="M785" s="12">
        <v>4</v>
      </c>
      <c r="N785" s="14">
        <v>45842</v>
      </c>
      <c r="O785" s="13">
        <v>1</v>
      </c>
      <c r="P785" s="12" t="s">
        <v>30</v>
      </c>
      <c r="Q785" s="12" t="s">
        <v>46</v>
      </c>
      <c r="R785" s="12" t="s">
        <v>47</v>
      </c>
      <c r="S785" s="12" t="b">
        <v>0</v>
      </c>
      <c r="T785" s="12" t="s">
        <v>56</v>
      </c>
      <c r="U785" s="15">
        <f t="shared" si="48"/>
        <v>71.000411999999997</v>
      </c>
      <c r="V785" s="15">
        <f t="shared" si="49"/>
        <v>482.99599999999998</v>
      </c>
      <c r="W785" s="15">
        <f t="shared" si="50"/>
        <v>170.46899999999999</v>
      </c>
      <c r="X785" s="15">
        <f t="shared" si="51"/>
        <v>482.995</v>
      </c>
    </row>
    <row r="786" spans="1:24">
      <c r="A786" s="12" t="s">
        <v>2395</v>
      </c>
      <c r="B786" s="12" t="s">
        <v>2396</v>
      </c>
      <c r="C786" s="12" t="s">
        <v>50</v>
      </c>
      <c r="D786" s="12" t="s">
        <v>213</v>
      </c>
      <c r="E786" s="12" t="s">
        <v>100</v>
      </c>
      <c r="F786" s="13">
        <v>2782.72</v>
      </c>
      <c r="G786" s="13">
        <v>43.09</v>
      </c>
      <c r="H786" s="13">
        <v>1583.66</v>
      </c>
      <c r="I786" s="13">
        <v>3.6</v>
      </c>
      <c r="J786" s="13">
        <v>19</v>
      </c>
      <c r="K786" s="13">
        <v>153</v>
      </c>
      <c r="L786" s="12" t="s">
        <v>2397</v>
      </c>
      <c r="M786" s="12">
        <v>4.9000000000000004</v>
      </c>
      <c r="N786" s="14">
        <v>46013</v>
      </c>
      <c r="O786" s="13">
        <v>6</v>
      </c>
      <c r="P786" s="12" t="s">
        <v>30</v>
      </c>
      <c r="Q786" s="12" t="s">
        <v>55</v>
      </c>
      <c r="R786" s="12" t="s">
        <v>47</v>
      </c>
      <c r="S786" s="12" t="b">
        <v>1</v>
      </c>
      <c r="T786" s="12" t="s">
        <v>33</v>
      </c>
      <c r="U786" s="15">
        <f t="shared" si="48"/>
        <v>1199.0740479999999</v>
      </c>
      <c r="V786" s="15">
        <f t="shared" si="49"/>
        <v>1113.088</v>
      </c>
      <c r="W786" s="15">
        <f t="shared" si="50"/>
        <v>237.54900000000001</v>
      </c>
      <c r="X786" s="15">
        <f t="shared" si="51"/>
        <v>233.023</v>
      </c>
    </row>
    <row r="787" spans="1:24">
      <c r="A787" s="12" t="s">
        <v>2398</v>
      </c>
      <c r="B787" s="12" t="s">
        <v>2399</v>
      </c>
      <c r="C787" s="12" t="s">
        <v>50</v>
      </c>
      <c r="D787" s="12" t="s">
        <v>213</v>
      </c>
      <c r="E787" s="12" t="s">
        <v>84</v>
      </c>
      <c r="F787" s="13">
        <v>886.79</v>
      </c>
      <c r="G787" s="13">
        <v>18.899999999999999</v>
      </c>
      <c r="H787" s="13">
        <v>719.2</v>
      </c>
      <c r="I787" s="13">
        <v>4.2</v>
      </c>
      <c r="J787" s="13">
        <v>134</v>
      </c>
      <c r="K787" s="13">
        <v>135</v>
      </c>
      <c r="L787" s="12" t="s">
        <v>2400</v>
      </c>
      <c r="M787" s="12">
        <v>3</v>
      </c>
      <c r="N787" s="14">
        <v>45772</v>
      </c>
      <c r="O787" s="13">
        <v>5</v>
      </c>
      <c r="P787" s="12" t="s">
        <v>45</v>
      </c>
      <c r="Q787" s="12" t="s">
        <v>55</v>
      </c>
      <c r="R787" s="12" t="s">
        <v>86</v>
      </c>
      <c r="S787" s="12" t="b">
        <v>0</v>
      </c>
      <c r="T787" s="12" t="s">
        <v>78</v>
      </c>
      <c r="U787" s="15">
        <f t="shared" si="48"/>
        <v>167.60330999999999</v>
      </c>
      <c r="V787" s="15">
        <f t="shared" si="49"/>
        <v>354.71600000000001</v>
      </c>
      <c r="W787" s="15">
        <f t="shared" si="50"/>
        <v>107.88</v>
      </c>
      <c r="X787" s="15">
        <f t="shared" si="51"/>
        <v>256.60399999999998</v>
      </c>
    </row>
    <row r="788" spans="1:24">
      <c r="A788" s="12" t="s">
        <v>2401</v>
      </c>
      <c r="B788" s="12" t="s">
        <v>2402</v>
      </c>
      <c r="C788" s="12" t="s">
        <v>36</v>
      </c>
      <c r="D788" s="12" t="s">
        <v>108</v>
      </c>
      <c r="E788" s="12" t="s">
        <v>84</v>
      </c>
      <c r="F788" s="13">
        <v>9599.56</v>
      </c>
      <c r="G788" s="13">
        <v>21.04</v>
      </c>
      <c r="H788" s="13">
        <v>7580.06</v>
      </c>
      <c r="I788" s="13">
        <v>2</v>
      </c>
      <c r="J788" s="13">
        <v>21</v>
      </c>
      <c r="K788" s="13">
        <v>172</v>
      </c>
      <c r="L788" s="12" t="s">
        <v>896</v>
      </c>
      <c r="M788" s="12">
        <v>4.4000000000000004</v>
      </c>
      <c r="N788" s="14">
        <v>45994</v>
      </c>
      <c r="O788" s="13">
        <v>2</v>
      </c>
      <c r="P788" s="12" t="s">
        <v>45</v>
      </c>
      <c r="Q788" s="12" t="s">
        <v>46</v>
      </c>
      <c r="R788" s="12" t="s">
        <v>86</v>
      </c>
      <c r="S788" s="12" t="b">
        <v>0</v>
      </c>
      <c r="T788" s="12" t="s">
        <v>56</v>
      </c>
      <c r="U788" s="15">
        <f t="shared" si="48"/>
        <v>2019.7474239999999</v>
      </c>
      <c r="V788" s="15">
        <f t="shared" si="49"/>
        <v>3839.8240000000001</v>
      </c>
      <c r="W788" s="15">
        <f t="shared" si="50"/>
        <v>1137.009</v>
      </c>
      <c r="X788" s="15">
        <f t="shared" si="51"/>
        <v>2603.2269999999999</v>
      </c>
    </row>
    <row r="789" spans="1:24">
      <c r="A789" s="12" t="s">
        <v>2403</v>
      </c>
      <c r="B789" s="12" t="s">
        <v>2404</v>
      </c>
      <c r="C789" s="12" t="s">
        <v>75</v>
      </c>
      <c r="D789" s="12" t="s">
        <v>104</v>
      </c>
      <c r="E789" s="12" t="s">
        <v>84</v>
      </c>
      <c r="F789" s="13">
        <v>2663.54</v>
      </c>
      <c r="G789" s="13">
        <v>34.89</v>
      </c>
      <c r="H789" s="13">
        <v>1734.21</v>
      </c>
      <c r="I789" s="13">
        <v>3.7</v>
      </c>
      <c r="J789" s="13">
        <v>14</v>
      </c>
      <c r="K789" s="13">
        <v>221</v>
      </c>
      <c r="L789" s="12" t="s">
        <v>2405</v>
      </c>
      <c r="M789" s="12">
        <v>4.0999999999999996</v>
      </c>
      <c r="N789" s="14">
        <v>46073</v>
      </c>
      <c r="O789" s="13">
        <v>3</v>
      </c>
      <c r="P789" s="12" t="s">
        <v>30</v>
      </c>
      <c r="Q789" s="12" t="s">
        <v>55</v>
      </c>
      <c r="R789" s="12" t="s">
        <v>47</v>
      </c>
      <c r="S789" s="12" t="b">
        <v>1</v>
      </c>
      <c r="T789" s="12" t="s">
        <v>33</v>
      </c>
      <c r="U789" s="15">
        <f t="shared" si="48"/>
        <v>929.30910600000004</v>
      </c>
      <c r="V789" s="15">
        <f t="shared" si="49"/>
        <v>1065.4159999999999</v>
      </c>
      <c r="W789" s="15">
        <f t="shared" si="50"/>
        <v>260.13150000000002</v>
      </c>
      <c r="X789" s="15">
        <f t="shared" si="51"/>
        <v>408.66250000000002</v>
      </c>
    </row>
    <row r="790" spans="1:24">
      <c r="A790" s="12" t="s">
        <v>2406</v>
      </c>
      <c r="B790" s="12" t="s">
        <v>2407</v>
      </c>
      <c r="C790" s="12" t="s">
        <v>50</v>
      </c>
      <c r="D790" s="12" t="s">
        <v>51</v>
      </c>
      <c r="E790" s="12" t="s">
        <v>52</v>
      </c>
      <c r="F790" s="13">
        <v>1707.41</v>
      </c>
      <c r="G790" s="13">
        <v>15.66</v>
      </c>
      <c r="H790" s="13">
        <v>1440.09</v>
      </c>
      <c r="I790" s="13">
        <v>3.1</v>
      </c>
      <c r="J790" s="13">
        <v>51</v>
      </c>
      <c r="K790" s="13">
        <v>343</v>
      </c>
      <c r="L790" s="12" t="s">
        <v>2408</v>
      </c>
      <c r="M790" s="12">
        <v>3.5</v>
      </c>
      <c r="N790" s="14">
        <v>45488</v>
      </c>
      <c r="O790" s="13">
        <v>6</v>
      </c>
      <c r="P790" s="12" t="s">
        <v>45</v>
      </c>
      <c r="Q790" s="12" t="s">
        <v>46</v>
      </c>
      <c r="R790" s="12" t="s">
        <v>32</v>
      </c>
      <c r="S790" s="12" t="b">
        <v>1</v>
      </c>
      <c r="T790" s="12" t="s">
        <v>33</v>
      </c>
      <c r="U790" s="15">
        <f t="shared" si="48"/>
        <v>267.38040599999999</v>
      </c>
      <c r="V790" s="15">
        <f t="shared" si="49"/>
        <v>682.96400000000006</v>
      </c>
      <c r="W790" s="15">
        <f t="shared" si="50"/>
        <v>216.01349999999999</v>
      </c>
      <c r="X790" s="15">
        <f t="shared" si="51"/>
        <v>541.11249999999995</v>
      </c>
    </row>
    <row r="791" spans="1:24">
      <c r="A791" s="12" t="s">
        <v>2409</v>
      </c>
      <c r="B791" s="12" t="s">
        <v>2410</v>
      </c>
      <c r="C791" s="12" t="s">
        <v>36</v>
      </c>
      <c r="D791" s="12" t="s">
        <v>43</v>
      </c>
      <c r="E791" s="12" t="s">
        <v>65</v>
      </c>
      <c r="F791" s="13">
        <v>1392.57</v>
      </c>
      <c r="G791" s="13">
        <v>34.49</v>
      </c>
      <c r="H791" s="13">
        <v>912.22</v>
      </c>
      <c r="I791" s="13">
        <v>3.2</v>
      </c>
      <c r="J791" s="13">
        <v>59</v>
      </c>
      <c r="K791" s="13">
        <v>492</v>
      </c>
      <c r="L791" s="12" t="s">
        <v>2411</v>
      </c>
      <c r="M791" s="12">
        <v>4.8</v>
      </c>
      <c r="N791" s="14">
        <v>45782</v>
      </c>
      <c r="O791" s="13">
        <v>5</v>
      </c>
      <c r="P791" s="12" t="s">
        <v>117</v>
      </c>
      <c r="Q791" s="12" t="s">
        <v>55</v>
      </c>
      <c r="R791" s="12" t="s">
        <v>86</v>
      </c>
      <c r="S791" s="12" t="b">
        <v>0</v>
      </c>
      <c r="T791" s="12" t="s">
        <v>62</v>
      </c>
      <c r="U791" s="15">
        <f t="shared" si="48"/>
        <v>480.297393</v>
      </c>
      <c r="V791" s="15">
        <f t="shared" si="49"/>
        <v>557.02800000000002</v>
      </c>
      <c r="W791" s="15">
        <f t="shared" si="50"/>
        <v>136.833</v>
      </c>
      <c r="X791" s="15">
        <f t="shared" si="51"/>
        <v>218.35900000000001</v>
      </c>
    </row>
    <row r="792" spans="1:24">
      <c r="A792" s="12" t="s">
        <v>2412</v>
      </c>
      <c r="B792" s="12" t="s">
        <v>2413</v>
      </c>
      <c r="C792" s="12" t="s">
        <v>26</v>
      </c>
      <c r="D792" s="12" t="s">
        <v>123</v>
      </c>
      <c r="E792" s="12" t="s">
        <v>112</v>
      </c>
      <c r="F792" s="13">
        <v>8686.89</v>
      </c>
      <c r="G792" s="13">
        <v>5.67</v>
      </c>
      <c r="H792" s="13">
        <v>8194.65</v>
      </c>
      <c r="I792" s="13">
        <v>4</v>
      </c>
      <c r="J792" s="13">
        <v>22</v>
      </c>
      <c r="K792" s="13">
        <v>77</v>
      </c>
      <c r="L792" s="12" t="s">
        <v>1935</v>
      </c>
      <c r="M792" s="12">
        <v>4.0999999999999996</v>
      </c>
      <c r="N792" s="14">
        <v>45547</v>
      </c>
      <c r="O792" s="13">
        <v>2</v>
      </c>
      <c r="P792" s="12" t="s">
        <v>117</v>
      </c>
      <c r="Q792" s="12" t="s">
        <v>55</v>
      </c>
      <c r="R792" s="12" t="s">
        <v>86</v>
      </c>
      <c r="S792" s="12" t="b">
        <v>0</v>
      </c>
      <c r="T792" s="12" t="s">
        <v>56</v>
      </c>
      <c r="U792" s="15">
        <f t="shared" si="48"/>
        <v>492.54666300000002</v>
      </c>
      <c r="V792" s="15">
        <f t="shared" si="49"/>
        <v>3474.7559999999999</v>
      </c>
      <c r="W792" s="15">
        <f t="shared" si="50"/>
        <v>1229.1975</v>
      </c>
      <c r="X792" s="15">
        <f t="shared" si="51"/>
        <v>3490.6965</v>
      </c>
    </row>
    <row r="793" spans="1:24">
      <c r="A793" s="12" t="s">
        <v>2414</v>
      </c>
      <c r="B793" s="12" t="s">
        <v>2415</v>
      </c>
      <c r="C793" s="12" t="s">
        <v>26</v>
      </c>
      <c r="D793" s="12" t="s">
        <v>123</v>
      </c>
      <c r="E793" s="12" t="s">
        <v>96</v>
      </c>
      <c r="F793" s="13">
        <v>9597.41</v>
      </c>
      <c r="G793" s="13">
        <v>20.43</v>
      </c>
      <c r="H793" s="13">
        <v>7636.97</v>
      </c>
      <c r="I793" s="13">
        <v>3.5</v>
      </c>
      <c r="J793" s="13">
        <v>25</v>
      </c>
      <c r="K793" s="13">
        <v>330</v>
      </c>
      <c r="L793" s="12" t="s">
        <v>2416</v>
      </c>
      <c r="M793" s="12">
        <v>4.5</v>
      </c>
      <c r="N793" s="14">
        <v>45725</v>
      </c>
      <c r="O793" s="13">
        <v>6</v>
      </c>
      <c r="P793" s="12" t="s">
        <v>30</v>
      </c>
      <c r="Q793" s="12" t="s">
        <v>55</v>
      </c>
      <c r="R793" s="12" t="s">
        <v>47</v>
      </c>
      <c r="S793" s="12" t="b">
        <v>0</v>
      </c>
      <c r="T793" s="12" t="s">
        <v>56</v>
      </c>
      <c r="U793" s="15">
        <f t="shared" si="48"/>
        <v>1960.750863</v>
      </c>
      <c r="V793" s="15">
        <f t="shared" si="49"/>
        <v>3838.9639999999999</v>
      </c>
      <c r="W793" s="15">
        <f t="shared" si="50"/>
        <v>1145.5454999999999</v>
      </c>
      <c r="X793" s="15">
        <f t="shared" si="51"/>
        <v>2652.4605000000001</v>
      </c>
    </row>
    <row r="794" spans="1:24">
      <c r="A794" s="12" t="s">
        <v>2417</v>
      </c>
      <c r="B794" s="12" t="s">
        <v>2418</v>
      </c>
      <c r="C794" s="12" t="s">
        <v>75</v>
      </c>
      <c r="D794" s="12" t="s">
        <v>135</v>
      </c>
      <c r="E794" s="12" t="s">
        <v>92</v>
      </c>
      <c r="F794" s="13">
        <v>3270.31</v>
      </c>
      <c r="G794" s="13">
        <v>43.93</v>
      </c>
      <c r="H794" s="13">
        <v>1833.55</v>
      </c>
      <c r="I794" s="13">
        <v>3.2</v>
      </c>
      <c r="J794" s="13">
        <v>74</v>
      </c>
      <c r="K794" s="13">
        <v>408</v>
      </c>
      <c r="L794" s="12" t="s">
        <v>2419</v>
      </c>
      <c r="M794" s="12">
        <v>3.1</v>
      </c>
      <c r="N794" s="14">
        <v>45638</v>
      </c>
      <c r="O794" s="13">
        <v>2</v>
      </c>
      <c r="P794" s="12" t="s">
        <v>54</v>
      </c>
      <c r="Q794" s="12" t="s">
        <v>55</v>
      </c>
      <c r="R794" s="12" t="s">
        <v>86</v>
      </c>
      <c r="S794" s="12" t="b">
        <v>0</v>
      </c>
      <c r="T794" s="12" t="s">
        <v>62</v>
      </c>
      <c r="U794" s="15">
        <f t="shared" si="48"/>
        <v>1436.647183</v>
      </c>
      <c r="V794" s="15">
        <f t="shared" si="49"/>
        <v>1308.124</v>
      </c>
      <c r="W794" s="15">
        <f t="shared" si="50"/>
        <v>275.03250000000003</v>
      </c>
      <c r="X794" s="15">
        <f t="shared" si="51"/>
        <v>250.39349999999999</v>
      </c>
    </row>
    <row r="795" spans="1:24">
      <c r="A795" s="12" t="s">
        <v>2420</v>
      </c>
      <c r="B795" s="12" t="s">
        <v>2421</v>
      </c>
      <c r="C795" s="12" t="s">
        <v>50</v>
      </c>
      <c r="D795" s="12" t="s">
        <v>51</v>
      </c>
      <c r="E795" s="12" t="s">
        <v>100</v>
      </c>
      <c r="F795" s="13">
        <v>938.36</v>
      </c>
      <c r="G795" s="13">
        <v>46.17</v>
      </c>
      <c r="H795" s="13">
        <v>505.1</v>
      </c>
      <c r="I795" s="13">
        <v>4</v>
      </c>
      <c r="J795" s="13">
        <v>13</v>
      </c>
      <c r="K795" s="13">
        <v>139</v>
      </c>
      <c r="L795" s="12" t="s">
        <v>2422</v>
      </c>
      <c r="M795" s="12">
        <v>2.6</v>
      </c>
      <c r="N795" s="14">
        <v>45683</v>
      </c>
      <c r="O795" s="13">
        <v>4</v>
      </c>
      <c r="P795" s="12" t="s">
        <v>40</v>
      </c>
      <c r="Q795" s="12" t="s">
        <v>46</v>
      </c>
      <c r="R795" s="12" t="s">
        <v>72</v>
      </c>
      <c r="S795" s="12" t="b">
        <v>0</v>
      </c>
      <c r="T795" s="12" t="s">
        <v>56</v>
      </c>
      <c r="U795" s="15">
        <f t="shared" si="48"/>
        <v>433.24081200000001</v>
      </c>
      <c r="V795" s="15">
        <f t="shared" si="49"/>
        <v>375.34399999999999</v>
      </c>
      <c r="W795" s="15">
        <f t="shared" si="50"/>
        <v>75.765000000000001</v>
      </c>
      <c r="X795" s="15">
        <f t="shared" si="51"/>
        <v>53.991</v>
      </c>
    </row>
    <row r="796" spans="1:24">
      <c r="A796" s="12" t="s">
        <v>2423</v>
      </c>
      <c r="B796" s="12" t="s">
        <v>2424</v>
      </c>
      <c r="C796" s="12" t="s">
        <v>36</v>
      </c>
      <c r="D796" s="12" t="s">
        <v>43</v>
      </c>
      <c r="E796" s="12" t="s">
        <v>100</v>
      </c>
      <c r="F796" s="13">
        <v>10622.7</v>
      </c>
      <c r="G796" s="13">
        <v>18.989999999999998</v>
      </c>
      <c r="H796" s="13">
        <v>8605.0499999999993</v>
      </c>
      <c r="I796" s="13">
        <v>3.8</v>
      </c>
      <c r="J796" s="13">
        <v>12</v>
      </c>
      <c r="K796" s="13">
        <v>400</v>
      </c>
      <c r="L796" s="12" t="s">
        <v>2425</v>
      </c>
      <c r="M796" s="12">
        <v>4.5999999999999996</v>
      </c>
      <c r="N796" s="14">
        <v>45579</v>
      </c>
      <c r="O796" s="13">
        <v>1</v>
      </c>
      <c r="P796" s="12" t="s">
        <v>40</v>
      </c>
      <c r="Q796" s="12" t="s">
        <v>46</v>
      </c>
      <c r="R796" s="12" t="s">
        <v>32</v>
      </c>
      <c r="S796" s="12" t="b">
        <v>0</v>
      </c>
      <c r="T796" s="12" t="s">
        <v>56</v>
      </c>
      <c r="U796" s="15">
        <f t="shared" si="48"/>
        <v>2017.25073</v>
      </c>
      <c r="V796" s="15">
        <f t="shared" si="49"/>
        <v>4249.08</v>
      </c>
      <c r="W796" s="15">
        <f t="shared" si="50"/>
        <v>1290.7574999999999</v>
      </c>
      <c r="X796" s="15">
        <f t="shared" si="51"/>
        <v>3065.2125000000001</v>
      </c>
    </row>
    <row r="797" spans="1:24">
      <c r="A797" s="12" t="s">
        <v>2426</v>
      </c>
      <c r="B797" s="12" t="s">
        <v>2427</v>
      </c>
      <c r="C797" s="12" t="s">
        <v>36</v>
      </c>
      <c r="D797" s="12" t="s">
        <v>37</v>
      </c>
      <c r="E797" s="12" t="s">
        <v>84</v>
      </c>
      <c r="F797" s="13">
        <v>14162.39</v>
      </c>
      <c r="G797" s="13">
        <v>28.73</v>
      </c>
      <c r="H797" s="13">
        <v>10094.219999999999</v>
      </c>
      <c r="I797" s="13">
        <v>3.5</v>
      </c>
      <c r="J797" s="13">
        <v>12</v>
      </c>
      <c r="K797" s="13">
        <v>336</v>
      </c>
      <c r="L797" s="12" t="s">
        <v>542</v>
      </c>
      <c r="M797" s="12">
        <v>4.4000000000000004</v>
      </c>
      <c r="N797" s="14">
        <v>45513</v>
      </c>
      <c r="O797" s="13">
        <v>6</v>
      </c>
      <c r="P797" s="12" t="s">
        <v>117</v>
      </c>
      <c r="Q797" s="12" t="s">
        <v>55</v>
      </c>
      <c r="R797" s="12" t="s">
        <v>47</v>
      </c>
      <c r="S797" s="12" t="b">
        <v>0</v>
      </c>
      <c r="T797" s="12" t="s">
        <v>78</v>
      </c>
      <c r="U797" s="15">
        <f t="shared" si="48"/>
        <v>4068.8546470000001</v>
      </c>
      <c r="V797" s="15">
        <f t="shared" si="49"/>
        <v>5664.9560000000001</v>
      </c>
      <c r="W797" s="15">
        <f t="shared" si="50"/>
        <v>1514.133</v>
      </c>
      <c r="X797" s="15">
        <f t="shared" si="51"/>
        <v>2915.1309999999999</v>
      </c>
    </row>
    <row r="798" spans="1:24">
      <c r="A798" s="12" t="s">
        <v>2428</v>
      </c>
      <c r="B798" s="12" t="s">
        <v>2429</v>
      </c>
      <c r="C798" s="12" t="s">
        <v>26</v>
      </c>
      <c r="D798" s="12" t="s">
        <v>27</v>
      </c>
      <c r="E798" s="12" t="s">
        <v>131</v>
      </c>
      <c r="F798" s="13">
        <v>50503.97</v>
      </c>
      <c r="G798" s="13">
        <v>39.520000000000003</v>
      </c>
      <c r="H798" s="13">
        <v>30542.53</v>
      </c>
      <c r="I798" s="13">
        <v>4.7</v>
      </c>
      <c r="J798" s="13">
        <v>41</v>
      </c>
      <c r="K798" s="13">
        <v>128</v>
      </c>
      <c r="L798" s="12" t="s">
        <v>2430</v>
      </c>
      <c r="M798" s="12">
        <v>2.5</v>
      </c>
      <c r="N798" s="14">
        <v>45467</v>
      </c>
      <c r="O798" s="13">
        <v>6</v>
      </c>
      <c r="P798" s="12" t="s">
        <v>45</v>
      </c>
      <c r="Q798" s="12" t="s">
        <v>46</v>
      </c>
      <c r="R798" s="12" t="s">
        <v>47</v>
      </c>
      <c r="S798" s="12" t="b">
        <v>0</v>
      </c>
      <c r="T798" s="12" t="s">
        <v>62</v>
      </c>
      <c r="U798" s="15">
        <f t="shared" si="48"/>
        <v>19959.168944000001</v>
      </c>
      <c r="V798" s="15">
        <f t="shared" si="49"/>
        <v>20201.588</v>
      </c>
      <c r="W798" s="15">
        <f t="shared" si="50"/>
        <v>4581.3795</v>
      </c>
      <c r="X798" s="15">
        <f t="shared" si="51"/>
        <v>5759.5625</v>
      </c>
    </row>
    <row r="799" spans="1:24">
      <c r="A799" s="12" t="s">
        <v>2431</v>
      </c>
      <c r="B799" s="12" t="s">
        <v>2432</v>
      </c>
      <c r="C799" s="12" t="s">
        <v>26</v>
      </c>
      <c r="D799" s="12" t="s">
        <v>313</v>
      </c>
      <c r="E799" s="12" t="s">
        <v>112</v>
      </c>
      <c r="F799" s="13">
        <v>67301.72</v>
      </c>
      <c r="G799" s="13">
        <v>8.8699999999999992</v>
      </c>
      <c r="H799" s="13">
        <v>61334.13</v>
      </c>
      <c r="I799" s="13">
        <v>4.5</v>
      </c>
      <c r="J799" s="13">
        <v>22</v>
      </c>
      <c r="K799" s="13">
        <v>412</v>
      </c>
      <c r="L799" s="12" t="s">
        <v>2433</v>
      </c>
      <c r="M799" s="12">
        <v>2.9</v>
      </c>
      <c r="N799" s="14">
        <v>45744</v>
      </c>
      <c r="O799" s="13">
        <v>1</v>
      </c>
      <c r="P799" s="12" t="s">
        <v>45</v>
      </c>
      <c r="Q799" s="12" t="s">
        <v>55</v>
      </c>
      <c r="R799" s="12" t="s">
        <v>47</v>
      </c>
      <c r="S799" s="12" t="b">
        <v>0</v>
      </c>
      <c r="T799" s="12" t="s">
        <v>78</v>
      </c>
      <c r="U799" s="15">
        <f t="shared" si="48"/>
        <v>5969.6625640000002</v>
      </c>
      <c r="V799" s="15">
        <f t="shared" si="49"/>
        <v>26920.687999999998</v>
      </c>
      <c r="W799" s="15">
        <f t="shared" si="50"/>
        <v>9200.1195000000007</v>
      </c>
      <c r="X799" s="15">
        <f t="shared" si="51"/>
        <v>25213.322499999998</v>
      </c>
    </row>
    <row r="800" spans="1:24">
      <c r="A800" s="12" t="s">
        <v>2434</v>
      </c>
      <c r="B800" s="12" t="s">
        <v>2435</v>
      </c>
      <c r="C800" s="12" t="s">
        <v>26</v>
      </c>
      <c r="D800" s="12" t="s">
        <v>123</v>
      </c>
      <c r="E800" s="12" t="s">
        <v>70</v>
      </c>
      <c r="F800" s="13">
        <v>49574.879999999997</v>
      </c>
      <c r="G800" s="13">
        <v>18.78</v>
      </c>
      <c r="H800" s="13">
        <v>40264.629999999997</v>
      </c>
      <c r="I800" s="13">
        <v>4</v>
      </c>
      <c r="J800" s="13">
        <v>12</v>
      </c>
      <c r="K800" s="13">
        <v>130</v>
      </c>
      <c r="L800" s="12" t="s">
        <v>81</v>
      </c>
      <c r="M800" s="12">
        <v>4.0999999999999996</v>
      </c>
      <c r="N800" s="14">
        <v>45392</v>
      </c>
      <c r="O800" s="13">
        <v>6</v>
      </c>
      <c r="P800" s="12" t="s">
        <v>30</v>
      </c>
      <c r="Q800" s="12" t="s">
        <v>55</v>
      </c>
      <c r="R800" s="12" t="s">
        <v>72</v>
      </c>
      <c r="S800" s="12" t="b">
        <v>0</v>
      </c>
      <c r="T800" s="12" t="s">
        <v>62</v>
      </c>
      <c r="U800" s="15">
        <f t="shared" si="48"/>
        <v>9310.1624640000009</v>
      </c>
      <c r="V800" s="15">
        <f t="shared" si="49"/>
        <v>19829.952000000001</v>
      </c>
      <c r="W800" s="15">
        <f t="shared" si="50"/>
        <v>6039.6944999999996</v>
      </c>
      <c r="X800" s="15">
        <f t="shared" si="51"/>
        <v>14394.9835</v>
      </c>
    </row>
    <row r="801" spans="1:24">
      <c r="A801" s="12" t="s">
        <v>2436</v>
      </c>
      <c r="B801" s="12" t="s">
        <v>2437</v>
      </c>
      <c r="C801" s="12" t="s">
        <v>26</v>
      </c>
      <c r="D801" s="12" t="s">
        <v>313</v>
      </c>
      <c r="E801" s="12" t="s">
        <v>131</v>
      </c>
      <c r="F801" s="13">
        <v>11600.45</v>
      </c>
      <c r="G801" s="13">
        <v>18.649999999999999</v>
      </c>
      <c r="H801" s="13">
        <v>9436.7000000000007</v>
      </c>
      <c r="I801" s="13">
        <v>4.3</v>
      </c>
      <c r="J801" s="13">
        <v>13</v>
      </c>
      <c r="K801" s="13">
        <v>126</v>
      </c>
      <c r="L801" s="12" t="s">
        <v>2438</v>
      </c>
      <c r="M801" s="12">
        <v>5</v>
      </c>
      <c r="N801" s="14">
        <v>46047</v>
      </c>
      <c r="O801" s="13">
        <v>6</v>
      </c>
      <c r="P801" s="12" t="s">
        <v>117</v>
      </c>
      <c r="Q801" s="12" t="s">
        <v>46</v>
      </c>
      <c r="R801" s="12" t="s">
        <v>72</v>
      </c>
      <c r="S801" s="12" t="b">
        <v>0</v>
      </c>
      <c r="T801" s="12" t="s">
        <v>56</v>
      </c>
      <c r="U801" s="15">
        <f t="shared" si="48"/>
        <v>2163.483925</v>
      </c>
      <c r="V801" s="15">
        <f t="shared" si="49"/>
        <v>4640.18</v>
      </c>
      <c r="W801" s="15">
        <f t="shared" si="50"/>
        <v>1415.5050000000001</v>
      </c>
      <c r="X801" s="15">
        <f t="shared" si="51"/>
        <v>3381.0149999999999</v>
      </c>
    </row>
    <row r="802" spans="1:24">
      <c r="A802" s="12" t="s">
        <v>2439</v>
      </c>
      <c r="B802" s="12" t="s">
        <v>2440</v>
      </c>
      <c r="C802" s="12" t="s">
        <v>59</v>
      </c>
      <c r="D802" s="12" t="s">
        <v>170</v>
      </c>
      <c r="E802" s="12" t="s">
        <v>38</v>
      </c>
      <c r="F802" s="13">
        <v>8572.75</v>
      </c>
      <c r="G802" s="13">
        <v>39.81</v>
      </c>
      <c r="H802" s="13">
        <v>5160.25</v>
      </c>
      <c r="I802" s="13">
        <v>3.2</v>
      </c>
      <c r="J802" s="13">
        <v>27</v>
      </c>
      <c r="K802" s="13">
        <v>409</v>
      </c>
      <c r="L802" s="12" t="s">
        <v>2441</v>
      </c>
      <c r="M802" s="12">
        <v>3.2</v>
      </c>
      <c r="N802" s="14">
        <v>45849</v>
      </c>
      <c r="O802" s="13">
        <v>2</v>
      </c>
      <c r="P802" s="12" t="s">
        <v>45</v>
      </c>
      <c r="Q802" s="12" t="s">
        <v>31</v>
      </c>
      <c r="R802" s="12" t="s">
        <v>47</v>
      </c>
      <c r="S802" s="12" t="b">
        <v>0</v>
      </c>
      <c r="T802" s="12" t="s">
        <v>56</v>
      </c>
      <c r="U802" s="15">
        <f t="shared" si="48"/>
        <v>3412.8117750000001</v>
      </c>
      <c r="V802" s="15">
        <f t="shared" si="49"/>
        <v>3429.1</v>
      </c>
      <c r="W802" s="15">
        <f t="shared" si="50"/>
        <v>774.03750000000002</v>
      </c>
      <c r="X802" s="15">
        <f t="shared" si="51"/>
        <v>957.11249999999995</v>
      </c>
    </row>
    <row r="803" spans="1:24">
      <c r="A803" s="12" t="s">
        <v>2442</v>
      </c>
      <c r="B803" s="12" t="s">
        <v>2443</v>
      </c>
      <c r="C803" s="12" t="s">
        <v>36</v>
      </c>
      <c r="D803" s="12" t="s">
        <v>37</v>
      </c>
      <c r="E803" s="12" t="s">
        <v>52</v>
      </c>
      <c r="F803" s="13">
        <v>10092.1</v>
      </c>
      <c r="G803" s="13">
        <v>31.64</v>
      </c>
      <c r="H803" s="13">
        <v>6899.35</v>
      </c>
      <c r="I803" s="13">
        <v>4.0999999999999996</v>
      </c>
      <c r="J803" s="13">
        <v>100</v>
      </c>
      <c r="K803" s="13">
        <v>62</v>
      </c>
      <c r="L803" s="12" t="s">
        <v>2444</v>
      </c>
      <c r="M803" s="12">
        <v>4.2</v>
      </c>
      <c r="N803" s="14">
        <v>45791</v>
      </c>
      <c r="O803" s="13">
        <v>3</v>
      </c>
      <c r="P803" s="12" t="s">
        <v>30</v>
      </c>
      <c r="Q803" s="12" t="s">
        <v>46</v>
      </c>
      <c r="R803" s="12" t="s">
        <v>86</v>
      </c>
      <c r="S803" s="12" t="b">
        <v>0</v>
      </c>
      <c r="T803" s="12" t="s">
        <v>56</v>
      </c>
      <c r="U803" s="15">
        <f t="shared" si="48"/>
        <v>3193.1404400000001</v>
      </c>
      <c r="V803" s="15">
        <f t="shared" si="49"/>
        <v>4036.84</v>
      </c>
      <c r="W803" s="15">
        <f t="shared" si="50"/>
        <v>1034.9024999999999</v>
      </c>
      <c r="X803" s="15">
        <f t="shared" si="51"/>
        <v>1827.6075000000001</v>
      </c>
    </row>
    <row r="804" spans="1:24">
      <c r="A804" s="12" t="s">
        <v>2445</v>
      </c>
      <c r="B804" s="12" t="s">
        <v>2446</v>
      </c>
      <c r="C804" s="12" t="s">
        <v>26</v>
      </c>
      <c r="D804" s="12" t="s">
        <v>148</v>
      </c>
      <c r="E804" s="12" t="s">
        <v>52</v>
      </c>
      <c r="F804" s="13">
        <v>50578.18</v>
      </c>
      <c r="G804" s="13">
        <v>27.59</v>
      </c>
      <c r="H804" s="13">
        <v>36624.19</v>
      </c>
      <c r="I804" s="13">
        <v>3.8</v>
      </c>
      <c r="J804" s="13">
        <v>87</v>
      </c>
      <c r="K804" s="13">
        <v>152</v>
      </c>
      <c r="L804" s="12" t="s">
        <v>2447</v>
      </c>
      <c r="M804" s="12">
        <v>4.0999999999999996</v>
      </c>
      <c r="N804" s="14">
        <v>45864</v>
      </c>
      <c r="O804" s="13">
        <v>5</v>
      </c>
      <c r="P804" s="12" t="s">
        <v>30</v>
      </c>
      <c r="Q804" s="12" t="s">
        <v>46</v>
      </c>
      <c r="R804" s="12" t="s">
        <v>86</v>
      </c>
      <c r="S804" s="12" t="b">
        <v>0</v>
      </c>
      <c r="T804" s="12" t="s">
        <v>62</v>
      </c>
      <c r="U804" s="15">
        <f t="shared" si="48"/>
        <v>13954.519861999999</v>
      </c>
      <c r="V804" s="15">
        <f t="shared" si="49"/>
        <v>20231.272000000001</v>
      </c>
      <c r="W804" s="15">
        <f t="shared" si="50"/>
        <v>5493.6284999999998</v>
      </c>
      <c r="X804" s="15">
        <f t="shared" si="51"/>
        <v>10899.289500000001</v>
      </c>
    </row>
    <row r="805" spans="1:24">
      <c r="A805" s="12" t="s">
        <v>2448</v>
      </c>
      <c r="B805" s="12" t="s">
        <v>2449</v>
      </c>
      <c r="C805" s="12" t="s">
        <v>59</v>
      </c>
      <c r="D805" s="12" t="s">
        <v>60</v>
      </c>
      <c r="E805" s="12" t="s">
        <v>96</v>
      </c>
      <c r="F805" s="13">
        <v>1216.4000000000001</v>
      </c>
      <c r="G805" s="13">
        <v>47.42</v>
      </c>
      <c r="H805" s="13">
        <v>639.61</v>
      </c>
      <c r="I805" s="13">
        <v>4</v>
      </c>
      <c r="J805" s="13">
        <v>69</v>
      </c>
      <c r="K805" s="13">
        <v>421</v>
      </c>
      <c r="L805" s="12" t="s">
        <v>2450</v>
      </c>
      <c r="M805" s="12">
        <v>4.2</v>
      </c>
      <c r="N805" s="14">
        <v>45986</v>
      </c>
      <c r="O805" s="13">
        <v>1</v>
      </c>
      <c r="P805" s="12" t="s">
        <v>40</v>
      </c>
      <c r="Q805" s="12" t="s">
        <v>55</v>
      </c>
      <c r="R805" s="12" t="s">
        <v>86</v>
      </c>
      <c r="S805" s="12" t="b">
        <v>0</v>
      </c>
      <c r="T805" s="12" t="s">
        <v>56</v>
      </c>
      <c r="U805" s="15">
        <f t="shared" si="48"/>
        <v>576.81687999999997</v>
      </c>
      <c r="V805" s="15">
        <f t="shared" si="49"/>
        <v>486.56</v>
      </c>
      <c r="W805" s="15">
        <f t="shared" si="50"/>
        <v>95.941500000000005</v>
      </c>
      <c r="X805" s="15">
        <f t="shared" si="51"/>
        <v>57.1084999999999</v>
      </c>
    </row>
    <row r="806" spans="1:24">
      <c r="A806" s="12" t="s">
        <v>2451</v>
      </c>
      <c r="B806" s="12" t="s">
        <v>2452</v>
      </c>
      <c r="C806" s="12" t="s">
        <v>50</v>
      </c>
      <c r="D806" s="12" t="s">
        <v>130</v>
      </c>
      <c r="E806" s="12" t="s">
        <v>92</v>
      </c>
      <c r="F806" s="13">
        <v>4768.47</v>
      </c>
      <c r="G806" s="13">
        <v>21.83</v>
      </c>
      <c r="H806" s="13">
        <v>3727.67</v>
      </c>
      <c r="I806" s="13">
        <v>3.6</v>
      </c>
      <c r="J806" s="13">
        <v>21</v>
      </c>
      <c r="K806" s="13">
        <v>180</v>
      </c>
      <c r="L806" s="12" t="s">
        <v>2453</v>
      </c>
      <c r="M806" s="12">
        <v>4.3</v>
      </c>
      <c r="N806" s="14">
        <v>46037</v>
      </c>
      <c r="O806" s="13">
        <v>2</v>
      </c>
      <c r="P806" s="12" t="s">
        <v>30</v>
      </c>
      <c r="Q806" s="12" t="s">
        <v>31</v>
      </c>
      <c r="R806" s="12" t="s">
        <v>72</v>
      </c>
      <c r="S806" s="12" t="b">
        <v>0</v>
      </c>
      <c r="T806" s="12" t="s">
        <v>56</v>
      </c>
      <c r="U806" s="15">
        <f t="shared" si="48"/>
        <v>1040.957001</v>
      </c>
      <c r="V806" s="15">
        <f t="shared" si="49"/>
        <v>1907.3879999999999</v>
      </c>
      <c r="W806" s="15">
        <f t="shared" si="50"/>
        <v>559.15049999999997</v>
      </c>
      <c r="X806" s="15">
        <f t="shared" si="51"/>
        <v>1261.1315</v>
      </c>
    </row>
    <row r="807" spans="1:24">
      <c r="A807" s="12" t="s">
        <v>2454</v>
      </c>
      <c r="B807" s="12" t="s">
        <v>2455</v>
      </c>
      <c r="C807" s="12" t="s">
        <v>26</v>
      </c>
      <c r="D807" s="12" t="s">
        <v>27</v>
      </c>
      <c r="E807" s="12" t="s">
        <v>100</v>
      </c>
      <c r="F807" s="13">
        <v>37703.620000000003</v>
      </c>
      <c r="G807" s="13">
        <v>22.43</v>
      </c>
      <c r="H807" s="13">
        <v>29244.99</v>
      </c>
      <c r="I807" s="13">
        <v>3.3</v>
      </c>
      <c r="J807" s="13">
        <v>37</v>
      </c>
      <c r="K807" s="13">
        <v>405</v>
      </c>
      <c r="L807" s="12" t="s">
        <v>2456</v>
      </c>
      <c r="M807" s="12">
        <v>4.0999999999999996</v>
      </c>
      <c r="N807" s="14">
        <v>45861</v>
      </c>
      <c r="O807" s="13">
        <v>5</v>
      </c>
      <c r="P807" s="12" t="s">
        <v>54</v>
      </c>
      <c r="Q807" s="12" t="s">
        <v>46</v>
      </c>
      <c r="R807" s="12" t="s">
        <v>86</v>
      </c>
      <c r="S807" s="12" t="b">
        <v>0</v>
      </c>
      <c r="T807" s="12" t="s">
        <v>78</v>
      </c>
      <c r="U807" s="15">
        <f t="shared" si="48"/>
        <v>8456.9219659999999</v>
      </c>
      <c r="V807" s="15">
        <f t="shared" si="49"/>
        <v>15081.448</v>
      </c>
      <c r="W807" s="15">
        <f t="shared" si="50"/>
        <v>4386.7484999999997</v>
      </c>
      <c r="X807" s="15">
        <f t="shared" si="51"/>
        <v>9776.7934999999998</v>
      </c>
    </row>
    <row r="808" spans="1:24">
      <c r="A808" s="12" t="s">
        <v>2457</v>
      </c>
      <c r="B808" s="12" t="s">
        <v>2458</v>
      </c>
      <c r="C808" s="12" t="s">
        <v>59</v>
      </c>
      <c r="D808" s="12" t="s">
        <v>170</v>
      </c>
      <c r="E808" s="12" t="s">
        <v>65</v>
      </c>
      <c r="F808" s="13">
        <v>15639.15</v>
      </c>
      <c r="G808" s="13">
        <v>18.16</v>
      </c>
      <c r="H808" s="13">
        <v>12798.4</v>
      </c>
      <c r="I808" s="13">
        <v>4.5</v>
      </c>
      <c r="J808" s="13">
        <v>38</v>
      </c>
      <c r="K808" s="13">
        <v>127</v>
      </c>
      <c r="L808" s="12" t="s">
        <v>2459</v>
      </c>
      <c r="M808" s="12">
        <v>3.3</v>
      </c>
      <c r="N808" s="14">
        <v>45702</v>
      </c>
      <c r="O808" s="13">
        <v>3</v>
      </c>
      <c r="P808" s="12" t="s">
        <v>40</v>
      </c>
      <c r="Q808" s="12" t="s">
        <v>31</v>
      </c>
      <c r="R808" s="12" t="s">
        <v>47</v>
      </c>
      <c r="S808" s="12" t="b">
        <v>0</v>
      </c>
      <c r="T808" s="12" t="s">
        <v>62</v>
      </c>
      <c r="U808" s="15">
        <f t="shared" si="48"/>
        <v>2840.0696400000002</v>
      </c>
      <c r="V808" s="15">
        <f t="shared" si="49"/>
        <v>6255.66</v>
      </c>
      <c r="W808" s="15">
        <f t="shared" si="50"/>
        <v>1919.76</v>
      </c>
      <c r="X808" s="15">
        <f t="shared" si="51"/>
        <v>4622.9799999999996</v>
      </c>
    </row>
    <row r="809" spans="1:24">
      <c r="A809" s="12" t="s">
        <v>2460</v>
      </c>
      <c r="B809" s="12" t="s">
        <v>2461</v>
      </c>
      <c r="C809" s="12" t="s">
        <v>50</v>
      </c>
      <c r="D809" s="12" t="s">
        <v>51</v>
      </c>
      <c r="E809" s="12" t="s">
        <v>235</v>
      </c>
      <c r="F809" s="13">
        <v>749.76</v>
      </c>
      <c r="G809" s="13">
        <v>24.15</v>
      </c>
      <c r="H809" s="13">
        <v>568.69000000000005</v>
      </c>
      <c r="I809" s="13">
        <v>4.5</v>
      </c>
      <c r="J809" s="13">
        <v>7</v>
      </c>
      <c r="K809" s="13">
        <v>133</v>
      </c>
      <c r="L809" s="12" t="s">
        <v>2462</v>
      </c>
      <c r="M809" s="12">
        <v>2.6</v>
      </c>
      <c r="N809" s="14">
        <v>45632</v>
      </c>
      <c r="O809" s="13">
        <v>6</v>
      </c>
      <c r="P809" s="12" t="s">
        <v>117</v>
      </c>
      <c r="Q809" s="12" t="s">
        <v>31</v>
      </c>
      <c r="R809" s="12" t="s">
        <v>72</v>
      </c>
      <c r="S809" s="12" t="b">
        <v>0</v>
      </c>
      <c r="T809" s="12" t="s">
        <v>56</v>
      </c>
      <c r="U809" s="15">
        <f t="shared" si="48"/>
        <v>181.06703999999999</v>
      </c>
      <c r="V809" s="15">
        <f t="shared" si="49"/>
        <v>299.904</v>
      </c>
      <c r="W809" s="15">
        <f t="shared" si="50"/>
        <v>85.3035</v>
      </c>
      <c r="X809" s="15">
        <f t="shared" si="51"/>
        <v>183.48249999999999</v>
      </c>
    </row>
    <row r="810" spans="1:24">
      <c r="A810" s="12" t="s">
        <v>2463</v>
      </c>
      <c r="B810" s="12" t="s">
        <v>2464</v>
      </c>
      <c r="C810" s="12" t="s">
        <v>75</v>
      </c>
      <c r="D810" s="12" t="s">
        <v>135</v>
      </c>
      <c r="E810" s="12" t="s">
        <v>96</v>
      </c>
      <c r="F810" s="13">
        <v>2262.9699999999998</v>
      </c>
      <c r="G810" s="13">
        <v>69.08</v>
      </c>
      <c r="H810" s="13">
        <v>699.74</v>
      </c>
      <c r="I810" s="13">
        <v>3.7</v>
      </c>
      <c r="J810" s="13">
        <v>6</v>
      </c>
      <c r="K810" s="13">
        <v>448</v>
      </c>
      <c r="L810" s="12" t="s">
        <v>2465</v>
      </c>
      <c r="M810" s="12">
        <v>3.6</v>
      </c>
      <c r="N810" s="14">
        <v>46019</v>
      </c>
      <c r="O810" s="13">
        <v>2</v>
      </c>
      <c r="P810" s="12" t="s">
        <v>30</v>
      </c>
      <c r="Q810" s="12" t="s">
        <v>31</v>
      </c>
      <c r="R810" s="12" t="s">
        <v>47</v>
      </c>
      <c r="S810" s="12" t="b">
        <v>0</v>
      </c>
      <c r="T810" s="12" t="s">
        <v>78</v>
      </c>
      <c r="U810" s="15">
        <f t="shared" si="48"/>
        <v>1563.2596759999999</v>
      </c>
      <c r="V810" s="15">
        <f t="shared" si="49"/>
        <v>905.18799999999999</v>
      </c>
      <c r="W810" s="15">
        <f t="shared" si="50"/>
        <v>104.961</v>
      </c>
      <c r="X810" s="15">
        <f t="shared" si="51"/>
        <v>-310.40899999999999</v>
      </c>
    </row>
    <row r="811" spans="1:24">
      <c r="A811" s="12" t="s">
        <v>2466</v>
      </c>
      <c r="B811" s="12" t="s">
        <v>2467</v>
      </c>
      <c r="C811" s="12" t="s">
        <v>26</v>
      </c>
      <c r="D811" s="12" t="s">
        <v>123</v>
      </c>
      <c r="E811" s="12" t="s">
        <v>84</v>
      </c>
      <c r="F811" s="13">
        <v>7251.52</v>
      </c>
      <c r="G811" s="13">
        <v>33.67</v>
      </c>
      <c r="H811" s="13">
        <v>4810.0200000000004</v>
      </c>
      <c r="I811" s="13">
        <v>3.6</v>
      </c>
      <c r="J811" s="13">
        <v>21</v>
      </c>
      <c r="K811" s="13">
        <v>359</v>
      </c>
      <c r="L811" s="12" t="s">
        <v>2468</v>
      </c>
      <c r="M811" s="12">
        <v>3.2</v>
      </c>
      <c r="N811" s="14">
        <v>46013</v>
      </c>
      <c r="O811" s="13">
        <v>6</v>
      </c>
      <c r="P811" s="12" t="s">
        <v>117</v>
      </c>
      <c r="Q811" s="12" t="s">
        <v>46</v>
      </c>
      <c r="R811" s="12" t="s">
        <v>86</v>
      </c>
      <c r="S811" s="12" t="b">
        <v>0</v>
      </c>
      <c r="T811" s="12" t="s">
        <v>62</v>
      </c>
      <c r="U811" s="15">
        <f t="shared" si="48"/>
        <v>2441.5867840000001</v>
      </c>
      <c r="V811" s="15">
        <f t="shared" si="49"/>
        <v>2900.6080000000002</v>
      </c>
      <c r="W811" s="15">
        <f t="shared" si="50"/>
        <v>721.50300000000004</v>
      </c>
      <c r="X811" s="15">
        <f t="shared" si="51"/>
        <v>1187.9090000000001</v>
      </c>
    </row>
    <row r="812" spans="1:24">
      <c r="A812" s="12" t="s">
        <v>2469</v>
      </c>
      <c r="B812" s="12" t="s">
        <v>2470</v>
      </c>
      <c r="C812" s="12" t="s">
        <v>50</v>
      </c>
      <c r="D812" s="12" t="s">
        <v>213</v>
      </c>
      <c r="E812" s="12" t="s">
        <v>52</v>
      </c>
      <c r="F812" s="13">
        <v>1619.06</v>
      </c>
      <c r="G812" s="13">
        <v>47.49</v>
      </c>
      <c r="H812" s="13">
        <v>850.16</v>
      </c>
      <c r="I812" s="13">
        <v>4.0999999999999996</v>
      </c>
      <c r="J812" s="13">
        <v>43</v>
      </c>
      <c r="K812" s="13">
        <v>87</v>
      </c>
      <c r="L812" s="12" t="s">
        <v>2471</v>
      </c>
      <c r="M812" s="12">
        <v>3.8</v>
      </c>
      <c r="N812" s="14">
        <v>46093</v>
      </c>
      <c r="O812" s="13">
        <v>5</v>
      </c>
      <c r="P812" s="12" t="s">
        <v>54</v>
      </c>
      <c r="Q812" s="12" t="s">
        <v>46</v>
      </c>
      <c r="R812" s="12" t="s">
        <v>86</v>
      </c>
      <c r="S812" s="12" t="b">
        <v>0</v>
      </c>
      <c r="T812" s="12" t="s">
        <v>56</v>
      </c>
      <c r="U812" s="15">
        <f t="shared" si="48"/>
        <v>768.89159400000005</v>
      </c>
      <c r="V812" s="15">
        <f t="shared" si="49"/>
        <v>647.62400000000002</v>
      </c>
      <c r="W812" s="15">
        <f t="shared" si="50"/>
        <v>127.524</v>
      </c>
      <c r="X812" s="15">
        <f t="shared" si="51"/>
        <v>75.012</v>
      </c>
    </row>
    <row r="813" spans="1:24">
      <c r="A813" s="12" t="s">
        <v>2472</v>
      </c>
      <c r="B813" s="12" t="s">
        <v>2473</v>
      </c>
      <c r="C813" s="12" t="s">
        <v>50</v>
      </c>
      <c r="D813" s="12" t="s">
        <v>130</v>
      </c>
      <c r="E813" s="12" t="s">
        <v>70</v>
      </c>
      <c r="F813" s="13">
        <v>3808.06</v>
      </c>
      <c r="G813" s="13">
        <v>28.27</v>
      </c>
      <c r="H813" s="13">
        <v>2731.45</v>
      </c>
      <c r="I813" s="13">
        <v>4.5</v>
      </c>
      <c r="J813" s="13">
        <v>9</v>
      </c>
      <c r="K813" s="13">
        <v>147</v>
      </c>
      <c r="L813" s="12" t="s">
        <v>2474</v>
      </c>
      <c r="M813" s="12">
        <v>4.3</v>
      </c>
      <c r="N813" s="14">
        <v>45775</v>
      </c>
      <c r="O813" s="13">
        <v>3</v>
      </c>
      <c r="P813" s="12" t="s">
        <v>54</v>
      </c>
      <c r="Q813" s="12" t="s">
        <v>55</v>
      </c>
      <c r="R813" s="12" t="s">
        <v>47</v>
      </c>
      <c r="S813" s="12" t="b">
        <v>0</v>
      </c>
      <c r="T813" s="12" t="s">
        <v>56</v>
      </c>
      <c r="U813" s="15">
        <f t="shared" si="48"/>
        <v>1076.538562</v>
      </c>
      <c r="V813" s="15">
        <f t="shared" si="49"/>
        <v>1523.2239999999999</v>
      </c>
      <c r="W813" s="15">
        <f t="shared" si="50"/>
        <v>409.71749999999997</v>
      </c>
      <c r="X813" s="15">
        <f t="shared" si="51"/>
        <v>798.50850000000003</v>
      </c>
    </row>
    <row r="814" spans="1:24">
      <c r="A814" s="12" t="s">
        <v>2475</v>
      </c>
      <c r="B814" s="12" t="s">
        <v>2476</v>
      </c>
      <c r="C814" s="12" t="s">
        <v>75</v>
      </c>
      <c r="D814" s="12" t="s">
        <v>76</v>
      </c>
      <c r="E814" s="12" t="s">
        <v>70</v>
      </c>
      <c r="F814" s="13">
        <v>2020.86</v>
      </c>
      <c r="G814" s="13">
        <v>29.76</v>
      </c>
      <c r="H814" s="13">
        <v>1419.43</v>
      </c>
      <c r="I814" s="13">
        <v>3.7</v>
      </c>
      <c r="J814" s="13">
        <v>7</v>
      </c>
      <c r="K814" s="13">
        <v>96</v>
      </c>
      <c r="L814" s="12" t="s">
        <v>2477</v>
      </c>
      <c r="M814" s="12">
        <v>2.6</v>
      </c>
      <c r="N814" s="14">
        <v>45388</v>
      </c>
      <c r="O814" s="13">
        <v>5</v>
      </c>
      <c r="P814" s="12" t="s">
        <v>30</v>
      </c>
      <c r="Q814" s="12" t="s">
        <v>46</v>
      </c>
      <c r="R814" s="12" t="s">
        <v>86</v>
      </c>
      <c r="S814" s="12" t="b">
        <v>0</v>
      </c>
      <c r="T814" s="12" t="s">
        <v>78</v>
      </c>
      <c r="U814" s="15">
        <f t="shared" si="48"/>
        <v>601.40793599999995</v>
      </c>
      <c r="V814" s="15">
        <f t="shared" si="49"/>
        <v>808.34400000000005</v>
      </c>
      <c r="W814" s="15">
        <f t="shared" si="50"/>
        <v>212.9145</v>
      </c>
      <c r="X814" s="15">
        <f t="shared" si="51"/>
        <v>398.17149999999998</v>
      </c>
    </row>
    <row r="815" spans="1:24">
      <c r="A815" s="12" t="s">
        <v>2478</v>
      </c>
      <c r="B815" s="12" t="s">
        <v>2479</v>
      </c>
      <c r="C815" s="12" t="s">
        <v>26</v>
      </c>
      <c r="D815" s="12" t="s">
        <v>313</v>
      </c>
      <c r="E815" s="12" t="s">
        <v>52</v>
      </c>
      <c r="F815" s="13">
        <v>33416.53</v>
      </c>
      <c r="G815" s="13">
        <v>9.19</v>
      </c>
      <c r="H815" s="13">
        <v>30344.26</v>
      </c>
      <c r="I815" s="13">
        <v>4.5999999999999996</v>
      </c>
      <c r="J815" s="13">
        <v>18</v>
      </c>
      <c r="K815" s="13">
        <v>464</v>
      </c>
      <c r="L815" s="12" t="s">
        <v>2480</v>
      </c>
      <c r="M815" s="12">
        <v>3.9</v>
      </c>
      <c r="N815" s="14">
        <v>45831</v>
      </c>
      <c r="O815" s="13">
        <v>5</v>
      </c>
      <c r="P815" s="12" t="s">
        <v>54</v>
      </c>
      <c r="Q815" s="12" t="s">
        <v>55</v>
      </c>
      <c r="R815" s="12" t="s">
        <v>86</v>
      </c>
      <c r="S815" s="12" t="b">
        <v>0</v>
      </c>
      <c r="T815" s="12" t="s">
        <v>78</v>
      </c>
      <c r="U815" s="15">
        <f t="shared" si="48"/>
        <v>3070.9791070000001</v>
      </c>
      <c r="V815" s="15">
        <f t="shared" si="49"/>
        <v>13366.611999999999</v>
      </c>
      <c r="W815" s="15">
        <f t="shared" si="50"/>
        <v>4551.6390000000001</v>
      </c>
      <c r="X815" s="15">
        <f t="shared" si="51"/>
        <v>12426.009</v>
      </c>
    </row>
    <row r="816" spans="1:24">
      <c r="A816" s="12" t="s">
        <v>2481</v>
      </c>
      <c r="B816" s="12" t="s">
        <v>2482</v>
      </c>
      <c r="C816" s="12" t="s">
        <v>26</v>
      </c>
      <c r="D816" s="12" t="s">
        <v>148</v>
      </c>
      <c r="E816" s="12" t="s">
        <v>92</v>
      </c>
      <c r="F816" s="13">
        <v>64400.23</v>
      </c>
      <c r="G816" s="13">
        <v>10.06</v>
      </c>
      <c r="H816" s="13">
        <v>57918.43</v>
      </c>
      <c r="I816" s="13">
        <v>4.2</v>
      </c>
      <c r="J816" s="13">
        <v>37</v>
      </c>
      <c r="K816" s="13">
        <v>351</v>
      </c>
      <c r="L816" s="12" t="s">
        <v>2483</v>
      </c>
      <c r="M816" s="12">
        <v>4.3</v>
      </c>
      <c r="N816" s="14">
        <v>45645</v>
      </c>
      <c r="O816" s="13">
        <v>5</v>
      </c>
      <c r="P816" s="12" t="s">
        <v>30</v>
      </c>
      <c r="Q816" s="12" t="s">
        <v>31</v>
      </c>
      <c r="R816" s="12" t="s">
        <v>86</v>
      </c>
      <c r="S816" s="12" t="b">
        <v>0</v>
      </c>
      <c r="T816" s="12" t="s">
        <v>62</v>
      </c>
      <c r="U816" s="15">
        <f t="shared" si="48"/>
        <v>6478.6631379999999</v>
      </c>
      <c r="V816" s="15">
        <f t="shared" si="49"/>
        <v>25760.092000000001</v>
      </c>
      <c r="W816" s="15">
        <f t="shared" si="50"/>
        <v>8687.7644999999993</v>
      </c>
      <c r="X816" s="15">
        <f t="shared" si="51"/>
        <v>23470.573499999999</v>
      </c>
    </row>
    <row r="817" spans="1:24">
      <c r="A817" s="12" t="s">
        <v>2484</v>
      </c>
      <c r="B817" s="12" t="s">
        <v>2485</v>
      </c>
      <c r="C817" s="12" t="s">
        <v>50</v>
      </c>
      <c r="D817" s="12" t="s">
        <v>213</v>
      </c>
      <c r="E817" s="12" t="s">
        <v>65</v>
      </c>
      <c r="F817" s="13">
        <v>3194.67</v>
      </c>
      <c r="G817" s="13">
        <v>23.1</v>
      </c>
      <c r="H817" s="13">
        <v>2456.83</v>
      </c>
      <c r="I817" s="13">
        <v>4.2</v>
      </c>
      <c r="J817" s="13">
        <v>156</v>
      </c>
      <c r="K817" s="13">
        <v>285</v>
      </c>
      <c r="L817" s="12" t="s">
        <v>2486</v>
      </c>
      <c r="M817" s="12">
        <v>3.6</v>
      </c>
      <c r="N817" s="14">
        <v>45547</v>
      </c>
      <c r="O817" s="13">
        <v>2</v>
      </c>
      <c r="P817" s="12" t="s">
        <v>30</v>
      </c>
      <c r="Q817" s="12" t="s">
        <v>46</v>
      </c>
      <c r="R817" s="12" t="s">
        <v>72</v>
      </c>
      <c r="S817" s="12" t="b">
        <v>0</v>
      </c>
      <c r="T817" s="12" t="s">
        <v>78</v>
      </c>
      <c r="U817" s="15">
        <f t="shared" si="48"/>
        <v>737.96876999999995</v>
      </c>
      <c r="V817" s="15">
        <f t="shared" si="49"/>
        <v>1277.8679999999999</v>
      </c>
      <c r="W817" s="15">
        <f t="shared" si="50"/>
        <v>368.52449999999999</v>
      </c>
      <c r="X817" s="15">
        <f t="shared" si="51"/>
        <v>810.4375</v>
      </c>
    </row>
    <row r="818" spans="1:24">
      <c r="A818" s="12" t="s">
        <v>2487</v>
      </c>
      <c r="B818" s="12" t="s">
        <v>2488</v>
      </c>
      <c r="C818" s="12" t="s">
        <v>50</v>
      </c>
      <c r="D818" s="12" t="s">
        <v>51</v>
      </c>
      <c r="E818" s="12" t="s">
        <v>65</v>
      </c>
      <c r="F818" s="13">
        <v>3652.05</v>
      </c>
      <c r="G818" s="13">
        <v>36.020000000000003</v>
      </c>
      <c r="H818" s="13">
        <v>2336.6999999999998</v>
      </c>
      <c r="I818" s="13">
        <v>4.8</v>
      </c>
      <c r="J818" s="13">
        <v>28</v>
      </c>
      <c r="K818" s="13">
        <v>2</v>
      </c>
      <c r="L818" s="12" t="s">
        <v>2489</v>
      </c>
      <c r="M818" s="12">
        <v>4.4000000000000004</v>
      </c>
      <c r="N818" s="14">
        <v>45707</v>
      </c>
      <c r="O818" s="13">
        <v>6</v>
      </c>
      <c r="P818" s="12" t="s">
        <v>45</v>
      </c>
      <c r="Q818" s="12" t="s">
        <v>31</v>
      </c>
      <c r="R818" s="12" t="s">
        <v>86</v>
      </c>
      <c r="S818" s="12" t="b">
        <v>0</v>
      </c>
      <c r="T818" s="12" t="s">
        <v>56</v>
      </c>
      <c r="U818" s="15">
        <f t="shared" si="48"/>
        <v>1315.4684099999999</v>
      </c>
      <c r="V818" s="15">
        <f t="shared" si="49"/>
        <v>1460.82</v>
      </c>
      <c r="W818" s="15">
        <f t="shared" si="50"/>
        <v>350.505</v>
      </c>
      <c r="X818" s="15">
        <f t="shared" si="51"/>
        <v>525.375</v>
      </c>
    </row>
    <row r="819" spans="1:24">
      <c r="A819" s="12" t="s">
        <v>2490</v>
      </c>
      <c r="B819" s="12" t="s">
        <v>2491</v>
      </c>
      <c r="C819" s="12" t="s">
        <v>50</v>
      </c>
      <c r="D819" s="12" t="s">
        <v>213</v>
      </c>
      <c r="E819" s="12" t="s">
        <v>112</v>
      </c>
      <c r="F819" s="13">
        <v>2510.11</v>
      </c>
      <c r="G819" s="13">
        <v>23.22</v>
      </c>
      <c r="H819" s="13">
        <v>1927.24</v>
      </c>
      <c r="I819" s="13">
        <v>4.7</v>
      </c>
      <c r="J819" s="13">
        <v>21</v>
      </c>
      <c r="K819" s="13">
        <v>297</v>
      </c>
      <c r="L819" s="12" t="s">
        <v>2492</v>
      </c>
      <c r="M819" s="12">
        <v>3.8</v>
      </c>
      <c r="N819" s="14">
        <v>45888</v>
      </c>
      <c r="O819" s="13">
        <v>2</v>
      </c>
      <c r="P819" s="12" t="s">
        <v>54</v>
      </c>
      <c r="Q819" s="12" t="s">
        <v>55</v>
      </c>
      <c r="R819" s="12" t="s">
        <v>47</v>
      </c>
      <c r="S819" s="12" t="b">
        <v>0</v>
      </c>
      <c r="T819" s="12" t="s">
        <v>62</v>
      </c>
      <c r="U819" s="15">
        <f t="shared" si="48"/>
        <v>582.84754199999998</v>
      </c>
      <c r="V819" s="15">
        <f t="shared" si="49"/>
        <v>1004.044</v>
      </c>
      <c r="W819" s="15">
        <f t="shared" si="50"/>
        <v>289.08600000000001</v>
      </c>
      <c r="X819" s="15">
        <f t="shared" si="51"/>
        <v>634.11</v>
      </c>
    </row>
    <row r="820" spans="1:24">
      <c r="A820" s="12" t="s">
        <v>2493</v>
      </c>
      <c r="B820" s="12" t="s">
        <v>2494</v>
      </c>
      <c r="C820" s="12" t="s">
        <v>50</v>
      </c>
      <c r="D820" s="12" t="s">
        <v>51</v>
      </c>
      <c r="E820" s="12" t="s">
        <v>235</v>
      </c>
      <c r="F820" s="13">
        <v>1089.7</v>
      </c>
      <c r="G820" s="13">
        <v>41.82</v>
      </c>
      <c r="H820" s="13">
        <v>633.94000000000005</v>
      </c>
      <c r="I820" s="13">
        <v>3.1</v>
      </c>
      <c r="J820" s="13">
        <v>56</v>
      </c>
      <c r="K820" s="13">
        <v>363</v>
      </c>
      <c r="L820" s="12" t="s">
        <v>2495</v>
      </c>
      <c r="M820" s="12">
        <v>4</v>
      </c>
      <c r="N820" s="14">
        <v>45771</v>
      </c>
      <c r="O820" s="13">
        <v>4</v>
      </c>
      <c r="P820" s="12" t="s">
        <v>54</v>
      </c>
      <c r="Q820" s="12" t="s">
        <v>55</v>
      </c>
      <c r="R820" s="12" t="s">
        <v>47</v>
      </c>
      <c r="S820" s="12" t="b">
        <v>0</v>
      </c>
      <c r="T820" s="12" t="s">
        <v>56</v>
      </c>
      <c r="U820" s="15">
        <f t="shared" si="48"/>
        <v>455.71253999999999</v>
      </c>
      <c r="V820" s="15">
        <f t="shared" si="49"/>
        <v>435.88</v>
      </c>
      <c r="W820" s="15">
        <f t="shared" si="50"/>
        <v>95.090999999999994</v>
      </c>
      <c r="X820" s="15">
        <f t="shared" si="51"/>
        <v>102.96899999999999</v>
      </c>
    </row>
    <row r="821" spans="1:24">
      <c r="A821" s="12" t="s">
        <v>2496</v>
      </c>
      <c r="B821" s="12" t="s">
        <v>2497</v>
      </c>
      <c r="C821" s="12" t="s">
        <v>26</v>
      </c>
      <c r="D821" s="12" t="s">
        <v>313</v>
      </c>
      <c r="E821" s="12" t="s">
        <v>38</v>
      </c>
      <c r="F821" s="13">
        <v>54461.75</v>
      </c>
      <c r="G821" s="13">
        <v>17.899999999999999</v>
      </c>
      <c r="H821" s="13">
        <v>44713.27</v>
      </c>
      <c r="I821" s="13">
        <v>4.2</v>
      </c>
      <c r="J821" s="13">
        <v>26</v>
      </c>
      <c r="K821" s="13">
        <v>382</v>
      </c>
      <c r="L821" s="12" t="s">
        <v>2498</v>
      </c>
      <c r="M821" s="12">
        <v>3.2</v>
      </c>
      <c r="N821" s="14">
        <v>45571</v>
      </c>
      <c r="O821" s="13">
        <v>1</v>
      </c>
      <c r="P821" s="12" t="s">
        <v>54</v>
      </c>
      <c r="Q821" s="12" t="s">
        <v>55</v>
      </c>
      <c r="R821" s="12" t="s">
        <v>72</v>
      </c>
      <c r="S821" s="12" t="b">
        <v>0</v>
      </c>
      <c r="T821" s="12" t="s">
        <v>56</v>
      </c>
      <c r="U821" s="15">
        <f t="shared" si="48"/>
        <v>9748.6532499999994</v>
      </c>
      <c r="V821" s="15">
        <f t="shared" si="49"/>
        <v>21784.7</v>
      </c>
      <c r="W821" s="15">
        <f t="shared" si="50"/>
        <v>6706.9904999999999</v>
      </c>
      <c r="X821" s="15">
        <f t="shared" si="51"/>
        <v>16221.5795</v>
      </c>
    </row>
    <row r="822" spans="1:24">
      <c r="A822" s="12" t="s">
        <v>2499</v>
      </c>
      <c r="B822" s="12" t="s">
        <v>2500</v>
      </c>
      <c r="C822" s="12" t="s">
        <v>36</v>
      </c>
      <c r="D822" s="12" t="s">
        <v>37</v>
      </c>
      <c r="E822" s="12" t="s">
        <v>131</v>
      </c>
      <c r="F822" s="13">
        <v>9219.7099999999991</v>
      </c>
      <c r="G822" s="13">
        <v>29.57</v>
      </c>
      <c r="H822" s="13">
        <v>6493.23</v>
      </c>
      <c r="I822" s="13">
        <v>4.2</v>
      </c>
      <c r="J822" s="13">
        <v>23</v>
      </c>
      <c r="K822" s="13">
        <v>161</v>
      </c>
      <c r="L822" s="12" t="s">
        <v>2501</v>
      </c>
      <c r="M822" s="12">
        <v>3.6</v>
      </c>
      <c r="N822" s="14">
        <v>45905</v>
      </c>
      <c r="O822" s="13">
        <v>5</v>
      </c>
      <c r="P822" s="12" t="s">
        <v>30</v>
      </c>
      <c r="Q822" s="12" t="s">
        <v>46</v>
      </c>
      <c r="R822" s="12" t="s">
        <v>86</v>
      </c>
      <c r="S822" s="12" t="b">
        <v>1</v>
      </c>
      <c r="T822" s="12" t="s">
        <v>33</v>
      </c>
      <c r="U822" s="15">
        <f t="shared" si="48"/>
        <v>2726.268247</v>
      </c>
      <c r="V822" s="15">
        <f t="shared" si="49"/>
        <v>3687.884</v>
      </c>
      <c r="W822" s="15">
        <f t="shared" si="50"/>
        <v>973.98450000000003</v>
      </c>
      <c r="X822" s="15">
        <f t="shared" si="51"/>
        <v>1831.3615</v>
      </c>
    </row>
    <row r="823" spans="1:24">
      <c r="A823" s="12" t="s">
        <v>2502</v>
      </c>
      <c r="B823" s="12" t="s">
        <v>2503</v>
      </c>
      <c r="C823" s="12" t="s">
        <v>26</v>
      </c>
      <c r="D823" s="12" t="s">
        <v>123</v>
      </c>
      <c r="E823" s="12" t="s">
        <v>92</v>
      </c>
      <c r="F823" s="13">
        <v>35591.370000000003</v>
      </c>
      <c r="G823" s="13">
        <v>30.5</v>
      </c>
      <c r="H823" s="13">
        <v>24737.25</v>
      </c>
      <c r="I823" s="13">
        <v>4.4000000000000004</v>
      </c>
      <c r="J823" s="13">
        <v>30</v>
      </c>
      <c r="K823" s="13">
        <v>18</v>
      </c>
      <c r="L823" s="12" t="s">
        <v>2504</v>
      </c>
      <c r="M823" s="12">
        <v>3.8</v>
      </c>
      <c r="N823" s="14">
        <v>46020</v>
      </c>
      <c r="O823" s="13">
        <v>2</v>
      </c>
      <c r="P823" s="12" t="s">
        <v>40</v>
      </c>
      <c r="Q823" s="12" t="s">
        <v>55</v>
      </c>
      <c r="R823" s="12" t="s">
        <v>47</v>
      </c>
      <c r="S823" s="12" t="b">
        <v>0</v>
      </c>
      <c r="T823" s="12" t="s">
        <v>62</v>
      </c>
      <c r="U823" s="15">
        <f t="shared" si="48"/>
        <v>10855.367850000001</v>
      </c>
      <c r="V823" s="15">
        <f t="shared" si="49"/>
        <v>14236.548000000001</v>
      </c>
      <c r="W823" s="15">
        <f t="shared" si="50"/>
        <v>3710.5875000000001</v>
      </c>
      <c r="X823" s="15">
        <f t="shared" si="51"/>
        <v>6790.1144999999997</v>
      </c>
    </row>
    <row r="824" spans="1:24">
      <c r="A824" s="12" t="s">
        <v>2505</v>
      </c>
      <c r="B824" s="12" t="s">
        <v>2506</v>
      </c>
      <c r="C824" s="12" t="s">
        <v>50</v>
      </c>
      <c r="D824" s="12" t="s">
        <v>51</v>
      </c>
      <c r="E824" s="12" t="s">
        <v>84</v>
      </c>
      <c r="F824" s="13">
        <v>4408.84</v>
      </c>
      <c r="G824" s="13">
        <v>44.38</v>
      </c>
      <c r="H824" s="13">
        <v>2452</v>
      </c>
      <c r="I824" s="13">
        <v>2.6</v>
      </c>
      <c r="J824" s="13">
        <v>27</v>
      </c>
      <c r="K824" s="13">
        <v>182</v>
      </c>
      <c r="L824" s="12" t="s">
        <v>2507</v>
      </c>
      <c r="M824" s="12">
        <v>4.2</v>
      </c>
      <c r="N824" s="14">
        <v>45758</v>
      </c>
      <c r="O824" s="13">
        <v>6</v>
      </c>
      <c r="P824" s="12" t="s">
        <v>117</v>
      </c>
      <c r="Q824" s="12" t="s">
        <v>55</v>
      </c>
      <c r="R824" s="12" t="s">
        <v>86</v>
      </c>
      <c r="S824" s="12" t="b">
        <v>0</v>
      </c>
      <c r="T824" s="12" t="s">
        <v>78</v>
      </c>
      <c r="U824" s="15">
        <f t="shared" si="48"/>
        <v>1956.643192</v>
      </c>
      <c r="V824" s="15">
        <f t="shared" si="49"/>
        <v>1763.5360000000001</v>
      </c>
      <c r="W824" s="15">
        <f t="shared" si="50"/>
        <v>367.8</v>
      </c>
      <c r="X824" s="15">
        <f t="shared" si="51"/>
        <v>320.66399999999999</v>
      </c>
    </row>
    <row r="825" spans="1:24">
      <c r="A825" s="12" t="s">
        <v>2508</v>
      </c>
      <c r="B825" s="12" t="s">
        <v>2509</v>
      </c>
      <c r="C825" s="12" t="s">
        <v>75</v>
      </c>
      <c r="D825" s="12" t="s">
        <v>135</v>
      </c>
      <c r="E825" s="12" t="s">
        <v>112</v>
      </c>
      <c r="F825" s="13">
        <v>3123.58</v>
      </c>
      <c r="G825" s="13">
        <v>34.14</v>
      </c>
      <c r="H825" s="13">
        <v>2057.12</v>
      </c>
      <c r="I825" s="13">
        <v>4.3</v>
      </c>
      <c r="J825" s="13">
        <v>21</v>
      </c>
      <c r="K825" s="13">
        <v>92</v>
      </c>
      <c r="L825" s="12" t="s">
        <v>2510</v>
      </c>
      <c r="M825" s="12">
        <v>2.7</v>
      </c>
      <c r="N825" s="14">
        <v>46089</v>
      </c>
      <c r="O825" s="13">
        <v>5</v>
      </c>
      <c r="P825" s="12" t="s">
        <v>40</v>
      </c>
      <c r="Q825" s="12" t="s">
        <v>31</v>
      </c>
      <c r="R825" s="12" t="s">
        <v>72</v>
      </c>
      <c r="S825" s="12" t="b">
        <v>0</v>
      </c>
      <c r="T825" s="12" t="s">
        <v>62</v>
      </c>
      <c r="U825" s="15">
        <f t="shared" si="48"/>
        <v>1066.390212</v>
      </c>
      <c r="V825" s="15">
        <f t="shared" si="49"/>
        <v>1249.432</v>
      </c>
      <c r="W825" s="15">
        <f t="shared" si="50"/>
        <v>308.56799999999998</v>
      </c>
      <c r="X825" s="15">
        <f t="shared" si="51"/>
        <v>499.12</v>
      </c>
    </row>
    <row r="826" spans="1:24">
      <c r="A826" s="12" t="s">
        <v>2511</v>
      </c>
      <c r="B826" s="12" t="s">
        <v>2512</v>
      </c>
      <c r="C826" s="12" t="s">
        <v>36</v>
      </c>
      <c r="D826" s="12" t="s">
        <v>43</v>
      </c>
      <c r="E826" s="12" t="s">
        <v>65</v>
      </c>
      <c r="F826" s="13">
        <v>13946.81</v>
      </c>
      <c r="G826" s="13">
        <v>23.12</v>
      </c>
      <c r="H826" s="13">
        <v>10722.65</v>
      </c>
      <c r="I826" s="13">
        <v>3.8</v>
      </c>
      <c r="J826" s="13">
        <v>47</v>
      </c>
      <c r="K826" s="13">
        <v>92</v>
      </c>
      <c r="L826" s="12" t="s">
        <v>2513</v>
      </c>
      <c r="M826" s="12">
        <v>2.7</v>
      </c>
      <c r="N826" s="14">
        <v>45513</v>
      </c>
      <c r="O826" s="13">
        <v>1</v>
      </c>
      <c r="P826" s="12" t="s">
        <v>40</v>
      </c>
      <c r="Q826" s="12" t="s">
        <v>46</v>
      </c>
      <c r="R826" s="12" t="s">
        <v>47</v>
      </c>
      <c r="S826" s="12" t="b">
        <v>0</v>
      </c>
      <c r="T826" s="12" t="s">
        <v>56</v>
      </c>
      <c r="U826" s="15">
        <f t="shared" si="48"/>
        <v>3224.5024720000001</v>
      </c>
      <c r="V826" s="15">
        <f t="shared" si="49"/>
        <v>5578.7240000000002</v>
      </c>
      <c r="W826" s="15">
        <f t="shared" si="50"/>
        <v>1608.3975</v>
      </c>
      <c r="X826" s="15">
        <f t="shared" si="51"/>
        <v>3535.5284999999999</v>
      </c>
    </row>
    <row r="827" spans="1:24">
      <c r="A827" s="12" t="s">
        <v>2514</v>
      </c>
      <c r="B827" s="12" t="s">
        <v>2515</v>
      </c>
      <c r="C827" s="12" t="s">
        <v>26</v>
      </c>
      <c r="D827" s="12" t="s">
        <v>313</v>
      </c>
      <c r="E827" s="12" t="s">
        <v>38</v>
      </c>
      <c r="F827" s="13">
        <v>61809.69</v>
      </c>
      <c r="G827" s="13">
        <v>26.88</v>
      </c>
      <c r="H827" s="13">
        <v>45195.18</v>
      </c>
      <c r="I827" s="13">
        <v>4</v>
      </c>
      <c r="J827" s="13">
        <v>14</v>
      </c>
      <c r="K827" s="13">
        <v>62</v>
      </c>
      <c r="L827" s="12" t="s">
        <v>2516</v>
      </c>
      <c r="M827" s="12">
        <v>4.2</v>
      </c>
      <c r="N827" s="14">
        <v>45439</v>
      </c>
      <c r="O827" s="13">
        <v>4</v>
      </c>
      <c r="P827" s="12" t="s">
        <v>30</v>
      </c>
      <c r="Q827" s="12" t="s">
        <v>55</v>
      </c>
      <c r="R827" s="12" t="s">
        <v>32</v>
      </c>
      <c r="S827" s="12" t="b">
        <v>0</v>
      </c>
      <c r="T827" s="12" t="s">
        <v>56</v>
      </c>
      <c r="U827" s="15">
        <f t="shared" si="48"/>
        <v>16614.444672000001</v>
      </c>
      <c r="V827" s="15">
        <f t="shared" si="49"/>
        <v>24723.876</v>
      </c>
      <c r="W827" s="15">
        <f t="shared" si="50"/>
        <v>6779.277</v>
      </c>
      <c r="X827" s="15">
        <f t="shared" si="51"/>
        <v>13692.027</v>
      </c>
    </row>
    <row r="828" spans="1:24">
      <c r="A828" s="12" t="s">
        <v>2517</v>
      </c>
      <c r="B828" s="12" t="s">
        <v>2518</v>
      </c>
      <c r="C828" s="12" t="s">
        <v>75</v>
      </c>
      <c r="D828" s="12" t="s">
        <v>135</v>
      </c>
      <c r="E828" s="12" t="s">
        <v>84</v>
      </c>
      <c r="F828" s="13">
        <v>3667.71</v>
      </c>
      <c r="G828" s="13">
        <v>37.020000000000003</v>
      </c>
      <c r="H828" s="13">
        <v>2310.0700000000002</v>
      </c>
      <c r="I828" s="13">
        <v>3.5</v>
      </c>
      <c r="J828" s="13">
        <v>7</v>
      </c>
      <c r="K828" s="13">
        <v>245</v>
      </c>
      <c r="L828" s="12" t="s">
        <v>2519</v>
      </c>
      <c r="M828" s="12">
        <v>3.1</v>
      </c>
      <c r="N828" s="14">
        <v>45648</v>
      </c>
      <c r="O828" s="13">
        <v>4</v>
      </c>
      <c r="P828" s="12" t="s">
        <v>117</v>
      </c>
      <c r="Q828" s="12" t="s">
        <v>31</v>
      </c>
      <c r="R828" s="12" t="s">
        <v>72</v>
      </c>
      <c r="S828" s="12" t="b">
        <v>0</v>
      </c>
      <c r="T828" s="12" t="s">
        <v>62</v>
      </c>
      <c r="U828" s="15">
        <f t="shared" si="48"/>
        <v>1357.7862419999999</v>
      </c>
      <c r="V828" s="15">
        <f t="shared" si="49"/>
        <v>1467.0840000000001</v>
      </c>
      <c r="W828" s="15">
        <f t="shared" si="50"/>
        <v>346.51049999999998</v>
      </c>
      <c r="X828" s="15">
        <f t="shared" si="51"/>
        <v>496.47550000000001</v>
      </c>
    </row>
    <row r="829" spans="1:24">
      <c r="A829" s="12" t="s">
        <v>2520</v>
      </c>
      <c r="B829" s="12" t="s">
        <v>2521</v>
      </c>
      <c r="C829" s="12" t="s">
        <v>26</v>
      </c>
      <c r="D829" s="12" t="s">
        <v>313</v>
      </c>
      <c r="E829" s="12" t="s">
        <v>38</v>
      </c>
      <c r="F829" s="13">
        <v>27811.64</v>
      </c>
      <c r="G829" s="13">
        <v>32.119999999999997</v>
      </c>
      <c r="H829" s="13">
        <v>18878.53</v>
      </c>
      <c r="I829" s="13">
        <v>4</v>
      </c>
      <c r="J829" s="13">
        <v>6</v>
      </c>
      <c r="K829" s="13">
        <v>485</v>
      </c>
      <c r="L829" s="12" t="s">
        <v>2522</v>
      </c>
      <c r="M829" s="12">
        <v>4.0999999999999996</v>
      </c>
      <c r="N829" s="14">
        <v>45757</v>
      </c>
      <c r="O829" s="13">
        <v>3</v>
      </c>
      <c r="P829" s="12" t="s">
        <v>45</v>
      </c>
      <c r="Q829" s="12" t="s">
        <v>46</v>
      </c>
      <c r="R829" s="12" t="s">
        <v>32</v>
      </c>
      <c r="S829" s="12" t="b">
        <v>0</v>
      </c>
      <c r="T829" s="12" t="s">
        <v>62</v>
      </c>
      <c r="U829" s="15">
        <f t="shared" si="48"/>
        <v>8933.0987679999998</v>
      </c>
      <c r="V829" s="15">
        <f t="shared" si="49"/>
        <v>11124.656000000001</v>
      </c>
      <c r="W829" s="15">
        <f t="shared" si="50"/>
        <v>2831.7795000000001</v>
      </c>
      <c r="X829" s="15">
        <f t="shared" si="51"/>
        <v>4922.0945000000002</v>
      </c>
    </row>
    <row r="830" spans="1:24">
      <c r="A830" s="12" t="s">
        <v>2523</v>
      </c>
      <c r="B830" s="12" t="s">
        <v>2524</v>
      </c>
      <c r="C830" s="12" t="s">
        <v>59</v>
      </c>
      <c r="D830" s="12" t="s">
        <v>170</v>
      </c>
      <c r="E830" s="12" t="s">
        <v>38</v>
      </c>
      <c r="F830" s="13">
        <v>6632.37</v>
      </c>
      <c r="G830" s="13">
        <v>18.010000000000002</v>
      </c>
      <c r="H830" s="13">
        <v>5437.68</v>
      </c>
      <c r="I830" s="13">
        <v>4</v>
      </c>
      <c r="J830" s="13">
        <v>2</v>
      </c>
      <c r="K830" s="13">
        <v>195</v>
      </c>
      <c r="L830" s="12" t="s">
        <v>2525</v>
      </c>
      <c r="M830" s="12">
        <v>3.3</v>
      </c>
      <c r="N830" s="14">
        <v>45898</v>
      </c>
      <c r="O830" s="13">
        <v>5</v>
      </c>
      <c r="P830" s="12" t="s">
        <v>40</v>
      </c>
      <c r="Q830" s="12" t="s">
        <v>55</v>
      </c>
      <c r="R830" s="12" t="s">
        <v>72</v>
      </c>
      <c r="S830" s="12" t="b">
        <v>0</v>
      </c>
      <c r="T830" s="12" t="s">
        <v>78</v>
      </c>
      <c r="U830" s="15">
        <f t="shared" si="48"/>
        <v>1194.4898370000001</v>
      </c>
      <c r="V830" s="15">
        <f t="shared" si="49"/>
        <v>2652.9479999999999</v>
      </c>
      <c r="W830" s="15">
        <f t="shared" si="50"/>
        <v>815.65200000000004</v>
      </c>
      <c r="X830" s="15">
        <f t="shared" si="51"/>
        <v>1969.08</v>
      </c>
    </row>
    <row r="831" spans="1:24">
      <c r="A831" s="12" t="s">
        <v>2526</v>
      </c>
      <c r="B831" s="12" t="s">
        <v>2527</v>
      </c>
      <c r="C831" s="12" t="s">
        <v>75</v>
      </c>
      <c r="D831" s="12" t="s">
        <v>104</v>
      </c>
      <c r="E831" s="12" t="s">
        <v>84</v>
      </c>
      <c r="F831" s="13">
        <v>2935.35</v>
      </c>
      <c r="G831" s="13">
        <v>66.569999999999993</v>
      </c>
      <c r="H831" s="13">
        <v>981.15</v>
      </c>
      <c r="I831" s="13">
        <v>3.6</v>
      </c>
      <c r="J831" s="13">
        <v>25</v>
      </c>
      <c r="K831" s="13">
        <v>83</v>
      </c>
      <c r="L831" s="12" t="s">
        <v>2528</v>
      </c>
      <c r="M831" s="12">
        <v>4.0999999999999996</v>
      </c>
      <c r="N831" s="14">
        <v>45865</v>
      </c>
      <c r="O831" s="13">
        <v>1</v>
      </c>
      <c r="P831" s="12" t="s">
        <v>40</v>
      </c>
      <c r="Q831" s="12" t="s">
        <v>55</v>
      </c>
      <c r="R831" s="12" t="s">
        <v>72</v>
      </c>
      <c r="S831" s="12" t="b">
        <v>0</v>
      </c>
      <c r="T831" s="12" t="s">
        <v>62</v>
      </c>
      <c r="U831" s="15">
        <f t="shared" si="48"/>
        <v>1954.0624949999999</v>
      </c>
      <c r="V831" s="15">
        <f t="shared" si="49"/>
        <v>1174.1400000000001</v>
      </c>
      <c r="W831" s="15">
        <f t="shared" si="50"/>
        <v>147.17250000000001</v>
      </c>
      <c r="X831" s="15">
        <f t="shared" si="51"/>
        <v>-340.16250000000002</v>
      </c>
    </row>
    <row r="832" spans="1:24">
      <c r="A832" s="12" t="s">
        <v>2529</v>
      </c>
      <c r="B832" s="12" t="s">
        <v>2530</v>
      </c>
      <c r="C832" s="12" t="s">
        <v>75</v>
      </c>
      <c r="D832" s="12" t="s">
        <v>135</v>
      </c>
      <c r="E832" s="12" t="s">
        <v>52</v>
      </c>
      <c r="F832" s="13">
        <v>2603.11</v>
      </c>
      <c r="G832" s="13">
        <v>38.04</v>
      </c>
      <c r="H832" s="13">
        <v>1612.96</v>
      </c>
      <c r="I832" s="13">
        <v>3</v>
      </c>
      <c r="J832" s="13">
        <v>161</v>
      </c>
      <c r="K832" s="13">
        <v>376</v>
      </c>
      <c r="L832" s="12" t="s">
        <v>2531</v>
      </c>
      <c r="M832" s="12">
        <v>4.7</v>
      </c>
      <c r="N832" s="14">
        <v>45895</v>
      </c>
      <c r="O832" s="13">
        <v>6</v>
      </c>
      <c r="P832" s="12" t="s">
        <v>117</v>
      </c>
      <c r="Q832" s="12" t="s">
        <v>31</v>
      </c>
      <c r="R832" s="12" t="s">
        <v>47</v>
      </c>
      <c r="S832" s="12" t="b">
        <v>0</v>
      </c>
      <c r="T832" s="12" t="s">
        <v>56</v>
      </c>
      <c r="U832" s="15">
        <f t="shared" si="48"/>
        <v>990.22304399999996</v>
      </c>
      <c r="V832" s="15">
        <f t="shared" si="49"/>
        <v>1041.2439999999999</v>
      </c>
      <c r="W832" s="15">
        <f t="shared" si="50"/>
        <v>241.94399999999999</v>
      </c>
      <c r="X832" s="15">
        <f t="shared" si="51"/>
        <v>329.77199999999999</v>
      </c>
    </row>
    <row r="833" spans="1:24">
      <c r="A833" s="12" t="s">
        <v>2532</v>
      </c>
      <c r="B833" s="12" t="s">
        <v>2533</v>
      </c>
      <c r="C833" s="12" t="s">
        <v>26</v>
      </c>
      <c r="D833" s="12" t="s">
        <v>313</v>
      </c>
      <c r="E833" s="12" t="s">
        <v>131</v>
      </c>
      <c r="F833" s="13">
        <v>65106.26</v>
      </c>
      <c r="G833" s="13">
        <v>34.630000000000003</v>
      </c>
      <c r="H833" s="13">
        <v>42560.800000000003</v>
      </c>
      <c r="I833" s="13">
        <v>5</v>
      </c>
      <c r="J833" s="13">
        <v>20</v>
      </c>
      <c r="K833" s="13">
        <v>453</v>
      </c>
      <c r="L833" s="12" t="s">
        <v>2534</v>
      </c>
      <c r="M833" s="12">
        <v>4.7</v>
      </c>
      <c r="N833" s="14">
        <v>45853</v>
      </c>
      <c r="O833" s="13">
        <v>1</v>
      </c>
      <c r="P833" s="12" t="s">
        <v>54</v>
      </c>
      <c r="Q833" s="12" t="s">
        <v>55</v>
      </c>
      <c r="R833" s="12" t="s">
        <v>72</v>
      </c>
      <c r="S833" s="12" t="b">
        <v>0</v>
      </c>
      <c r="T833" s="12" t="s">
        <v>62</v>
      </c>
      <c r="U833" s="15">
        <f t="shared" si="48"/>
        <v>22546.297837999999</v>
      </c>
      <c r="V833" s="15">
        <f t="shared" si="49"/>
        <v>26042.504000000001</v>
      </c>
      <c r="W833" s="15">
        <f t="shared" si="50"/>
        <v>6384.12</v>
      </c>
      <c r="X833" s="15">
        <f t="shared" si="51"/>
        <v>10134.175999999999</v>
      </c>
    </row>
    <row r="834" spans="1:24">
      <c r="A834" s="12" t="s">
        <v>2535</v>
      </c>
      <c r="B834" s="12" t="s">
        <v>2536</v>
      </c>
      <c r="C834" s="12" t="s">
        <v>36</v>
      </c>
      <c r="D834" s="12" t="s">
        <v>37</v>
      </c>
      <c r="E834" s="12" t="s">
        <v>84</v>
      </c>
      <c r="F834" s="13">
        <v>8547.58</v>
      </c>
      <c r="G834" s="13">
        <v>45.69</v>
      </c>
      <c r="H834" s="13">
        <v>4642.3100000000004</v>
      </c>
      <c r="I834" s="13">
        <v>3.8</v>
      </c>
      <c r="J834" s="13">
        <v>247</v>
      </c>
      <c r="K834" s="13">
        <v>314</v>
      </c>
      <c r="L834" s="12" t="s">
        <v>2537</v>
      </c>
      <c r="M834" s="12">
        <v>3.4</v>
      </c>
      <c r="N834" s="14">
        <v>45521</v>
      </c>
      <c r="O834" s="13">
        <v>1</v>
      </c>
      <c r="P834" s="12" t="s">
        <v>117</v>
      </c>
      <c r="Q834" s="12" t="s">
        <v>55</v>
      </c>
      <c r="R834" s="12" t="s">
        <v>86</v>
      </c>
      <c r="S834" s="12" t="b">
        <v>0</v>
      </c>
      <c r="T834" s="12" t="s">
        <v>78</v>
      </c>
      <c r="U834" s="15">
        <f t="shared" si="48"/>
        <v>3905.389302</v>
      </c>
      <c r="V834" s="15">
        <f t="shared" si="49"/>
        <v>3419.0320000000002</v>
      </c>
      <c r="W834" s="15">
        <f t="shared" si="50"/>
        <v>696.34649999999999</v>
      </c>
      <c r="X834" s="15">
        <f t="shared" si="51"/>
        <v>526.93150000000003</v>
      </c>
    </row>
    <row r="835" spans="1:24">
      <c r="A835" s="12" t="s">
        <v>2538</v>
      </c>
      <c r="B835" s="12" t="s">
        <v>2539</v>
      </c>
      <c r="C835" s="12" t="s">
        <v>26</v>
      </c>
      <c r="D835" s="12" t="s">
        <v>313</v>
      </c>
      <c r="E835" s="12" t="s">
        <v>235</v>
      </c>
      <c r="F835" s="13">
        <v>23740.720000000001</v>
      </c>
      <c r="G835" s="13">
        <v>7.6</v>
      </c>
      <c r="H835" s="13">
        <v>21936.04</v>
      </c>
      <c r="I835" s="13">
        <v>3.5</v>
      </c>
      <c r="J835" s="13">
        <v>4</v>
      </c>
      <c r="K835" s="13">
        <v>365</v>
      </c>
      <c r="L835" s="12" t="s">
        <v>2540</v>
      </c>
      <c r="M835" s="12">
        <v>4.3</v>
      </c>
      <c r="N835" s="14">
        <v>45915</v>
      </c>
      <c r="O835" s="13">
        <v>1</v>
      </c>
      <c r="P835" s="12" t="s">
        <v>54</v>
      </c>
      <c r="Q835" s="12" t="s">
        <v>55</v>
      </c>
      <c r="R835" s="12" t="s">
        <v>32</v>
      </c>
      <c r="S835" s="12" t="b">
        <v>0</v>
      </c>
      <c r="T835" s="12" t="s">
        <v>56</v>
      </c>
      <c r="U835" s="15">
        <f t="shared" ref="U835:U898" si="52">F835*(G835/100)</f>
        <v>1804.2947200000001</v>
      </c>
      <c r="V835" s="15">
        <f t="shared" ref="V835:V898" si="53">F835*0.4</f>
        <v>9496.2880000000005</v>
      </c>
      <c r="W835" s="15">
        <f t="shared" ref="W835:W898" si="54">H835*0.15</f>
        <v>3290.4059999999999</v>
      </c>
      <c r="X835" s="15">
        <f t="shared" ref="X835:X898" si="55">H835-V835-W835</f>
        <v>9149.3459999999995</v>
      </c>
    </row>
    <row r="836" spans="1:24">
      <c r="A836" s="12" t="s">
        <v>2541</v>
      </c>
      <c r="B836" s="12" t="s">
        <v>2542</v>
      </c>
      <c r="C836" s="12" t="s">
        <v>50</v>
      </c>
      <c r="D836" s="12" t="s">
        <v>51</v>
      </c>
      <c r="E836" s="12" t="s">
        <v>84</v>
      </c>
      <c r="F836" s="13">
        <v>4884.87</v>
      </c>
      <c r="G836" s="13">
        <v>25.74</v>
      </c>
      <c r="H836" s="13">
        <v>3627.33</v>
      </c>
      <c r="I836" s="13">
        <v>4.0999999999999996</v>
      </c>
      <c r="J836" s="13">
        <v>144</v>
      </c>
      <c r="K836" s="13">
        <v>65</v>
      </c>
      <c r="L836" s="12" t="s">
        <v>2543</v>
      </c>
      <c r="M836" s="12">
        <v>3.5</v>
      </c>
      <c r="N836" s="14">
        <v>45694</v>
      </c>
      <c r="O836" s="13">
        <v>1</v>
      </c>
      <c r="P836" s="12" t="s">
        <v>117</v>
      </c>
      <c r="Q836" s="12" t="s">
        <v>46</v>
      </c>
      <c r="R836" s="12" t="s">
        <v>86</v>
      </c>
      <c r="S836" s="12" t="b">
        <v>0</v>
      </c>
      <c r="T836" s="12" t="s">
        <v>56</v>
      </c>
      <c r="U836" s="15">
        <f t="shared" si="52"/>
        <v>1257.365538</v>
      </c>
      <c r="V836" s="15">
        <f t="shared" si="53"/>
        <v>1953.9480000000001</v>
      </c>
      <c r="W836" s="15">
        <f t="shared" si="54"/>
        <v>544.09950000000003</v>
      </c>
      <c r="X836" s="15">
        <f t="shared" si="55"/>
        <v>1129.2825</v>
      </c>
    </row>
    <row r="837" spans="1:24">
      <c r="A837" s="12" t="s">
        <v>2544</v>
      </c>
      <c r="B837" s="12" t="s">
        <v>2545</v>
      </c>
      <c r="C837" s="12" t="s">
        <v>36</v>
      </c>
      <c r="D837" s="12" t="s">
        <v>43</v>
      </c>
      <c r="E837" s="12" t="s">
        <v>131</v>
      </c>
      <c r="F837" s="13">
        <v>6245.42</v>
      </c>
      <c r="G837" s="13">
        <v>23.3</v>
      </c>
      <c r="H837" s="13">
        <v>4790.3500000000004</v>
      </c>
      <c r="I837" s="13">
        <v>3.1</v>
      </c>
      <c r="J837" s="13">
        <v>28</v>
      </c>
      <c r="K837" s="13">
        <v>55</v>
      </c>
      <c r="L837" s="12" t="s">
        <v>2546</v>
      </c>
      <c r="M837" s="12">
        <v>4.3</v>
      </c>
      <c r="N837" s="14">
        <v>45912</v>
      </c>
      <c r="O837" s="13">
        <v>1</v>
      </c>
      <c r="P837" s="12" t="s">
        <v>40</v>
      </c>
      <c r="Q837" s="12" t="s">
        <v>55</v>
      </c>
      <c r="R837" s="12" t="s">
        <v>86</v>
      </c>
      <c r="S837" s="12" t="b">
        <v>0</v>
      </c>
      <c r="T837" s="12" t="s">
        <v>78</v>
      </c>
      <c r="U837" s="15">
        <f t="shared" si="52"/>
        <v>1455.1828599999999</v>
      </c>
      <c r="V837" s="15">
        <f t="shared" si="53"/>
        <v>2498.1680000000001</v>
      </c>
      <c r="W837" s="15">
        <f t="shared" si="54"/>
        <v>718.55250000000001</v>
      </c>
      <c r="X837" s="15">
        <f t="shared" si="55"/>
        <v>1573.6295</v>
      </c>
    </row>
    <row r="838" spans="1:24">
      <c r="A838" s="12" t="s">
        <v>2547</v>
      </c>
      <c r="B838" s="12" t="s">
        <v>2548</v>
      </c>
      <c r="C838" s="12" t="s">
        <v>50</v>
      </c>
      <c r="D838" s="12" t="s">
        <v>213</v>
      </c>
      <c r="E838" s="12" t="s">
        <v>28</v>
      </c>
      <c r="F838" s="13">
        <v>3728.11</v>
      </c>
      <c r="G838" s="13">
        <v>10.11</v>
      </c>
      <c r="H838" s="13">
        <v>3351.34</v>
      </c>
      <c r="I838" s="13">
        <v>4.7</v>
      </c>
      <c r="J838" s="13">
        <v>29</v>
      </c>
      <c r="K838" s="13">
        <v>181</v>
      </c>
      <c r="L838" s="12" t="s">
        <v>2549</v>
      </c>
      <c r="M838" s="12">
        <v>4.5</v>
      </c>
      <c r="N838" s="14">
        <v>45635</v>
      </c>
      <c r="O838" s="13">
        <v>4</v>
      </c>
      <c r="P838" s="12" t="s">
        <v>45</v>
      </c>
      <c r="Q838" s="12" t="s">
        <v>31</v>
      </c>
      <c r="R838" s="12" t="s">
        <v>32</v>
      </c>
      <c r="S838" s="12" t="b">
        <v>1</v>
      </c>
      <c r="T838" s="12" t="s">
        <v>33</v>
      </c>
      <c r="U838" s="15">
        <f t="shared" si="52"/>
        <v>376.91192100000001</v>
      </c>
      <c r="V838" s="15">
        <f t="shared" si="53"/>
        <v>1491.2439999999999</v>
      </c>
      <c r="W838" s="15">
        <f t="shared" si="54"/>
        <v>502.70100000000002</v>
      </c>
      <c r="X838" s="15">
        <f t="shared" si="55"/>
        <v>1357.395</v>
      </c>
    </row>
    <row r="839" spans="1:24">
      <c r="A839" s="12" t="s">
        <v>2550</v>
      </c>
      <c r="B839" s="12" t="s">
        <v>2551</v>
      </c>
      <c r="C839" s="12" t="s">
        <v>36</v>
      </c>
      <c r="D839" s="12" t="s">
        <v>43</v>
      </c>
      <c r="E839" s="12" t="s">
        <v>84</v>
      </c>
      <c r="F839" s="13">
        <v>9674.09</v>
      </c>
      <c r="G839" s="13">
        <v>43.83</v>
      </c>
      <c r="H839" s="13">
        <v>5433.98</v>
      </c>
      <c r="I839" s="13">
        <v>5</v>
      </c>
      <c r="J839" s="13">
        <v>14</v>
      </c>
      <c r="K839" s="13">
        <v>431</v>
      </c>
      <c r="L839" s="12" t="s">
        <v>2552</v>
      </c>
      <c r="M839" s="12">
        <v>4.7</v>
      </c>
      <c r="N839" s="14">
        <v>45833</v>
      </c>
      <c r="O839" s="13">
        <v>3</v>
      </c>
      <c r="P839" s="12" t="s">
        <v>117</v>
      </c>
      <c r="Q839" s="12" t="s">
        <v>46</v>
      </c>
      <c r="R839" s="12" t="s">
        <v>32</v>
      </c>
      <c r="S839" s="12" t="b">
        <v>0</v>
      </c>
      <c r="T839" s="12" t="s">
        <v>56</v>
      </c>
      <c r="U839" s="15">
        <f t="shared" si="52"/>
        <v>4240.1536470000001</v>
      </c>
      <c r="V839" s="15">
        <f t="shared" si="53"/>
        <v>3869.636</v>
      </c>
      <c r="W839" s="15">
        <f t="shared" si="54"/>
        <v>815.09699999999998</v>
      </c>
      <c r="X839" s="15">
        <f t="shared" si="55"/>
        <v>749.24699999999905</v>
      </c>
    </row>
    <row r="840" spans="1:24">
      <c r="A840" s="12" t="s">
        <v>2553</v>
      </c>
      <c r="B840" s="12" t="s">
        <v>2554</v>
      </c>
      <c r="C840" s="12" t="s">
        <v>59</v>
      </c>
      <c r="D840" s="12" t="s">
        <v>170</v>
      </c>
      <c r="E840" s="12" t="s">
        <v>65</v>
      </c>
      <c r="F840" s="13">
        <v>6712.46</v>
      </c>
      <c r="G840" s="13">
        <v>29.07</v>
      </c>
      <c r="H840" s="13">
        <v>4761.2</v>
      </c>
      <c r="I840" s="13">
        <v>3.7</v>
      </c>
      <c r="J840" s="13">
        <v>3</v>
      </c>
      <c r="K840" s="13">
        <v>230</v>
      </c>
      <c r="L840" s="12" t="s">
        <v>2555</v>
      </c>
      <c r="M840" s="12">
        <v>5</v>
      </c>
      <c r="N840" s="14">
        <v>45981</v>
      </c>
      <c r="O840" s="13">
        <v>5</v>
      </c>
      <c r="P840" s="12" t="s">
        <v>117</v>
      </c>
      <c r="Q840" s="12" t="s">
        <v>55</v>
      </c>
      <c r="R840" s="12" t="s">
        <v>47</v>
      </c>
      <c r="S840" s="12" t="b">
        <v>0</v>
      </c>
      <c r="T840" s="12" t="s">
        <v>78</v>
      </c>
      <c r="U840" s="15">
        <f t="shared" si="52"/>
        <v>1951.312122</v>
      </c>
      <c r="V840" s="15">
        <f t="shared" si="53"/>
        <v>2684.9839999999999</v>
      </c>
      <c r="W840" s="15">
        <f t="shared" si="54"/>
        <v>714.18</v>
      </c>
      <c r="X840" s="15">
        <f t="shared" si="55"/>
        <v>1362.0360000000001</v>
      </c>
    </row>
    <row r="841" spans="1:24">
      <c r="A841" s="12" t="s">
        <v>2556</v>
      </c>
      <c r="B841" s="12" t="s">
        <v>2557</v>
      </c>
      <c r="C841" s="12" t="s">
        <v>75</v>
      </c>
      <c r="D841" s="12" t="s">
        <v>135</v>
      </c>
      <c r="E841" s="12" t="s">
        <v>28</v>
      </c>
      <c r="F841" s="13">
        <v>3771.41</v>
      </c>
      <c r="G841" s="13">
        <v>37.630000000000003</v>
      </c>
      <c r="H841" s="13">
        <v>2352.08</v>
      </c>
      <c r="I841" s="13">
        <v>3.6</v>
      </c>
      <c r="J841" s="13">
        <v>19</v>
      </c>
      <c r="K841" s="13">
        <v>54</v>
      </c>
      <c r="L841" s="12" t="s">
        <v>2558</v>
      </c>
      <c r="M841" s="12">
        <v>4.5999999999999996</v>
      </c>
      <c r="N841" s="14">
        <v>45858</v>
      </c>
      <c r="O841" s="13">
        <v>2</v>
      </c>
      <c r="P841" s="12" t="s">
        <v>45</v>
      </c>
      <c r="Q841" s="12" t="s">
        <v>31</v>
      </c>
      <c r="R841" s="12" t="s">
        <v>32</v>
      </c>
      <c r="S841" s="12" t="b">
        <v>0</v>
      </c>
      <c r="T841" s="12" t="s">
        <v>78</v>
      </c>
      <c r="U841" s="15">
        <f t="shared" si="52"/>
        <v>1419.181583</v>
      </c>
      <c r="V841" s="15">
        <f t="shared" si="53"/>
        <v>1508.5640000000001</v>
      </c>
      <c r="W841" s="15">
        <f t="shared" si="54"/>
        <v>352.81200000000001</v>
      </c>
      <c r="X841" s="15">
        <f t="shared" si="55"/>
        <v>490.70400000000001</v>
      </c>
    </row>
    <row r="842" spans="1:24">
      <c r="A842" s="12" t="s">
        <v>2559</v>
      </c>
      <c r="B842" s="12" t="s">
        <v>2560</v>
      </c>
      <c r="C842" s="12" t="s">
        <v>50</v>
      </c>
      <c r="D842" s="12" t="s">
        <v>130</v>
      </c>
      <c r="E842" s="12" t="s">
        <v>38</v>
      </c>
      <c r="F842" s="13">
        <v>660.83</v>
      </c>
      <c r="G842" s="13">
        <v>7.44</v>
      </c>
      <c r="H842" s="13">
        <v>611.65</v>
      </c>
      <c r="I842" s="13">
        <v>3.4</v>
      </c>
      <c r="J842" s="13">
        <v>24</v>
      </c>
      <c r="K842" s="13">
        <v>235</v>
      </c>
      <c r="L842" s="12" t="s">
        <v>2561</v>
      </c>
      <c r="M842" s="12">
        <v>4.4000000000000004</v>
      </c>
      <c r="N842" s="14">
        <v>45496</v>
      </c>
      <c r="O842" s="13">
        <v>5</v>
      </c>
      <c r="P842" s="12" t="s">
        <v>54</v>
      </c>
      <c r="Q842" s="12" t="s">
        <v>31</v>
      </c>
      <c r="R842" s="12" t="s">
        <v>86</v>
      </c>
      <c r="S842" s="12" t="b">
        <v>0</v>
      </c>
      <c r="T842" s="12" t="s">
        <v>56</v>
      </c>
      <c r="U842" s="15">
        <f t="shared" si="52"/>
        <v>49.165751999999998</v>
      </c>
      <c r="V842" s="15">
        <f t="shared" si="53"/>
        <v>264.33199999999999</v>
      </c>
      <c r="W842" s="15">
        <f t="shared" si="54"/>
        <v>91.747500000000002</v>
      </c>
      <c r="X842" s="15">
        <f t="shared" si="55"/>
        <v>255.57050000000001</v>
      </c>
    </row>
    <row r="843" spans="1:24">
      <c r="A843" s="12" t="s">
        <v>2562</v>
      </c>
      <c r="B843" s="12" t="s">
        <v>2563</v>
      </c>
      <c r="C843" s="12" t="s">
        <v>36</v>
      </c>
      <c r="D843" s="12" t="s">
        <v>108</v>
      </c>
      <c r="E843" s="12" t="s">
        <v>112</v>
      </c>
      <c r="F843" s="13">
        <v>4333.8599999999997</v>
      </c>
      <c r="G843" s="13">
        <v>28.74</v>
      </c>
      <c r="H843" s="13">
        <v>3088.17</v>
      </c>
      <c r="I843" s="13">
        <v>4.2</v>
      </c>
      <c r="J843" s="13">
        <v>20</v>
      </c>
      <c r="K843" s="13">
        <v>44</v>
      </c>
      <c r="L843" s="12" t="s">
        <v>2564</v>
      </c>
      <c r="M843" s="12">
        <v>3.5</v>
      </c>
      <c r="N843" s="14">
        <v>46057</v>
      </c>
      <c r="O843" s="13">
        <v>2</v>
      </c>
      <c r="P843" s="12" t="s">
        <v>117</v>
      </c>
      <c r="Q843" s="12" t="s">
        <v>46</v>
      </c>
      <c r="R843" s="12" t="s">
        <v>32</v>
      </c>
      <c r="S843" s="12" t="b">
        <v>0</v>
      </c>
      <c r="T843" s="12" t="s">
        <v>78</v>
      </c>
      <c r="U843" s="15">
        <f t="shared" si="52"/>
        <v>1245.5513639999999</v>
      </c>
      <c r="V843" s="15">
        <f t="shared" si="53"/>
        <v>1733.5440000000001</v>
      </c>
      <c r="W843" s="15">
        <f t="shared" si="54"/>
        <v>463.22550000000001</v>
      </c>
      <c r="X843" s="15">
        <f t="shared" si="55"/>
        <v>891.40049999999997</v>
      </c>
    </row>
    <row r="844" spans="1:24">
      <c r="A844" s="12" t="s">
        <v>2565</v>
      </c>
      <c r="B844" s="12" t="s">
        <v>2566</v>
      </c>
      <c r="C844" s="12" t="s">
        <v>26</v>
      </c>
      <c r="D844" s="12" t="s">
        <v>27</v>
      </c>
      <c r="E844" s="12" t="s">
        <v>28</v>
      </c>
      <c r="F844" s="13">
        <v>76180.97</v>
      </c>
      <c r="G844" s="13">
        <v>34</v>
      </c>
      <c r="H844" s="13">
        <v>50276.89</v>
      </c>
      <c r="I844" s="13">
        <v>4.3</v>
      </c>
      <c r="J844" s="13">
        <v>32</v>
      </c>
      <c r="K844" s="13">
        <v>246</v>
      </c>
      <c r="L844" s="12" t="s">
        <v>1855</v>
      </c>
      <c r="M844" s="12">
        <v>5</v>
      </c>
      <c r="N844" s="14">
        <v>45467</v>
      </c>
      <c r="O844" s="13">
        <v>1</v>
      </c>
      <c r="P844" s="12" t="s">
        <v>54</v>
      </c>
      <c r="Q844" s="12" t="s">
        <v>31</v>
      </c>
      <c r="R844" s="12" t="s">
        <v>47</v>
      </c>
      <c r="S844" s="12" t="b">
        <v>0</v>
      </c>
      <c r="T844" s="12" t="s">
        <v>56</v>
      </c>
      <c r="U844" s="15">
        <f t="shared" si="52"/>
        <v>25901.5298</v>
      </c>
      <c r="V844" s="15">
        <f t="shared" si="53"/>
        <v>30472.387999999999</v>
      </c>
      <c r="W844" s="15">
        <f t="shared" si="54"/>
        <v>7541.5334999999995</v>
      </c>
      <c r="X844" s="15">
        <f t="shared" si="55"/>
        <v>12262.968500000001</v>
      </c>
    </row>
    <row r="845" spans="1:24">
      <c r="A845" s="12" t="s">
        <v>2567</v>
      </c>
      <c r="B845" s="12" t="s">
        <v>2568</v>
      </c>
      <c r="C845" s="12" t="s">
        <v>36</v>
      </c>
      <c r="D845" s="12" t="s">
        <v>43</v>
      </c>
      <c r="E845" s="12" t="s">
        <v>84</v>
      </c>
      <c r="F845" s="13">
        <v>2655.75</v>
      </c>
      <c r="G845" s="13">
        <v>25.53</v>
      </c>
      <c r="H845" s="13">
        <v>1977.63</v>
      </c>
      <c r="I845" s="13">
        <v>4.5999999999999996</v>
      </c>
      <c r="J845" s="13">
        <v>9</v>
      </c>
      <c r="K845" s="13">
        <v>75</v>
      </c>
      <c r="L845" s="12" t="s">
        <v>1478</v>
      </c>
      <c r="M845" s="12">
        <v>2.6</v>
      </c>
      <c r="N845" s="14">
        <v>46097</v>
      </c>
      <c r="O845" s="13">
        <v>6</v>
      </c>
      <c r="P845" s="12" t="s">
        <v>30</v>
      </c>
      <c r="Q845" s="12" t="s">
        <v>55</v>
      </c>
      <c r="R845" s="12" t="s">
        <v>32</v>
      </c>
      <c r="S845" s="12" t="b">
        <v>0</v>
      </c>
      <c r="T845" s="12" t="s">
        <v>78</v>
      </c>
      <c r="U845" s="15">
        <f t="shared" si="52"/>
        <v>678.01297499999998</v>
      </c>
      <c r="V845" s="15">
        <f t="shared" si="53"/>
        <v>1062.3</v>
      </c>
      <c r="W845" s="15">
        <f t="shared" si="54"/>
        <v>296.64449999999999</v>
      </c>
      <c r="X845" s="15">
        <f t="shared" si="55"/>
        <v>618.68550000000005</v>
      </c>
    </row>
    <row r="846" spans="1:24">
      <c r="A846" s="12" t="s">
        <v>2569</v>
      </c>
      <c r="B846" s="12" t="s">
        <v>2570</v>
      </c>
      <c r="C846" s="12" t="s">
        <v>75</v>
      </c>
      <c r="D846" s="12" t="s">
        <v>135</v>
      </c>
      <c r="E846" s="12" t="s">
        <v>28</v>
      </c>
      <c r="F846" s="13">
        <v>3722.28</v>
      </c>
      <c r="G846" s="13">
        <v>47.57</v>
      </c>
      <c r="H846" s="13">
        <v>1951.42</v>
      </c>
      <c r="I846" s="13">
        <v>3.7</v>
      </c>
      <c r="J846" s="13">
        <v>13</v>
      </c>
      <c r="K846" s="13">
        <v>10</v>
      </c>
      <c r="L846" s="12" t="s">
        <v>2571</v>
      </c>
      <c r="M846" s="12">
        <v>4.2</v>
      </c>
      <c r="N846" s="14">
        <v>45401</v>
      </c>
      <c r="O846" s="13">
        <v>4</v>
      </c>
      <c r="P846" s="12" t="s">
        <v>117</v>
      </c>
      <c r="Q846" s="12" t="s">
        <v>31</v>
      </c>
      <c r="R846" s="12" t="s">
        <v>47</v>
      </c>
      <c r="S846" s="12" t="b">
        <v>1</v>
      </c>
      <c r="T846" s="12" t="s">
        <v>33</v>
      </c>
      <c r="U846" s="15">
        <f t="shared" si="52"/>
        <v>1770.688596</v>
      </c>
      <c r="V846" s="15">
        <f t="shared" si="53"/>
        <v>1488.912</v>
      </c>
      <c r="W846" s="15">
        <f t="shared" si="54"/>
        <v>292.71300000000002</v>
      </c>
      <c r="X846" s="15">
        <f t="shared" si="55"/>
        <v>169.79499999999999</v>
      </c>
    </row>
    <row r="847" spans="1:24">
      <c r="A847" s="12" t="s">
        <v>2572</v>
      </c>
      <c r="B847" s="12" t="s">
        <v>2573</v>
      </c>
      <c r="C847" s="12" t="s">
        <v>75</v>
      </c>
      <c r="D847" s="12" t="s">
        <v>104</v>
      </c>
      <c r="E847" s="12" t="s">
        <v>65</v>
      </c>
      <c r="F847" s="13">
        <v>1871.96</v>
      </c>
      <c r="G847" s="13">
        <v>36.89</v>
      </c>
      <c r="H847" s="13">
        <v>1181.33</v>
      </c>
      <c r="I847" s="13">
        <v>2.9</v>
      </c>
      <c r="J847" s="13">
        <v>2</v>
      </c>
      <c r="K847" s="13">
        <v>4</v>
      </c>
      <c r="L847" s="12" t="s">
        <v>2574</v>
      </c>
      <c r="M847" s="12">
        <v>4.8</v>
      </c>
      <c r="N847" s="14">
        <v>45423</v>
      </c>
      <c r="O847" s="13">
        <v>1</v>
      </c>
      <c r="P847" s="12" t="s">
        <v>117</v>
      </c>
      <c r="Q847" s="12" t="s">
        <v>31</v>
      </c>
      <c r="R847" s="12" t="s">
        <v>86</v>
      </c>
      <c r="S847" s="12" t="b">
        <v>0</v>
      </c>
      <c r="T847" s="12" t="s">
        <v>56</v>
      </c>
      <c r="U847" s="15">
        <f t="shared" si="52"/>
        <v>690.56604400000003</v>
      </c>
      <c r="V847" s="15">
        <f t="shared" si="53"/>
        <v>748.78399999999999</v>
      </c>
      <c r="W847" s="15">
        <f t="shared" si="54"/>
        <v>177.1995</v>
      </c>
      <c r="X847" s="15">
        <f t="shared" si="55"/>
        <v>255.34649999999999</v>
      </c>
    </row>
    <row r="848" spans="1:24">
      <c r="A848" s="12" t="s">
        <v>2575</v>
      </c>
      <c r="B848" s="12" t="s">
        <v>2576</v>
      </c>
      <c r="C848" s="12" t="s">
        <v>50</v>
      </c>
      <c r="D848" s="12" t="s">
        <v>213</v>
      </c>
      <c r="E848" s="12" t="s">
        <v>65</v>
      </c>
      <c r="F848" s="13">
        <v>2432.17</v>
      </c>
      <c r="G848" s="13">
        <v>44.78</v>
      </c>
      <c r="H848" s="13">
        <v>1343.05</v>
      </c>
      <c r="I848" s="13">
        <v>3.6</v>
      </c>
      <c r="J848" s="13">
        <v>37</v>
      </c>
      <c r="K848" s="13">
        <v>148</v>
      </c>
      <c r="L848" s="12" t="s">
        <v>2577</v>
      </c>
      <c r="M848" s="12">
        <v>4.2</v>
      </c>
      <c r="N848" s="14">
        <v>45659</v>
      </c>
      <c r="O848" s="13">
        <v>5</v>
      </c>
      <c r="P848" s="12" t="s">
        <v>45</v>
      </c>
      <c r="Q848" s="12" t="s">
        <v>55</v>
      </c>
      <c r="R848" s="12" t="s">
        <v>86</v>
      </c>
      <c r="S848" s="12" t="b">
        <v>0</v>
      </c>
      <c r="T848" s="12" t="s">
        <v>56</v>
      </c>
      <c r="U848" s="15">
        <f t="shared" si="52"/>
        <v>1089.125726</v>
      </c>
      <c r="V848" s="15">
        <f t="shared" si="53"/>
        <v>972.86800000000005</v>
      </c>
      <c r="W848" s="15">
        <f t="shared" si="54"/>
        <v>201.45750000000001</v>
      </c>
      <c r="X848" s="15">
        <f t="shared" si="55"/>
        <v>168.72450000000001</v>
      </c>
    </row>
    <row r="849" spans="1:24">
      <c r="A849" s="12" t="s">
        <v>2578</v>
      </c>
      <c r="B849" s="12" t="s">
        <v>2579</v>
      </c>
      <c r="C849" s="12" t="s">
        <v>36</v>
      </c>
      <c r="D849" s="12" t="s">
        <v>108</v>
      </c>
      <c r="E849" s="12" t="s">
        <v>28</v>
      </c>
      <c r="F849" s="13">
        <v>1694.06</v>
      </c>
      <c r="G849" s="13">
        <v>5.12</v>
      </c>
      <c r="H849" s="13">
        <v>1607.3</v>
      </c>
      <c r="I849" s="13">
        <v>3.9</v>
      </c>
      <c r="J849" s="13">
        <v>1</v>
      </c>
      <c r="K849" s="13">
        <v>118</v>
      </c>
      <c r="L849" s="12" t="s">
        <v>2580</v>
      </c>
      <c r="M849" s="12">
        <v>2.6</v>
      </c>
      <c r="N849" s="14">
        <v>45749</v>
      </c>
      <c r="O849" s="13">
        <v>4</v>
      </c>
      <c r="P849" s="12" t="s">
        <v>45</v>
      </c>
      <c r="Q849" s="12" t="s">
        <v>31</v>
      </c>
      <c r="R849" s="12" t="s">
        <v>32</v>
      </c>
      <c r="S849" s="12" t="b">
        <v>0</v>
      </c>
      <c r="T849" s="12" t="s">
        <v>56</v>
      </c>
      <c r="U849" s="15">
        <f t="shared" si="52"/>
        <v>86.735872000000001</v>
      </c>
      <c r="V849" s="15">
        <f t="shared" si="53"/>
        <v>677.62400000000002</v>
      </c>
      <c r="W849" s="15">
        <f t="shared" si="54"/>
        <v>241.095</v>
      </c>
      <c r="X849" s="15">
        <f t="shared" si="55"/>
        <v>688.58100000000002</v>
      </c>
    </row>
    <row r="850" spans="1:24">
      <c r="A850" s="12" t="s">
        <v>2581</v>
      </c>
      <c r="B850" s="12" t="s">
        <v>2582</v>
      </c>
      <c r="C850" s="12" t="s">
        <v>36</v>
      </c>
      <c r="D850" s="12" t="s">
        <v>37</v>
      </c>
      <c r="E850" s="12" t="s">
        <v>131</v>
      </c>
      <c r="F850" s="13">
        <v>7682.11</v>
      </c>
      <c r="G850" s="13">
        <v>24.25</v>
      </c>
      <c r="H850" s="13">
        <v>5819.5</v>
      </c>
      <c r="I850" s="13">
        <v>4.7</v>
      </c>
      <c r="J850" s="13">
        <v>22</v>
      </c>
      <c r="K850" s="13">
        <v>213</v>
      </c>
      <c r="L850" s="12" t="s">
        <v>2583</v>
      </c>
      <c r="M850" s="12">
        <v>3.4</v>
      </c>
      <c r="N850" s="14">
        <v>45593</v>
      </c>
      <c r="O850" s="13">
        <v>5</v>
      </c>
      <c r="P850" s="12" t="s">
        <v>40</v>
      </c>
      <c r="Q850" s="12" t="s">
        <v>46</v>
      </c>
      <c r="R850" s="12" t="s">
        <v>86</v>
      </c>
      <c r="S850" s="12" t="b">
        <v>0</v>
      </c>
      <c r="T850" s="12" t="s">
        <v>62</v>
      </c>
      <c r="U850" s="15">
        <f t="shared" si="52"/>
        <v>1862.9116750000001</v>
      </c>
      <c r="V850" s="15">
        <f t="shared" si="53"/>
        <v>3072.8440000000001</v>
      </c>
      <c r="W850" s="15">
        <f t="shared" si="54"/>
        <v>872.92499999999995</v>
      </c>
      <c r="X850" s="15">
        <f t="shared" si="55"/>
        <v>1873.731</v>
      </c>
    </row>
    <row r="851" spans="1:24">
      <c r="A851" s="12" t="s">
        <v>2584</v>
      </c>
      <c r="B851" s="12" t="s">
        <v>2585</v>
      </c>
      <c r="C851" s="12" t="s">
        <v>59</v>
      </c>
      <c r="D851" s="12" t="s">
        <v>170</v>
      </c>
      <c r="E851" s="12" t="s">
        <v>28</v>
      </c>
      <c r="F851" s="13">
        <v>12570.98</v>
      </c>
      <c r="G851" s="13">
        <v>29.5</v>
      </c>
      <c r="H851" s="13">
        <v>8862.0499999999993</v>
      </c>
      <c r="I851" s="13">
        <v>3.5</v>
      </c>
      <c r="J851" s="13">
        <v>21</v>
      </c>
      <c r="K851" s="13">
        <v>147</v>
      </c>
      <c r="L851" s="12" t="s">
        <v>2586</v>
      </c>
      <c r="M851" s="12">
        <v>3</v>
      </c>
      <c r="N851" s="14">
        <v>45880</v>
      </c>
      <c r="O851" s="13">
        <v>1</v>
      </c>
      <c r="P851" s="12" t="s">
        <v>117</v>
      </c>
      <c r="Q851" s="12" t="s">
        <v>55</v>
      </c>
      <c r="R851" s="12" t="s">
        <v>72</v>
      </c>
      <c r="S851" s="12" t="b">
        <v>0</v>
      </c>
      <c r="T851" s="12" t="s">
        <v>56</v>
      </c>
      <c r="U851" s="15">
        <f t="shared" si="52"/>
        <v>3708.4391000000001</v>
      </c>
      <c r="V851" s="15">
        <f t="shared" si="53"/>
        <v>5028.3919999999998</v>
      </c>
      <c r="W851" s="15">
        <f t="shared" si="54"/>
        <v>1329.3074999999999</v>
      </c>
      <c r="X851" s="15">
        <f t="shared" si="55"/>
        <v>2504.3505</v>
      </c>
    </row>
    <row r="852" spans="1:24">
      <c r="A852" s="12" t="s">
        <v>2587</v>
      </c>
      <c r="B852" s="12" t="s">
        <v>2588</v>
      </c>
      <c r="C852" s="12" t="s">
        <v>75</v>
      </c>
      <c r="D852" s="12" t="s">
        <v>76</v>
      </c>
      <c r="E852" s="12" t="s">
        <v>70</v>
      </c>
      <c r="F852" s="13">
        <v>3741.45</v>
      </c>
      <c r="G852" s="13">
        <v>46.62</v>
      </c>
      <c r="H852" s="13">
        <v>1997.05</v>
      </c>
      <c r="I852" s="13">
        <v>3.9</v>
      </c>
      <c r="J852" s="13">
        <v>31</v>
      </c>
      <c r="K852" s="13">
        <v>471</v>
      </c>
      <c r="L852" s="12" t="s">
        <v>2589</v>
      </c>
      <c r="M852" s="12">
        <v>3.7</v>
      </c>
      <c r="N852" s="14">
        <v>46060</v>
      </c>
      <c r="O852" s="13">
        <v>5</v>
      </c>
      <c r="P852" s="12" t="s">
        <v>45</v>
      </c>
      <c r="Q852" s="12" t="s">
        <v>46</v>
      </c>
      <c r="R852" s="12" t="s">
        <v>72</v>
      </c>
      <c r="S852" s="12" t="b">
        <v>0</v>
      </c>
      <c r="T852" s="12" t="s">
        <v>62</v>
      </c>
      <c r="U852" s="15">
        <f t="shared" si="52"/>
        <v>1744.2639899999999</v>
      </c>
      <c r="V852" s="15">
        <f t="shared" si="53"/>
        <v>1496.58</v>
      </c>
      <c r="W852" s="15">
        <f t="shared" si="54"/>
        <v>299.5575</v>
      </c>
      <c r="X852" s="15">
        <f t="shared" si="55"/>
        <v>200.91249999999999</v>
      </c>
    </row>
    <row r="853" spans="1:24">
      <c r="A853" s="12" t="s">
        <v>2590</v>
      </c>
      <c r="B853" s="12" t="s">
        <v>2591</v>
      </c>
      <c r="C853" s="12" t="s">
        <v>50</v>
      </c>
      <c r="D853" s="12" t="s">
        <v>51</v>
      </c>
      <c r="E853" s="12" t="s">
        <v>100</v>
      </c>
      <c r="F853" s="13">
        <v>3701.25</v>
      </c>
      <c r="G853" s="13">
        <v>12.01</v>
      </c>
      <c r="H853" s="13">
        <v>3256.9</v>
      </c>
      <c r="I853" s="13">
        <v>3.5</v>
      </c>
      <c r="J853" s="13">
        <v>9</v>
      </c>
      <c r="K853" s="13">
        <v>409</v>
      </c>
      <c r="L853" s="12" t="s">
        <v>2592</v>
      </c>
      <c r="M853" s="12">
        <v>4.0999999999999996</v>
      </c>
      <c r="N853" s="14">
        <v>45857</v>
      </c>
      <c r="O853" s="13">
        <v>1</v>
      </c>
      <c r="P853" s="12" t="s">
        <v>30</v>
      </c>
      <c r="Q853" s="12" t="s">
        <v>31</v>
      </c>
      <c r="R853" s="12" t="s">
        <v>47</v>
      </c>
      <c r="S853" s="12" t="b">
        <v>0</v>
      </c>
      <c r="T853" s="12" t="s">
        <v>56</v>
      </c>
      <c r="U853" s="15">
        <f t="shared" si="52"/>
        <v>444.52012500000001</v>
      </c>
      <c r="V853" s="15">
        <f t="shared" si="53"/>
        <v>1480.5</v>
      </c>
      <c r="W853" s="15">
        <f t="shared" si="54"/>
        <v>488.53500000000003</v>
      </c>
      <c r="X853" s="15">
        <f t="shared" si="55"/>
        <v>1287.865</v>
      </c>
    </row>
    <row r="854" spans="1:24">
      <c r="A854" s="12" t="s">
        <v>2593</v>
      </c>
      <c r="B854" s="12" t="s">
        <v>2594</v>
      </c>
      <c r="C854" s="12" t="s">
        <v>26</v>
      </c>
      <c r="D854" s="12" t="s">
        <v>148</v>
      </c>
      <c r="E854" s="12" t="s">
        <v>92</v>
      </c>
      <c r="F854" s="13">
        <v>63085.81</v>
      </c>
      <c r="G854" s="13">
        <v>17.18</v>
      </c>
      <c r="H854" s="13">
        <v>52248.36</v>
      </c>
      <c r="I854" s="13">
        <v>3.4</v>
      </c>
      <c r="J854" s="13">
        <v>13</v>
      </c>
      <c r="K854" s="13">
        <v>310</v>
      </c>
      <c r="L854" s="12" t="s">
        <v>2595</v>
      </c>
      <c r="M854" s="12">
        <v>2.6</v>
      </c>
      <c r="N854" s="14">
        <v>46095</v>
      </c>
      <c r="O854" s="13">
        <v>4</v>
      </c>
      <c r="P854" s="12" t="s">
        <v>54</v>
      </c>
      <c r="Q854" s="12" t="s">
        <v>46</v>
      </c>
      <c r="R854" s="12" t="s">
        <v>86</v>
      </c>
      <c r="S854" s="12" t="b">
        <v>0</v>
      </c>
      <c r="T854" s="12" t="s">
        <v>56</v>
      </c>
      <c r="U854" s="15">
        <f t="shared" si="52"/>
        <v>10838.142158000001</v>
      </c>
      <c r="V854" s="15">
        <f t="shared" si="53"/>
        <v>25234.324000000001</v>
      </c>
      <c r="W854" s="15">
        <f t="shared" si="54"/>
        <v>7837.2539999999999</v>
      </c>
      <c r="X854" s="15">
        <f t="shared" si="55"/>
        <v>19176.781999999999</v>
      </c>
    </row>
    <row r="855" spans="1:24">
      <c r="A855" s="12" t="s">
        <v>2596</v>
      </c>
      <c r="B855" s="12" t="s">
        <v>2597</v>
      </c>
      <c r="C855" s="12" t="s">
        <v>59</v>
      </c>
      <c r="D855" s="12" t="s">
        <v>69</v>
      </c>
      <c r="E855" s="12" t="s">
        <v>70</v>
      </c>
      <c r="F855" s="13">
        <v>3197.83</v>
      </c>
      <c r="G855" s="13">
        <v>33.69</v>
      </c>
      <c r="H855" s="13">
        <v>2120.56</v>
      </c>
      <c r="I855" s="13">
        <v>4.4000000000000004</v>
      </c>
      <c r="J855" s="13">
        <v>32</v>
      </c>
      <c r="K855" s="13">
        <v>183</v>
      </c>
      <c r="L855" s="12" t="s">
        <v>2598</v>
      </c>
      <c r="M855" s="12">
        <v>3.8</v>
      </c>
      <c r="N855" s="14">
        <v>45836</v>
      </c>
      <c r="O855" s="13">
        <v>2</v>
      </c>
      <c r="P855" s="12" t="s">
        <v>45</v>
      </c>
      <c r="Q855" s="12" t="s">
        <v>55</v>
      </c>
      <c r="R855" s="12" t="s">
        <v>47</v>
      </c>
      <c r="S855" s="12" t="b">
        <v>0</v>
      </c>
      <c r="T855" s="12" t="s">
        <v>78</v>
      </c>
      <c r="U855" s="15">
        <f t="shared" si="52"/>
        <v>1077.348927</v>
      </c>
      <c r="V855" s="15">
        <f t="shared" si="53"/>
        <v>1279.1320000000001</v>
      </c>
      <c r="W855" s="15">
        <f t="shared" si="54"/>
        <v>318.084</v>
      </c>
      <c r="X855" s="15">
        <f t="shared" si="55"/>
        <v>523.34400000000005</v>
      </c>
    </row>
    <row r="856" spans="1:24">
      <c r="A856" s="12" t="s">
        <v>2599</v>
      </c>
      <c r="B856" s="12" t="s">
        <v>2600</v>
      </c>
      <c r="C856" s="12" t="s">
        <v>36</v>
      </c>
      <c r="D856" s="12" t="s">
        <v>43</v>
      </c>
      <c r="E856" s="12" t="s">
        <v>84</v>
      </c>
      <c r="F856" s="13">
        <v>4107.84</v>
      </c>
      <c r="G856" s="13">
        <v>34.76</v>
      </c>
      <c r="H856" s="13">
        <v>2680.14</v>
      </c>
      <c r="I856" s="13">
        <v>4.4000000000000004</v>
      </c>
      <c r="J856" s="13">
        <v>16</v>
      </c>
      <c r="K856" s="13">
        <v>316</v>
      </c>
      <c r="L856" s="12" t="s">
        <v>2601</v>
      </c>
      <c r="M856" s="12">
        <v>3.5</v>
      </c>
      <c r="N856" s="14">
        <v>46060</v>
      </c>
      <c r="O856" s="13">
        <v>1</v>
      </c>
      <c r="P856" s="12" t="s">
        <v>30</v>
      </c>
      <c r="Q856" s="12" t="s">
        <v>46</v>
      </c>
      <c r="R856" s="12" t="s">
        <v>47</v>
      </c>
      <c r="S856" s="12" t="b">
        <v>0</v>
      </c>
      <c r="T856" s="12" t="s">
        <v>56</v>
      </c>
      <c r="U856" s="15">
        <f t="shared" si="52"/>
        <v>1427.885184</v>
      </c>
      <c r="V856" s="15">
        <f t="shared" si="53"/>
        <v>1643.136</v>
      </c>
      <c r="W856" s="15">
        <f t="shared" si="54"/>
        <v>402.02100000000002</v>
      </c>
      <c r="X856" s="15">
        <f t="shared" si="55"/>
        <v>634.98299999999995</v>
      </c>
    </row>
    <row r="857" spans="1:24">
      <c r="A857" s="12" t="s">
        <v>2602</v>
      </c>
      <c r="B857" s="12" t="s">
        <v>2603</v>
      </c>
      <c r="C857" s="12" t="s">
        <v>59</v>
      </c>
      <c r="D857" s="12" t="s">
        <v>170</v>
      </c>
      <c r="E857" s="12" t="s">
        <v>112</v>
      </c>
      <c r="F857" s="13">
        <v>1975.35</v>
      </c>
      <c r="G857" s="13">
        <v>37.31</v>
      </c>
      <c r="H857" s="13">
        <v>1238.4000000000001</v>
      </c>
      <c r="I857" s="13">
        <v>3.5</v>
      </c>
      <c r="J857" s="13">
        <v>8</v>
      </c>
      <c r="K857" s="13">
        <v>136</v>
      </c>
      <c r="L857" s="12" t="s">
        <v>2604</v>
      </c>
      <c r="M857" s="12">
        <v>2.5</v>
      </c>
      <c r="N857" s="14">
        <v>46039</v>
      </c>
      <c r="O857" s="13">
        <v>5</v>
      </c>
      <c r="P857" s="12" t="s">
        <v>40</v>
      </c>
      <c r="Q857" s="12" t="s">
        <v>31</v>
      </c>
      <c r="R857" s="12" t="s">
        <v>32</v>
      </c>
      <c r="S857" s="12" t="b">
        <v>0</v>
      </c>
      <c r="T857" s="12" t="s">
        <v>62</v>
      </c>
      <c r="U857" s="15">
        <f t="shared" si="52"/>
        <v>737.00308500000006</v>
      </c>
      <c r="V857" s="15">
        <f t="shared" si="53"/>
        <v>790.14</v>
      </c>
      <c r="W857" s="15">
        <f t="shared" si="54"/>
        <v>185.76</v>
      </c>
      <c r="X857" s="15">
        <f t="shared" si="55"/>
        <v>262.5</v>
      </c>
    </row>
    <row r="858" spans="1:24">
      <c r="A858" s="12" t="s">
        <v>2605</v>
      </c>
      <c r="B858" s="12" t="s">
        <v>2606</v>
      </c>
      <c r="C858" s="12" t="s">
        <v>26</v>
      </c>
      <c r="D858" s="12" t="s">
        <v>148</v>
      </c>
      <c r="E858" s="12" t="s">
        <v>235</v>
      </c>
      <c r="F858" s="13">
        <v>16506.32</v>
      </c>
      <c r="G858" s="13">
        <v>31.85</v>
      </c>
      <c r="H858" s="13">
        <v>11248.91</v>
      </c>
      <c r="I858" s="13">
        <v>3.6</v>
      </c>
      <c r="J858" s="13">
        <v>144</v>
      </c>
      <c r="K858" s="13">
        <v>312</v>
      </c>
      <c r="L858" s="12" t="s">
        <v>1131</v>
      </c>
      <c r="M858" s="12">
        <v>3.5</v>
      </c>
      <c r="N858" s="14">
        <v>45505</v>
      </c>
      <c r="O858" s="13">
        <v>5</v>
      </c>
      <c r="P858" s="12" t="s">
        <v>40</v>
      </c>
      <c r="Q858" s="12" t="s">
        <v>31</v>
      </c>
      <c r="R858" s="12" t="s">
        <v>32</v>
      </c>
      <c r="S858" s="12" t="b">
        <v>0</v>
      </c>
      <c r="T858" s="12" t="s">
        <v>62</v>
      </c>
      <c r="U858" s="15">
        <f t="shared" si="52"/>
        <v>5257.2629200000001</v>
      </c>
      <c r="V858" s="15">
        <f t="shared" si="53"/>
        <v>6602.5280000000002</v>
      </c>
      <c r="W858" s="15">
        <f t="shared" si="54"/>
        <v>1687.3364999999999</v>
      </c>
      <c r="X858" s="15">
        <f t="shared" si="55"/>
        <v>2959.0455000000002</v>
      </c>
    </row>
    <row r="859" spans="1:24">
      <c r="A859" s="12" t="s">
        <v>2607</v>
      </c>
      <c r="B859" s="12" t="s">
        <v>2608</v>
      </c>
      <c r="C859" s="12" t="s">
        <v>26</v>
      </c>
      <c r="D859" s="12" t="s">
        <v>123</v>
      </c>
      <c r="E859" s="12" t="s">
        <v>100</v>
      </c>
      <c r="F859" s="13">
        <v>24719.32</v>
      </c>
      <c r="G859" s="13">
        <v>18.95</v>
      </c>
      <c r="H859" s="13">
        <v>20035.61</v>
      </c>
      <c r="I859" s="13">
        <v>4.5999999999999996</v>
      </c>
      <c r="J859" s="13">
        <v>39</v>
      </c>
      <c r="K859" s="13">
        <v>80</v>
      </c>
      <c r="L859" s="12" t="s">
        <v>2609</v>
      </c>
      <c r="M859" s="12">
        <v>3.1</v>
      </c>
      <c r="N859" s="14">
        <v>45947</v>
      </c>
      <c r="O859" s="13">
        <v>1</v>
      </c>
      <c r="P859" s="12" t="s">
        <v>40</v>
      </c>
      <c r="Q859" s="12" t="s">
        <v>31</v>
      </c>
      <c r="R859" s="12" t="s">
        <v>86</v>
      </c>
      <c r="S859" s="12" t="b">
        <v>1</v>
      </c>
      <c r="T859" s="12" t="s">
        <v>33</v>
      </c>
      <c r="U859" s="15">
        <f t="shared" si="52"/>
        <v>4684.3111399999998</v>
      </c>
      <c r="V859" s="15">
        <f t="shared" si="53"/>
        <v>9887.7279999999992</v>
      </c>
      <c r="W859" s="15">
        <f t="shared" si="54"/>
        <v>3005.3415</v>
      </c>
      <c r="X859" s="15">
        <f t="shared" si="55"/>
        <v>7142.5405000000001</v>
      </c>
    </row>
    <row r="860" spans="1:24">
      <c r="A860" s="12" t="s">
        <v>2610</v>
      </c>
      <c r="B860" s="12" t="s">
        <v>2611</v>
      </c>
      <c r="C860" s="12" t="s">
        <v>36</v>
      </c>
      <c r="D860" s="12" t="s">
        <v>37</v>
      </c>
      <c r="E860" s="12" t="s">
        <v>28</v>
      </c>
      <c r="F860" s="13">
        <v>7017.5</v>
      </c>
      <c r="G860" s="13">
        <v>48.74</v>
      </c>
      <c r="H860" s="13">
        <v>3597.41</v>
      </c>
      <c r="I860" s="13">
        <v>4.0999999999999996</v>
      </c>
      <c r="J860" s="13">
        <v>43</v>
      </c>
      <c r="K860" s="13">
        <v>186</v>
      </c>
      <c r="L860" s="12" t="s">
        <v>554</v>
      </c>
      <c r="M860" s="12">
        <v>4.3</v>
      </c>
      <c r="N860" s="14">
        <v>45471</v>
      </c>
      <c r="O860" s="13">
        <v>5</v>
      </c>
      <c r="P860" s="12" t="s">
        <v>40</v>
      </c>
      <c r="Q860" s="12" t="s">
        <v>46</v>
      </c>
      <c r="R860" s="12" t="s">
        <v>32</v>
      </c>
      <c r="S860" s="12" t="b">
        <v>0</v>
      </c>
      <c r="T860" s="12" t="s">
        <v>78</v>
      </c>
      <c r="U860" s="15">
        <f t="shared" si="52"/>
        <v>3420.3294999999998</v>
      </c>
      <c r="V860" s="15">
        <f t="shared" si="53"/>
        <v>2807</v>
      </c>
      <c r="W860" s="15">
        <f t="shared" si="54"/>
        <v>539.61149999999998</v>
      </c>
      <c r="X860" s="15">
        <f t="shared" si="55"/>
        <v>250.79849999999999</v>
      </c>
    </row>
    <row r="861" spans="1:24">
      <c r="A861" s="12" t="s">
        <v>2612</v>
      </c>
      <c r="B861" s="12" t="s">
        <v>2613</v>
      </c>
      <c r="C861" s="12" t="s">
        <v>50</v>
      </c>
      <c r="D861" s="12" t="s">
        <v>51</v>
      </c>
      <c r="E861" s="12" t="s">
        <v>38</v>
      </c>
      <c r="F861" s="13">
        <v>2070.36</v>
      </c>
      <c r="G861" s="13">
        <v>22.39</v>
      </c>
      <c r="H861" s="13">
        <v>1606.81</v>
      </c>
      <c r="I861" s="13">
        <v>4.3</v>
      </c>
      <c r="J861" s="13">
        <v>3</v>
      </c>
      <c r="K861" s="13">
        <v>174</v>
      </c>
      <c r="L861" s="12" t="s">
        <v>2614</v>
      </c>
      <c r="M861" s="12">
        <v>5</v>
      </c>
      <c r="N861" s="14">
        <v>45497</v>
      </c>
      <c r="O861" s="13">
        <v>5</v>
      </c>
      <c r="P861" s="12" t="s">
        <v>54</v>
      </c>
      <c r="Q861" s="12" t="s">
        <v>31</v>
      </c>
      <c r="R861" s="12" t="s">
        <v>47</v>
      </c>
      <c r="S861" s="12" t="b">
        <v>0</v>
      </c>
      <c r="T861" s="12" t="s">
        <v>78</v>
      </c>
      <c r="U861" s="15">
        <f t="shared" si="52"/>
        <v>463.55360400000001</v>
      </c>
      <c r="V861" s="15">
        <f t="shared" si="53"/>
        <v>828.14400000000001</v>
      </c>
      <c r="W861" s="15">
        <f t="shared" si="54"/>
        <v>241.0215</v>
      </c>
      <c r="X861" s="15">
        <f t="shared" si="55"/>
        <v>537.64449999999999</v>
      </c>
    </row>
    <row r="862" spans="1:24">
      <c r="A862" s="12" t="s">
        <v>2615</v>
      </c>
      <c r="B862" s="12" t="s">
        <v>2616</v>
      </c>
      <c r="C862" s="12" t="s">
        <v>59</v>
      </c>
      <c r="D862" s="12" t="s">
        <v>170</v>
      </c>
      <c r="E862" s="12" t="s">
        <v>28</v>
      </c>
      <c r="F862" s="13">
        <v>14079.1</v>
      </c>
      <c r="G862" s="13">
        <v>17.399999999999999</v>
      </c>
      <c r="H862" s="13">
        <v>11629.33</v>
      </c>
      <c r="I862" s="13">
        <v>4.5999999999999996</v>
      </c>
      <c r="J862" s="13">
        <v>30</v>
      </c>
      <c r="K862" s="13">
        <v>340</v>
      </c>
      <c r="L862" s="12" t="s">
        <v>2617</v>
      </c>
      <c r="M862" s="12">
        <v>3.8</v>
      </c>
      <c r="N862" s="14">
        <v>46036</v>
      </c>
      <c r="O862" s="13">
        <v>3</v>
      </c>
      <c r="P862" s="12" t="s">
        <v>117</v>
      </c>
      <c r="Q862" s="12" t="s">
        <v>46</v>
      </c>
      <c r="R862" s="12" t="s">
        <v>86</v>
      </c>
      <c r="S862" s="12" t="b">
        <v>0</v>
      </c>
      <c r="T862" s="12" t="s">
        <v>78</v>
      </c>
      <c r="U862" s="15">
        <f t="shared" si="52"/>
        <v>2449.7633999999998</v>
      </c>
      <c r="V862" s="15">
        <f t="shared" si="53"/>
        <v>5631.64</v>
      </c>
      <c r="W862" s="15">
        <f t="shared" si="54"/>
        <v>1744.3995</v>
      </c>
      <c r="X862" s="15">
        <f t="shared" si="55"/>
        <v>4253.2905000000001</v>
      </c>
    </row>
    <row r="863" spans="1:24">
      <c r="A863" s="12" t="s">
        <v>2618</v>
      </c>
      <c r="B863" s="12" t="s">
        <v>2619</v>
      </c>
      <c r="C863" s="12" t="s">
        <v>75</v>
      </c>
      <c r="D863" s="12" t="s">
        <v>104</v>
      </c>
      <c r="E863" s="12" t="s">
        <v>96</v>
      </c>
      <c r="F863" s="13">
        <v>1094.73</v>
      </c>
      <c r="G863" s="13">
        <v>41.85</v>
      </c>
      <c r="H863" s="13">
        <v>636.64</v>
      </c>
      <c r="I863" s="13">
        <v>3.2</v>
      </c>
      <c r="J863" s="13">
        <v>29</v>
      </c>
      <c r="K863" s="13">
        <v>406</v>
      </c>
      <c r="L863" s="12" t="s">
        <v>2620</v>
      </c>
      <c r="M863" s="12">
        <v>3.1</v>
      </c>
      <c r="N863" s="14">
        <v>45523</v>
      </c>
      <c r="O863" s="13">
        <v>1</v>
      </c>
      <c r="P863" s="12" t="s">
        <v>117</v>
      </c>
      <c r="Q863" s="12" t="s">
        <v>46</v>
      </c>
      <c r="R863" s="12" t="s">
        <v>86</v>
      </c>
      <c r="S863" s="12" t="b">
        <v>0</v>
      </c>
      <c r="T863" s="12" t="s">
        <v>78</v>
      </c>
      <c r="U863" s="15">
        <f t="shared" si="52"/>
        <v>458.14450499999998</v>
      </c>
      <c r="V863" s="15">
        <f t="shared" si="53"/>
        <v>437.892</v>
      </c>
      <c r="W863" s="15">
        <f t="shared" si="54"/>
        <v>95.495999999999995</v>
      </c>
      <c r="X863" s="15">
        <f t="shared" si="55"/>
        <v>103.252</v>
      </c>
    </row>
    <row r="864" spans="1:24">
      <c r="A864" s="12" t="s">
        <v>2621</v>
      </c>
      <c r="B864" s="12" t="s">
        <v>2622</v>
      </c>
      <c r="C864" s="12" t="s">
        <v>26</v>
      </c>
      <c r="D864" s="12" t="s">
        <v>27</v>
      </c>
      <c r="E864" s="12" t="s">
        <v>84</v>
      </c>
      <c r="F864" s="13">
        <v>21866.51</v>
      </c>
      <c r="G864" s="13">
        <v>27.46</v>
      </c>
      <c r="H864" s="13">
        <v>15862.26</v>
      </c>
      <c r="I864" s="13">
        <v>4.0999999999999996</v>
      </c>
      <c r="J864" s="13">
        <v>73</v>
      </c>
      <c r="K864" s="13">
        <v>395</v>
      </c>
      <c r="L864" s="12" t="s">
        <v>955</v>
      </c>
      <c r="M864" s="12">
        <v>3.4</v>
      </c>
      <c r="N864" s="14">
        <v>45795</v>
      </c>
      <c r="O864" s="13">
        <v>2</v>
      </c>
      <c r="P864" s="12" t="s">
        <v>30</v>
      </c>
      <c r="Q864" s="12" t="s">
        <v>55</v>
      </c>
      <c r="R864" s="12" t="s">
        <v>32</v>
      </c>
      <c r="S864" s="12" t="b">
        <v>0</v>
      </c>
      <c r="T864" s="12" t="s">
        <v>56</v>
      </c>
      <c r="U864" s="15">
        <f t="shared" si="52"/>
        <v>6004.5436460000001</v>
      </c>
      <c r="V864" s="15">
        <f t="shared" si="53"/>
        <v>8746.6039999999994</v>
      </c>
      <c r="W864" s="15">
        <f t="shared" si="54"/>
        <v>2379.3389999999999</v>
      </c>
      <c r="X864" s="15">
        <f t="shared" si="55"/>
        <v>4736.317</v>
      </c>
    </row>
    <row r="865" spans="1:24">
      <c r="A865" s="12" t="s">
        <v>2623</v>
      </c>
      <c r="B865" s="12" t="s">
        <v>2624</v>
      </c>
      <c r="C865" s="12" t="s">
        <v>26</v>
      </c>
      <c r="D865" s="12" t="s">
        <v>123</v>
      </c>
      <c r="E865" s="12" t="s">
        <v>65</v>
      </c>
      <c r="F865" s="13">
        <v>50018.98</v>
      </c>
      <c r="G865" s="13">
        <v>18.739999999999998</v>
      </c>
      <c r="H865" s="13">
        <v>40643.19</v>
      </c>
      <c r="I865" s="13">
        <v>4.5999999999999996</v>
      </c>
      <c r="J865" s="13">
        <v>288</v>
      </c>
      <c r="K865" s="13">
        <v>448</v>
      </c>
      <c r="L865" s="12" t="s">
        <v>2625</v>
      </c>
      <c r="M865" s="12">
        <v>2.9</v>
      </c>
      <c r="N865" s="14">
        <v>45902</v>
      </c>
      <c r="O865" s="13">
        <v>2</v>
      </c>
      <c r="P865" s="12" t="s">
        <v>40</v>
      </c>
      <c r="Q865" s="12" t="s">
        <v>55</v>
      </c>
      <c r="R865" s="12" t="s">
        <v>86</v>
      </c>
      <c r="S865" s="12" t="b">
        <v>0</v>
      </c>
      <c r="T865" s="12" t="s">
        <v>56</v>
      </c>
      <c r="U865" s="15">
        <f t="shared" si="52"/>
        <v>9373.5568519999997</v>
      </c>
      <c r="V865" s="15">
        <f t="shared" si="53"/>
        <v>20007.592000000001</v>
      </c>
      <c r="W865" s="15">
        <f t="shared" si="54"/>
        <v>6096.4785000000002</v>
      </c>
      <c r="X865" s="15">
        <f t="shared" si="55"/>
        <v>14539.119500000001</v>
      </c>
    </row>
    <row r="866" spans="1:24">
      <c r="A866" s="12" t="s">
        <v>2626</v>
      </c>
      <c r="B866" s="12" t="s">
        <v>2627</v>
      </c>
      <c r="C866" s="12" t="s">
        <v>36</v>
      </c>
      <c r="D866" s="12" t="s">
        <v>37</v>
      </c>
      <c r="E866" s="12" t="s">
        <v>28</v>
      </c>
      <c r="F866" s="13">
        <v>7857.21</v>
      </c>
      <c r="G866" s="13">
        <v>19.8</v>
      </c>
      <c r="H866" s="13">
        <v>6301.37</v>
      </c>
      <c r="I866" s="13">
        <v>3.7</v>
      </c>
      <c r="J866" s="13">
        <v>20</v>
      </c>
      <c r="K866" s="13">
        <v>423</v>
      </c>
      <c r="L866" s="12" t="s">
        <v>1146</v>
      </c>
      <c r="M866" s="12">
        <v>2.6</v>
      </c>
      <c r="N866" s="14">
        <v>45502</v>
      </c>
      <c r="O866" s="13">
        <v>1</v>
      </c>
      <c r="P866" s="12" t="s">
        <v>30</v>
      </c>
      <c r="Q866" s="12" t="s">
        <v>31</v>
      </c>
      <c r="R866" s="12" t="s">
        <v>47</v>
      </c>
      <c r="S866" s="12" t="b">
        <v>0</v>
      </c>
      <c r="T866" s="12" t="s">
        <v>62</v>
      </c>
      <c r="U866" s="15">
        <f t="shared" si="52"/>
        <v>1555.72758</v>
      </c>
      <c r="V866" s="15">
        <f t="shared" si="53"/>
        <v>3142.884</v>
      </c>
      <c r="W866" s="15">
        <f t="shared" si="54"/>
        <v>945.20550000000003</v>
      </c>
      <c r="X866" s="15">
        <f t="shared" si="55"/>
        <v>2213.2804999999998</v>
      </c>
    </row>
    <row r="867" spans="1:24">
      <c r="A867" s="12" t="s">
        <v>2628</v>
      </c>
      <c r="B867" s="12" t="s">
        <v>2629</v>
      </c>
      <c r="C867" s="12" t="s">
        <v>50</v>
      </c>
      <c r="D867" s="12" t="s">
        <v>51</v>
      </c>
      <c r="E867" s="12" t="s">
        <v>100</v>
      </c>
      <c r="F867" s="13">
        <v>1430.93</v>
      </c>
      <c r="G867" s="13">
        <v>17.37</v>
      </c>
      <c r="H867" s="13">
        <v>1182.44</v>
      </c>
      <c r="I867" s="13">
        <v>4</v>
      </c>
      <c r="J867" s="13">
        <v>9</v>
      </c>
      <c r="K867" s="13">
        <v>403</v>
      </c>
      <c r="L867" s="12" t="s">
        <v>2630</v>
      </c>
      <c r="M867" s="12">
        <v>3</v>
      </c>
      <c r="N867" s="14">
        <v>45761</v>
      </c>
      <c r="O867" s="13">
        <v>1</v>
      </c>
      <c r="P867" s="12" t="s">
        <v>54</v>
      </c>
      <c r="Q867" s="12" t="s">
        <v>31</v>
      </c>
      <c r="R867" s="12" t="s">
        <v>72</v>
      </c>
      <c r="S867" s="12" t="b">
        <v>0</v>
      </c>
      <c r="T867" s="12" t="s">
        <v>62</v>
      </c>
      <c r="U867" s="15">
        <f t="shared" si="52"/>
        <v>248.55254099999999</v>
      </c>
      <c r="V867" s="15">
        <f t="shared" si="53"/>
        <v>572.37199999999996</v>
      </c>
      <c r="W867" s="15">
        <f t="shared" si="54"/>
        <v>177.36600000000001</v>
      </c>
      <c r="X867" s="15">
        <f t="shared" si="55"/>
        <v>432.702</v>
      </c>
    </row>
    <row r="868" spans="1:24">
      <c r="A868" s="12" t="s">
        <v>2631</v>
      </c>
      <c r="B868" s="12" t="s">
        <v>2632</v>
      </c>
      <c r="C868" s="12" t="s">
        <v>50</v>
      </c>
      <c r="D868" s="12" t="s">
        <v>130</v>
      </c>
      <c r="E868" s="12" t="s">
        <v>52</v>
      </c>
      <c r="F868" s="13">
        <v>2124.06</v>
      </c>
      <c r="G868" s="13">
        <v>13.99</v>
      </c>
      <c r="H868" s="13">
        <v>1826.99</v>
      </c>
      <c r="I868" s="13">
        <v>4.9000000000000004</v>
      </c>
      <c r="J868" s="13">
        <v>21</v>
      </c>
      <c r="K868" s="13">
        <v>171</v>
      </c>
      <c r="L868" s="12" t="s">
        <v>251</v>
      </c>
      <c r="M868" s="12">
        <v>2.9</v>
      </c>
      <c r="N868" s="14">
        <v>45973</v>
      </c>
      <c r="O868" s="13">
        <v>2</v>
      </c>
      <c r="P868" s="12" t="s">
        <v>40</v>
      </c>
      <c r="Q868" s="12" t="s">
        <v>31</v>
      </c>
      <c r="R868" s="12" t="s">
        <v>47</v>
      </c>
      <c r="S868" s="12" t="b">
        <v>0</v>
      </c>
      <c r="T868" s="12" t="s">
        <v>62</v>
      </c>
      <c r="U868" s="15">
        <f t="shared" si="52"/>
        <v>297.15599400000002</v>
      </c>
      <c r="V868" s="15">
        <f t="shared" si="53"/>
        <v>849.62400000000002</v>
      </c>
      <c r="W868" s="15">
        <f t="shared" si="54"/>
        <v>274.04849999999999</v>
      </c>
      <c r="X868" s="15">
        <f t="shared" si="55"/>
        <v>703.3175</v>
      </c>
    </row>
    <row r="869" spans="1:24">
      <c r="A869" s="12" t="s">
        <v>2633</v>
      </c>
      <c r="B869" s="12" t="s">
        <v>2634</v>
      </c>
      <c r="C869" s="12" t="s">
        <v>36</v>
      </c>
      <c r="D869" s="12" t="s">
        <v>37</v>
      </c>
      <c r="E869" s="12" t="s">
        <v>70</v>
      </c>
      <c r="F869" s="13">
        <v>3226.6</v>
      </c>
      <c r="G869" s="13">
        <v>43.68</v>
      </c>
      <c r="H869" s="13">
        <v>1817.06</v>
      </c>
      <c r="I869" s="13">
        <v>3.4</v>
      </c>
      <c r="J869" s="13">
        <v>9</v>
      </c>
      <c r="K869" s="13">
        <v>159</v>
      </c>
      <c r="L869" s="12" t="s">
        <v>2635</v>
      </c>
      <c r="M869" s="12">
        <v>2.5</v>
      </c>
      <c r="N869" s="14">
        <v>45701</v>
      </c>
      <c r="O869" s="13">
        <v>4</v>
      </c>
      <c r="P869" s="12" t="s">
        <v>40</v>
      </c>
      <c r="Q869" s="12" t="s">
        <v>55</v>
      </c>
      <c r="R869" s="12" t="s">
        <v>47</v>
      </c>
      <c r="S869" s="12" t="b">
        <v>0</v>
      </c>
      <c r="T869" s="12" t="s">
        <v>78</v>
      </c>
      <c r="U869" s="15">
        <f t="shared" si="52"/>
        <v>1409.37888</v>
      </c>
      <c r="V869" s="15">
        <f t="shared" si="53"/>
        <v>1290.6400000000001</v>
      </c>
      <c r="W869" s="15">
        <f t="shared" si="54"/>
        <v>272.55900000000003</v>
      </c>
      <c r="X869" s="15">
        <f t="shared" si="55"/>
        <v>253.86099999999999</v>
      </c>
    </row>
    <row r="870" spans="1:24">
      <c r="A870" s="12" t="s">
        <v>2636</v>
      </c>
      <c r="B870" s="12" t="s">
        <v>2637</v>
      </c>
      <c r="C870" s="12" t="s">
        <v>26</v>
      </c>
      <c r="D870" s="12" t="s">
        <v>313</v>
      </c>
      <c r="E870" s="12" t="s">
        <v>70</v>
      </c>
      <c r="F870" s="13">
        <v>60042.15</v>
      </c>
      <c r="G870" s="13">
        <v>23.15</v>
      </c>
      <c r="H870" s="13">
        <v>46140.98</v>
      </c>
      <c r="I870" s="13">
        <v>4</v>
      </c>
      <c r="J870" s="13">
        <v>46</v>
      </c>
      <c r="K870" s="13">
        <v>258</v>
      </c>
      <c r="L870" s="12" t="s">
        <v>1344</v>
      </c>
      <c r="M870" s="12">
        <v>4.5999999999999996</v>
      </c>
      <c r="N870" s="14">
        <v>45759</v>
      </c>
      <c r="O870" s="13">
        <v>5</v>
      </c>
      <c r="P870" s="12" t="s">
        <v>30</v>
      </c>
      <c r="Q870" s="12" t="s">
        <v>31</v>
      </c>
      <c r="R870" s="12" t="s">
        <v>32</v>
      </c>
      <c r="S870" s="12" t="b">
        <v>0</v>
      </c>
      <c r="T870" s="12" t="s">
        <v>56</v>
      </c>
      <c r="U870" s="15">
        <f t="shared" si="52"/>
        <v>13899.757724999999</v>
      </c>
      <c r="V870" s="15">
        <f t="shared" si="53"/>
        <v>24016.86</v>
      </c>
      <c r="W870" s="15">
        <f t="shared" si="54"/>
        <v>6921.1469999999999</v>
      </c>
      <c r="X870" s="15">
        <f t="shared" si="55"/>
        <v>15202.973</v>
      </c>
    </row>
    <row r="871" spans="1:24">
      <c r="A871" s="12" t="s">
        <v>2638</v>
      </c>
      <c r="B871" s="12" t="s">
        <v>2639</v>
      </c>
      <c r="C871" s="12" t="s">
        <v>59</v>
      </c>
      <c r="D871" s="12" t="s">
        <v>60</v>
      </c>
      <c r="E871" s="12" t="s">
        <v>131</v>
      </c>
      <c r="F871" s="13">
        <v>3387.56</v>
      </c>
      <c r="G871" s="13">
        <v>26.13</v>
      </c>
      <c r="H871" s="13">
        <v>2502.2399999999998</v>
      </c>
      <c r="I871" s="13">
        <v>4.2</v>
      </c>
      <c r="J871" s="13">
        <v>45</v>
      </c>
      <c r="K871" s="13">
        <v>387</v>
      </c>
      <c r="L871" s="12" t="s">
        <v>2640</v>
      </c>
      <c r="M871" s="12">
        <v>3.8</v>
      </c>
      <c r="N871" s="14">
        <v>45474</v>
      </c>
      <c r="O871" s="13">
        <v>2</v>
      </c>
      <c r="P871" s="12" t="s">
        <v>30</v>
      </c>
      <c r="Q871" s="12" t="s">
        <v>55</v>
      </c>
      <c r="R871" s="12" t="s">
        <v>72</v>
      </c>
      <c r="S871" s="12" t="b">
        <v>0</v>
      </c>
      <c r="T871" s="12" t="s">
        <v>62</v>
      </c>
      <c r="U871" s="15">
        <f t="shared" si="52"/>
        <v>885.16942800000004</v>
      </c>
      <c r="V871" s="15">
        <f t="shared" si="53"/>
        <v>1355.0239999999999</v>
      </c>
      <c r="W871" s="15">
        <f t="shared" si="54"/>
        <v>375.33600000000001</v>
      </c>
      <c r="X871" s="15">
        <f t="shared" si="55"/>
        <v>771.88</v>
      </c>
    </row>
    <row r="872" spans="1:24">
      <c r="A872" s="12" t="s">
        <v>2641</v>
      </c>
      <c r="B872" s="12" t="s">
        <v>2642</v>
      </c>
      <c r="C872" s="12" t="s">
        <v>26</v>
      </c>
      <c r="D872" s="12" t="s">
        <v>148</v>
      </c>
      <c r="E872" s="12" t="s">
        <v>112</v>
      </c>
      <c r="F872" s="13">
        <v>51647.199999999997</v>
      </c>
      <c r="G872" s="13">
        <v>23.12</v>
      </c>
      <c r="H872" s="13">
        <v>39707.01</v>
      </c>
      <c r="I872" s="13">
        <v>4.5999999999999996</v>
      </c>
      <c r="J872" s="13">
        <v>54</v>
      </c>
      <c r="K872" s="13">
        <v>289</v>
      </c>
      <c r="L872" s="12" t="s">
        <v>2643</v>
      </c>
      <c r="M872" s="12">
        <v>4.0999999999999996</v>
      </c>
      <c r="N872" s="14">
        <v>45621</v>
      </c>
      <c r="O872" s="13">
        <v>5</v>
      </c>
      <c r="P872" s="12" t="s">
        <v>54</v>
      </c>
      <c r="Q872" s="12" t="s">
        <v>31</v>
      </c>
      <c r="R872" s="12" t="s">
        <v>47</v>
      </c>
      <c r="S872" s="12" t="b">
        <v>0</v>
      </c>
      <c r="T872" s="12" t="s">
        <v>56</v>
      </c>
      <c r="U872" s="15">
        <f t="shared" si="52"/>
        <v>11940.832640000001</v>
      </c>
      <c r="V872" s="15">
        <f t="shared" si="53"/>
        <v>20658.88</v>
      </c>
      <c r="W872" s="15">
        <f t="shared" si="54"/>
        <v>5956.0514999999996</v>
      </c>
      <c r="X872" s="15">
        <f t="shared" si="55"/>
        <v>13092.0785</v>
      </c>
    </row>
    <row r="873" spans="1:24">
      <c r="A873" s="12" t="s">
        <v>2644</v>
      </c>
      <c r="B873" s="12" t="s">
        <v>2645</v>
      </c>
      <c r="C873" s="12" t="s">
        <v>59</v>
      </c>
      <c r="D873" s="12" t="s">
        <v>170</v>
      </c>
      <c r="E873" s="12" t="s">
        <v>100</v>
      </c>
      <c r="F873" s="13">
        <v>13301.49</v>
      </c>
      <c r="G873" s="13">
        <v>30.88</v>
      </c>
      <c r="H873" s="13">
        <v>9193.41</v>
      </c>
      <c r="I873" s="13">
        <v>4.2</v>
      </c>
      <c r="J873" s="13">
        <v>23</v>
      </c>
      <c r="K873" s="13">
        <v>365</v>
      </c>
      <c r="L873" s="12" t="s">
        <v>2646</v>
      </c>
      <c r="M873" s="12">
        <v>4.9000000000000004</v>
      </c>
      <c r="N873" s="14">
        <v>45608</v>
      </c>
      <c r="O873" s="13">
        <v>3</v>
      </c>
      <c r="P873" s="12" t="s">
        <v>45</v>
      </c>
      <c r="Q873" s="12" t="s">
        <v>31</v>
      </c>
      <c r="R873" s="12" t="s">
        <v>47</v>
      </c>
      <c r="S873" s="12" t="b">
        <v>0</v>
      </c>
      <c r="T873" s="12" t="s">
        <v>78</v>
      </c>
      <c r="U873" s="15">
        <f t="shared" si="52"/>
        <v>4107.5001119999997</v>
      </c>
      <c r="V873" s="15">
        <f t="shared" si="53"/>
        <v>5320.5959999999995</v>
      </c>
      <c r="W873" s="15">
        <f t="shared" si="54"/>
        <v>1379.0115000000001</v>
      </c>
      <c r="X873" s="15">
        <f t="shared" si="55"/>
        <v>2493.8024999999998</v>
      </c>
    </row>
    <row r="874" spans="1:24">
      <c r="A874" s="12" t="s">
        <v>2647</v>
      </c>
      <c r="B874" s="12" t="s">
        <v>2648</v>
      </c>
      <c r="C874" s="12" t="s">
        <v>59</v>
      </c>
      <c r="D874" s="12" t="s">
        <v>60</v>
      </c>
      <c r="E874" s="12" t="s">
        <v>65</v>
      </c>
      <c r="F874" s="13">
        <v>5076.57</v>
      </c>
      <c r="G874" s="13">
        <v>49.37</v>
      </c>
      <c r="H874" s="13">
        <v>2570.1999999999998</v>
      </c>
      <c r="I874" s="13">
        <v>4.0999999999999996</v>
      </c>
      <c r="J874" s="13">
        <v>10</v>
      </c>
      <c r="K874" s="13">
        <v>232</v>
      </c>
      <c r="L874" s="12" t="s">
        <v>2649</v>
      </c>
      <c r="M874" s="12">
        <v>3</v>
      </c>
      <c r="N874" s="14">
        <v>45527</v>
      </c>
      <c r="O874" s="13">
        <v>2</v>
      </c>
      <c r="P874" s="12" t="s">
        <v>54</v>
      </c>
      <c r="Q874" s="12" t="s">
        <v>46</v>
      </c>
      <c r="R874" s="12" t="s">
        <v>86</v>
      </c>
      <c r="S874" s="12" t="b">
        <v>0</v>
      </c>
      <c r="T874" s="12" t="s">
        <v>56</v>
      </c>
      <c r="U874" s="15">
        <f t="shared" si="52"/>
        <v>2506.3026089999998</v>
      </c>
      <c r="V874" s="15">
        <f t="shared" si="53"/>
        <v>2030.6279999999999</v>
      </c>
      <c r="W874" s="15">
        <f t="shared" si="54"/>
        <v>385.53</v>
      </c>
      <c r="X874" s="15">
        <f t="shared" si="55"/>
        <v>154.042</v>
      </c>
    </row>
    <row r="875" spans="1:24">
      <c r="A875" s="12" t="s">
        <v>2650</v>
      </c>
      <c r="B875" s="12" t="s">
        <v>2651</v>
      </c>
      <c r="C875" s="12" t="s">
        <v>26</v>
      </c>
      <c r="D875" s="12" t="s">
        <v>27</v>
      </c>
      <c r="E875" s="12" t="s">
        <v>38</v>
      </c>
      <c r="F875" s="13">
        <v>56098.49</v>
      </c>
      <c r="G875" s="13">
        <v>19.36</v>
      </c>
      <c r="H875" s="13">
        <v>45238.15</v>
      </c>
      <c r="I875" s="13">
        <v>4.3</v>
      </c>
      <c r="J875" s="13">
        <v>11</v>
      </c>
      <c r="K875" s="13">
        <v>109</v>
      </c>
      <c r="L875" s="12" t="s">
        <v>2652</v>
      </c>
      <c r="M875" s="12">
        <v>4.4000000000000004</v>
      </c>
      <c r="N875" s="14">
        <v>45814</v>
      </c>
      <c r="O875" s="13">
        <v>1</v>
      </c>
      <c r="P875" s="12" t="s">
        <v>117</v>
      </c>
      <c r="Q875" s="12" t="s">
        <v>46</v>
      </c>
      <c r="R875" s="12" t="s">
        <v>72</v>
      </c>
      <c r="S875" s="12" t="b">
        <v>0</v>
      </c>
      <c r="T875" s="12" t="s">
        <v>62</v>
      </c>
      <c r="U875" s="15">
        <f t="shared" si="52"/>
        <v>10860.667664000001</v>
      </c>
      <c r="V875" s="15">
        <f t="shared" si="53"/>
        <v>22439.396000000001</v>
      </c>
      <c r="W875" s="15">
        <f t="shared" si="54"/>
        <v>6785.7224999999999</v>
      </c>
      <c r="X875" s="15">
        <f t="shared" si="55"/>
        <v>16013.031499999999</v>
      </c>
    </row>
    <row r="876" spans="1:24">
      <c r="A876" s="12" t="s">
        <v>2653</v>
      </c>
      <c r="B876" s="12" t="s">
        <v>2654</v>
      </c>
      <c r="C876" s="12" t="s">
        <v>36</v>
      </c>
      <c r="D876" s="12" t="s">
        <v>37</v>
      </c>
      <c r="E876" s="12" t="s">
        <v>65</v>
      </c>
      <c r="F876" s="13">
        <v>4166.3999999999996</v>
      </c>
      <c r="G876" s="13">
        <v>28.28</v>
      </c>
      <c r="H876" s="13">
        <v>2988.01</v>
      </c>
      <c r="I876" s="13">
        <v>5</v>
      </c>
      <c r="J876" s="13">
        <v>33</v>
      </c>
      <c r="K876" s="13">
        <v>446</v>
      </c>
      <c r="L876" s="12" t="s">
        <v>2655</v>
      </c>
      <c r="M876" s="12">
        <v>3.3</v>
      </c>
      <c r="N876" s="14">
        <v>45792</v>
      </c>
      <c r="O876" s="13">
        <v>1</v>
      </c>
      <c r="P876" s="12" t="s">
        <v>45</v>
      </c>
      <c r="Q876" s="12" t="s">
        <v>31</v>
      </c>
      <c r="R876" s="12" t="s">
        <v>86</v>
      </c>
      <c r="S876" s="12" t="b">
        <v>0</v>
      </c>
      <c r="T876" s="12" t="s">
        <v>62</v>
      </c>
      <c r="U876" s="15">
        <f t="shared" si="52"/>
        <v>1178.25792</v>
      </c>
      <c r="V876" s="15">
        <f t="shared" si="53"/>
        <v>1666.56</v>
      </c>
      <c r="W876" s="15">
        <f t="shared" si="54"/>
        <v>448.20150000000001</v>
      </c>
      <c r="X876" s="15">
        <f t="shared" si="55"/>
        <v>873.24850000000004</v>
      </c>
    </row>
    <row r="877" spans="1:24">
      <c r="A877" s="12" t="s">
        <v>2656</v>
      </c>
      <c r="B877" s="12" t="s">
        <v>2657</v>
      </c>
      <c r="C877" s="12" t="s">
        <v>50</v>
      </c>
      <c r="D877" s="12" t="s">
        <v>51</v>
      </c>
      <c r="E877" s="12" t="s">
        <v>28</v>
      </c>
      <c r="F877" s="13">
        <v>4863.12</v>
      </c>
      <c r="G877" s="13">
        <v>18.739999999999998</v>
      </c>
      <c r="H877" s="13">
        <v>3951.73</v>
      </c>
      <c r="I877" s="13">
        <v>3</v>
      </c>
      <c r="J877" s="13">
        <v>10</v>
      </c>
      <c r="K877" s="13">
        <v>421</v>
      </c>
      <c r="L877" s="12" t="s">
        <v>2658</v>
      </c>
      <c r="M877" s="12">
        <v>2.5</v>
      </c>
      <c r="N877" s="14">
        <v>46018</v>
      </c>
      <c r="O877" s="13">
        <v>2</v>
      </c>
      <c r="P877" s="12" t="s">
        <v>117</v>
      </c>
      <c r="Q877" s="12" t="s">
        <v>46</v>
      </c>
      <c r="R877" s="12" t="s">
        <v>47</v>
      </c>
      <c r="S877" s="12" t="b">
        <v>0</v>
      </c>
      <c r="T877" s="12" t="s">
        <v>56</v>
      </c>
      <c r="U877" s="15">
        <f t="shared" si="52"/>
        <v>911.34868800000004</v>
      </c>
      <c r="V877" s="15">
        <f t="shared" si="53"/>
        <v>1945.248</v>
      </c>
      <c r="W877" s="15">
        <f t="shared" si="54"/>
        <v>592.7595</v>
      </c>
      <c r="X877" s="15">
        <f t="shared" si="55"/>
        <v>1413.7225000000001</v>
      </c>
    </row>
    <row r="878" spans="1:24">
      <c r="A878" s="12" t="s">
        <v>2659</v>
      </c>
      <c r="B878" s="12" t="s">
        <v>2660</v>
      </c>
      <c r="C878" s="12" t="s">
        <v>50</v>
      </c>
      <c r="D878" s="12" t="s">
        <v>130</v>
      </c>
      <c r="E878" s="12" t="s">
        <v>28</v>
      </c>
      <c r="F878" s="13">
        <v>599.37</v>
      </c>
      <c r="G878" s="13">
        <v>44.5</v>
      </c>
      <c r="H878" s="13">
        <v>332.64</v>
      </c>
      <c r="I878" s="13">
        <v>2.9</v>
      </c>
      <c r="J878" s="13">
        <v>20</v>
      </c>
      <c r="K878" s="13">
        <v>355</v>
      </c>
      <c r="L878" s="12" t="s">
        <v>2661</v>
      </c>
      <c r="M878" s="12">
        <v>4.2</v>
      </c>
      <c r="N878" s="14">
        <v>45814</v>
      </c>
      <c r="O878" s="13">
        <v>5</v>
      </c>
      <c r="P878" s="12" t="s">
        <v>45</v>
      </c>
      <c r="Q878" s="12" t="s">
        <v>55</v>
      </c>
      <c r="R878" s="12" t="s">
        <v>86</v>
      </c>
      <c r="S878" s="12" t="b">
        <v>0</v>
      </c>
      <c r="T878" s="12" t="s">
        <v>78</v>
      </c>
      <c r="U878" s="15">
        <f t="shared" si="52"/>
        <v>266.71965</v>
      </c>
      <c r="V878" s="15">
        <f t="shared" si="53"/>
        <v>239.74799999999999</v>
      </c>
      <c r="W878" s="15">
        <f t="shared" si="54"/>
        <v>49.896000000000001</v>
      </c>
      <c r="X878" s="15">
        <f t="shared" si="55"/>
        <v>42.996000000000002</v>
      </c>
    </row>
    <row r="879" spans="1:24">
      <c r="A879" s="12" t="s">
        <v>2662</v>
      </c>
      <c r="B879" s="12" t="s">
        <v>2663</v>
      </c>
      <c r="C879" s="12" t="s">
        <v>75</v>
      </c>
      <c r="D879" s="12" t="s">
        <v>76</v>
      </c>
      <c r="E879" s="12" t="s">
        <v>112</v>
      </c>
      <c r="F879" s="13">
        <v>2722.94</v>
      </c>
      <c r="G879" s="13">
        <v>56.27</v>
      </c>
      <c r="H879" s="13">
        <v>1190.79</v>
      </c>
      <c r="I879" s="13">
        <v>3.3</v>
      </c>
      <c r="J879" s="13">
        <v>114</v>
      </c>
      <c r="K879" s="13">
        <v>56</v>
      </c>
      <c r="L879" s="12" t="s">
        <v>2664</v>
      </c>
      <c r="M879" s="12">
        <v>5</v>
      </c>
      <c r="N879" s="14">
        <v>45769</v>
      </c>
      <c r="O879" s="13">
        <v>3</v>
      </c>
      <c r="P879" s="12" t="s">
        <v>40</v>
      </c>
      <c r="Q879" s="12" t="s">
        <v>55</v>
      </c>
      <c r="R879" s="12" t="s">
        <v>72</v>
      </c>
      <c r="S879" s="12" t="b">
        <v>0</v>
      </c>
      <c r="T879" s="12" t="s">
        <v>78</v>
      </c>
      <c r="U879" s="15">
        <f t="shared" si="52"/>
        <v>1532.1983379999999</v>
      </c>
      <c r="V879" s="15">
        <f t="shared" si="53"/>
        <v>1089.1759999999999</v>
      </c>
      <c r="W879" s="15">
        <f t="shared" si="54"/>
        <v>178.61850000000001</v>
      </c>
      <c r="X879" s="15">
        <f t="shared" si="55"/>
        <v>-77.004500000000206</v>
      </c>
    </row>
    <row r="880" spans="1:24">
      <c r="A880" s="12" t="s">
        <v>2665</v>
      </c>
      <c r="B880" s="12" t="s">
        <v>2666</v>
      </c>
      <c r="C880" s="12" t="s">
        <v>36</v>
      </c>
      <c r="D880" s="12" t="s">
        <v>43</v>
      </c>
      <c r="E880" s="12" t="s">
        <v>84</v>
      </c>
      <c r="F880" s="13">
        <v>11080.64</v>
      </c>
      <c r="G880" s="13">
        <v>41.5</v>
      </c>
      <c r="H880" s="13">
        <v>6482.65</v>
      </c>
      <c r="I880" s="13">
        <v>4.4000000000000004</v>
      </c>
      <c r="J880" s="13">
        <v>7</v>
      </c>
      <c r="K880" s="13">
        <v>155</v>
      </c>
      <c r="L880" s="12" t="s">
        <v>2667</v>
      </c>
      <c r="M880" s="12">
        <v>4.5</v>
      </c>
      <c r="N880" s="14">
        <v>46024</v>
      </c>
      <c r="O880" s="13">
        <v>4</v>
      </c>
      <c r="P880" s="12" t="s">
        <v>30</v>
      </c>
      <c r="Q880" s="12" t="s">
        <v>55</v>
      </c>
      <c r="R880" s="12" t="s">
        <v>32</v>
      </c>
      <c r="S880" s="12" t="b">
        <v>0</v>
      </c>
      <c r="T880" s="12" t="s">
        <v>78</v>
      </c>
      <c r="U880" s="15">
        <f t="shared" si="52"/>
        <v>4598.4656000000004</v>
      </c>
      <c r="V880" s="15">
        <f t="shared" si="53"/>
        <v>4432.2560000000003</v>
      </c>
      <c r="W880" s="15">
        <f t="shared" si="54"/>
        <v>972.39750000000004</v>
      </c>
      <c r="X880" s="15">
        <f t="shared" si="55"/>
        <v>1077.9965</v>
      </c>
    </row>
    <row r="881" spans="1:24">
      <c r="A881" s="12" t="s">
        <v>2668</v>
      </c>
      <c r="B881" s="12" t="s">
        <v>2669</v>
      </c>
      <c r="C881" s="12" t="s">
        <v>75</v>
      </c>
      <c r="D881" s="12" t="s">
        <v>76</v>
      </c>
      <c r="E881" s="12" t="s">
        <v>96</v>
      </c>
      <c r="F881" s="13">
        <v>3303.38</v>
      </c>
      <c r="G881" s="13">
        <v>41.65</v>
      </c>
      <c r="H881" s="13">
        <v>1927.4</v>
      </c>
      <c r="I881" s="13">
        <v>4.2</v>
      </c>
      <c r="J881" s="13">
        <v>33</v>
      </c>
      <c r="K881" s="13">
        <v>110</v>
      </c>
      <c r="L881" s="12" t="s">
        <v>2670</v>
      </c>
      <c r="M881" s="12">
        <v>3.7</v>
      </c>
      <c r="N881" s="14">
        <v>45695</v>
      </c>
      <c r="O881" s="13">
        <v>5</v>
      </c>
      <c r="P881" s="12" t="s">
        <v>40</v>
      </c>
      <c r="Q881" s="12" t="s">
        <v>31</v>
      </c>
      <c r="R881" s="12" t="s">
        <v>86</v>
      </c>
      <c r="S881" s="12" t="b">
        <v>0</v>
      </c>
      <c r="T881" s="12" t="s">
        <v>78</v>
      </c>
      <c r="U881" s="15">
        <f t="shared" si="52"/>
        <v>1375.8577700000001</v>
      </c>
      <c r="V881" s="15">
        <f t="shared" si="53"/>
        <v>1321.3520000000001</v>
      </c>
      <c r="W881" s="15">
        <f t="shared" si="54"/>
        <v>289.11</v>
      </c>
      <c r="X881" s="15">
        <f t="shared" si="55"/>
        <v>316.93799999999999</v>
      </c>
    </row>
    <row r="882" spans="1:24">
      <c r="A882" s="12" t="s">
        <v>2671</v>
      </c>
      <c r="B882" s="12" t="s">
        <v>2672</v>
      </c>
      <c r="C882" s="12" t="s">
        <v>26</v>
      </c>
      <c r="D882" s="12" t="s">
        <v>313</v>
      </c>
      <c r="E882" s="12" t="s">
        <v>84</v>
      </c>
      <c r="F882" s="13">
        <v>30197.77</v>
      </c>
      <c r="G882" s="13">
        <v>28.29</v>
      </c>
      <c r="H882" s="13">
        <v>21653.97</v>
      </c>
      <c r="I882" s="13">
        <v>3.4</v>
      </c>
      <c r="J882" s="13">
        <v>66</v>
      </c>
      <c r="K882" s="13">
        <v>293</v>
      </c>
      <c r="L882" s="12" t="s">
        <v>2673</v>
      </c>
      <c r="M882" s="12">
        <v>4.4000000000000004</v>
      </c>
      <c r="N882" s="14">
        <v>46098</v>
      </c>
      <c r="O882" s="13">
        <v>4</v>
      </c>
      <c r="P882" s="12" t="s">
        <v>40</v>
      </c>
      <c r="Q882" s="12" t="s">
        <v>31</v>
      </c>
      <c r="R882" s="12" t="s">
        <v>86</v>
      </c>
      <c r="S882" s="12" t="b">
        <v>0</v>
      </c>
      <c r="T882" s="12" t="s">
        <v>56</v>
      </c>
      <c r="U882" s="15">
        <f t="shared" si="52"/>
        <v>8542.9491330000001</v>
      </c>
      <c r="V882" s="15">
        <f t="shared" si="53"/>
        <v>12079.108</v>
      </c>
      <c r="W882" s="15">
        <f t="shared" si="54"/>
        <v>3248.0954999999999</v>
      </c>
      <c r="X882" s="15">
        <f t="shared" si="55"/>
        <v>6326.7664999999997</v>
      </c>
    </row>
    <row r="883" spans="1:24">
      <c r="A883" s="12" t="s">
        <v>2674</v>
      </c>
      <c r="B883" s="12" t="s">
        <v>2675</v>
      </c>
      <c r="C883" s="12" t="s">
        <v>50</v>
      </c>
      <c r="D883" s="12" t="s">
        <v>51</v>
      </c>
      <c r="E883" s="12" t="s">
        <v>28</v>
      </c>
      <c r="F883" s="13">
        <v>1024.9100000000001</v>
      </c>
      <c r="G883" s="13">
        <v>27.33</v>
      </c>
      <c r="H883" s="13">
        <v>744.76</v>
      </c>
      <c r="I883" s="13">
        <v>4.5</v>
      </c>
      <c r="J883" s="13">
        <v>13</v>
      </c>
      <c r="K883" s="13">
        <v>258</v>
      </c>
      <c r="L883" s="12" t="s">
        <v>2676</v>
      </c>
      <c r="M883" s="12">
        <v>4.5999999999999996</v>
      </c>
      <c r="N883" s="14">
        <v>45762</v>
      </c>
      <c r="O883" s="13">
        <v>2</v>
      </c>
      <c r="P883" s="12" t="s">
        <v>45</v>
      </c>
      <c r="Q883" s="12" t="s">
        <v>55</v>
      </c>
      <c r="R883" s="12" t="s">
        <v>86</v>
      </c>
      <c r="S883" s="12" t="b">
        <v>0</v>
      </c>
      <c r="T883" s="12" t="s">
        <v>78</v>
      </c>
      <c r="U883" s="15">
        <f t="shared" si="52"/>
        <v>280.10790300000002</v>
      </c>
      <c r="V883" s="15">
        <f t="shared" si="53"/>
        <v>409.964</v>
      </c>
      <c r="W883" s="15">
        <f t="shared" si="54"/>
        <v>111.714</v>
      </c>
      <c r="X883" s="15">
        <f t="shared" si="55"/>
        <v>223.08199999999999</v>
      </c>
    </row>
    <row r="884" spans="1:24">
      <c r="A884" s="12" t="s">
        <v>2677</v>
      </c>
      <c r="B884" s="12" t="s">
        <v>2678</v>
      </c>
      <c r="C884" s="12" t="s">
        <v>59</v>
      </c>
      <c r="D884" s="12" t="s">
        <v>69</v>
      </c>
      <c r="E884" s="12" t="s">
        <v>65</v>
      </c>
      <c r="F884" s="13">
        <v>5127.26</v>
      </c>
      <c r="G884" s="13">
        <v>17.55</v>
      </c>
      <c r="H884" s="13">
        <v>4227.25</v>
      </c>
      <c r="I884" s="13">
        <v>4</v>
      </c>
      <c r="J884" s="13">
        <v>5</v>
      </c>
      <c r="K884" s="13">
        <v>119</v>
      </c>
      <c r="L884" s="12" t="s">
        <v>2679</v>
      </c>
      <c r="M884" s="12">
        <v>5</v>
      </c>
      <c r="N884" s="14">
        <v>45943</v>
      </c>
      <c r="O884" s="13">
        <v>5</v>
      </c>
      <c r="P884" s="12" t="s">
        <v>45</v>
      </c>
      <c r="Q884" s="12" t="s">
        <v>55</v>
      </c>
      <c r="R884" s="12" t="s">
        <v>32</v>
      </c>
      <c r="S884" s="12" t="b">
        <v>0</v>
      </c>
      <c r="T884" s="12" t="s">
        <v>62</v>
      </c>
      <c r="U884" s="15">
        <f t="shared" si="52"/>
        <v>899.83412999999996</v>
      </c>
      <c r="V884" s="15">
        <f t="shared" si="53"/>
        <v>2050.904</v>
      </c>
      <c r="W884" s="15">
        <f t="shared" si="54"/>
        <v>634.08749999999998</v>
      </c>
      <c r="X884" s="15">
        <f t="shared" si="55"/>
        <v>1542.2584999999999</v>
      </c>
    </row>
    <row r="885" spans="1:24">
      <c r="A885" s="12" t="s">
        <v>2680</v>
      </c>
      <c r="B885" s="12" t="s">
        <v>2681</v>
      </c>
      <c r="C885" s="12" t="s">
        <v>50</v>
      </c>
      <c r="D885" s="12" t="s">
        <v>213</v>
      </c>
      <c r="E885" s="12" t="s">
        <v>52</v>
      </c>
      <c r="F885" s="13">
        <v>4850.83</v>
      </c>
      <c r="G885" s="13">
        <v>14.91</v>
      </c>
      <c r="H885" s="13">
        <v>4127.5200000000004</v>
      </c>
      <c r="I885" s="13">
        <v>4.0999999999999996</v>
      </c>
      <c r="J885" s="13">
        <v>37</v>
      </c>
      <c r="K885" s="13">
        <v>292</v>
      </c>
      <c r="L885" s="12" t="s">
        <v>2682</v>
      </c>
      <c r="M885" s="12">
        <v>2.9</v>
      </c>
      <c r="N885" s="14">
        <v>45431</v>
      </c>
      <c r="O885" s="13">
        <v>1</v>
      </c>
      <c r="P885" s="12" t="s">
        <v>40</v>
      </c>
      <c r="Q885" s="12" t="s">
        <v>31</v>
      </c>
      <c r="R885" s="12" t="s">
        <v>32</v>
      </c>
      <c r="S885" s="12" t="b">
        <v>0</v>
      </c>
      <c r="T885" s="12" t="s">
        <v>62</v>
      </c>
      <c r="U885" s="15">
        <f t="shared" si="52"/>
        <v>723.25875299999996</v>
      </c>
      <c r="V885" s="15">
        <f t="shared" si="53"/>
        <v>1940.3320000000001</v>
      </c>
      <c r="W885" s="15">
        <f t="shared" si="54"/>
        <v>619.12800000000004</v>
      </c>
      <c r="X885" s="15">
        <f t="shared" si="55"/>
        <v>1568.06</v>
      </c>
    </row>
    <row r="886" spans="1:24">
      <c r="A886" s="12" t="s">
        <v>2683</v>
      </c>
      <c r="B886" s="12" t="s">
        <v>2684</v>
      </c>
      <c r="C886" s="12" t="s">
        <v>36</v>
      </c>
      <c r="D886" s="12" t="s">
        <v>43</v>
      </c>
      <c r="E886" s="12" t="s">
        <v>70</v>
      </c>
      <c r="F886" s="13">
        <v>503.49</v>
      </c>
      <c r="G886" s="13">
        <v>12.58</v>
      </c>
      <c r="H886" s="13">
        <v>440.14</v>
      </c>
      <c r="I886" s="13">
        <v>3.3</v>
      </c>
      <c r="J886" s="13">
        <v>180</v>
      </c>
      <c r="K886" s="13">
        <v>387</v>
      </c>
      <c r="L886" s="12" t="s">
        <v>2685</v>
      </c>
      <c r="M886" s="12">
        <v>4.9000000000000004</v>
      </c>
      <c r="N886" s="14">
        <v>45451</v>
      </c>
      <c r="O886" s="13">
        <v>2</v>
      </c>
      <c r="P886" s="12" t="s">
        <v>45</v>
      </c>
      <c r="Q886" s="12" t="s">
        <v>31</v>
      </c>
      <c r="R886" s="12" t="s">
        <v>47</v>
      </c>
      <c r="S886" s="12" t="b">
        <v>0</v>
      </c>
      <c r="T886" s="12" t="s">
        <v>56</v>
      </c>
      <c r="U886" s="15">
        <f t="shared" si="52"/>
        <v>63.339041999999999</v>
      </c>
      <c r="V886" s="15">
        <f t="shared" si="53"/>
        <v>201.39599999999999</v>
      </c>
      <c r="W886" s="15">
        <f t="shared" si="54"/>
        <v>66.021000000000001</v>
      </c>
      <c r="X886" s="15">
        <f t="shared" si="55"/>
        <v>172.72300000000001</v>
      </c>
    </row>
    <row r="887" spans="1:24">
      <c r="A887" s="12" t="s">
        <v>2686</v>
      </c>
      <c r="B887" s="12" t="s">
        <v>2687</v>
      </c>
      <c r="C887" s="12" t="s">
        <v>36</v>
      </c>
      <c r="D887" s="12" t="s">
        <v>43</v>
      </c>
      <c r="E887" s="12" t="s">
        <v>84</v>
      </c>
      <c r="F887" s="13">
        <v>796.92</v>
      </c>
      <c r="G887" s="13">
        <v>28.48</v>
      </c>
      <c r="H887" s="13">
        <v>569.91999999999996</v>
      </c>
      <c r="I887" s="13">
        <v>3.2</v>
      </c>
      <c r="J887" s="13">
        <v>38</v>
      </c>
      <c r="K887" s="13">
        <v>140</v>
      </c>
      <c r="L887" s="12" t="s">
        <v>2688</v>
      </c>
      <c r="M887" s="12">
        <v>4.2</v>
      </c>
      <c r="N887" s="14">
        <v>45430</v>
      </c>
      <c r="O887" s="13">
        <v>4</v>
      </c>
      <c r="P887" s="12" t="s">
        <v>45</v>
      </c>
      <c r="Q887" s="12" t="s">
        <v>46</v>
      </c>
      <c r="R887" s="12" t="s">
        <v>86</v>
      </c>
      <c r="S887" s="12" t="b">
        <v>0</v>
      </c>
      <c r="T887" s="12" t="s">
        <v>78</v>
      </c>
      <c r="U887" s="15">
        <f t="shared" si="52"/>
        <v>226.962816</v>
      </c>
      <c r="V887" s="15">
        <f t="shared" si="53"/>
        <v>318.76799999999997</v>
      </c>
      <c r="W887" s="15">
        <f t="shared" si="54"/>
        <v>85.488</v>
      </c>
      <c r="X887" s="15">
        <f t="shared" si="55"/>
        <v>165.66399999999999</v>
      </c>
    </row>
    <row r="888" spans="1:24">
      <c r="A888" s="12" t="s">
        <v>2689</v>
      </c>
      <c r="B888" s="12" t="s">
        <v>2690</v>
      </c>
      <c r="C888" s="12" t="s">
        <v>36</v>
      </c>
      <c r="D888" s="12" t="s">
        <v>108</v>
      </c>
      <c r="E888" s="12" t="s">
        <v>112</v>
      </c>
      <c r="F888" s="13">
        <v>13523.09</v>
      </c>
      <c r="G888" s="13">
        <v>47.87</v>
      </c>
      <c r="H888" s="13">
        <v>7049.59</v>
      </c>
      <c r="I888" s="13">
        <v>4.5999999999999996</v>
      </c>
      <c r="J888" s="13">
        <v>12</v>
      </c>
      <c r="K888" s="13">
        <v>251</v>
      </c>
      <c r="L888" s="12" t="s">
        <v>2691</v>
      </c>
      <c r="M888" s="12">
        <v>4.7</v>
      </c>
      <c r="N888" s="14">
        <v>45964</v>
      </c>
      <c r="O888" s="13">
        <v>1</v>
      </c>
      <c r="P888" s="12" t="s">
        <v>117</v>
      </c>
      <c r="Q888" s="12" t="s">
        <v>55</v>
      </c>
      <c r="R888" s="12" t="s">
        <v>86</v>
      </c>
      <c r="S888" s="12" t="b">
        <v>0</v>
      </c>
      <c r="T888" s="12" t="s">
        <v>78</v>
      </c>
      <c r="U888" s="15">
        <f t="shared" si="52"/>
        <v>6473.5031829999998</v>
      </c>
      <c r="V888" s="15">
        <f t="shared" si="53"/>
        <v>5409.2359999999999</v>
      </c>
      <c r="W888" s="15">
        <f t="shared" si="54"/>
        <v>1057.4385</v>
      </c>
      <c r="X888" s="15">
        <f t="shared" si="55"/>
        <v>582.91549999999904</v>
      </c>
    </row>
    <row r="889" spans="1:24">
      <c r="A889" s="12" t="s">
        <v>2692</v>
      </c>
      <c r="B889" s="12" t="s">
        <v>2693</v>
      </c>
      <c r="C889" s="12" t="s">
        <v>50</v>
      </c>
      <c r="D889" s="12" t="s">
        <v>130</v>
      </c>
      <c r="E889" s="12" t="s">
        <v>131</v>
      </c>
      <c r="F889" s="13">
        <v>258.45999999999998</v>
      </c>
      <c r="G889" s="13">
        <v>18.02</v>
      </c>
      <c r="H889" s="13">
        <v>211.88</v>
      </c>
      <c r="I889" s="13">
        <v>3.4</v>
      </c>
      <c r="J889" s="13">
        <v>6</v>
      </c>
      <c r="K889" s="13">
        <v>46</v>
      </c>
      <c r="L889" s="12" t="s">
        <v>2694</v>
      </c>
      <c r="M889" s="12">
        <v>3.7</v>
      </c>
      <c r="N889" s="14">
        <v>45484</v>
      </c>
      <c r="O889" s="13">
        <v>6</v>
      </c>
      <c r="P889" s="12" t="s">
        <v>30</v>
      </c>
      <c r="Q889" s="12" t="s">
        <v>46</v>
      </c>
      <c r="R889" s="12" t="s">
        <v>47</v>
      </c>
      <c r="S889" s="12" t="b">
        <v>0</v>
      </c>
      <c r="T889" s="12" t="s">
        <v>56</v>
      </c>
      <c r="U889" s="15">
        <f t="shared" si="52"/>
        <v>46.574491999999999</v>
      </c>
      <c r="V889" s="15">
        <f t="shared" si="53"/>
        <v>103.384</v>
      </c>
      <c r="W889" s="15">
        <f t="shared" si="54"/>
        <v>31.782</v>
      </c>
      <c r="X889" s="15">
        <f t="shared" si="55"/>
        <v>76.713999999999999</v>
      </c>
    </row>
    <row r="890" spans="1:24">
      <c r="A890" s="12" t="s">
        <v>2695</v>
      </c>
      <c r="B890" s="12" t="s">
        <v>2696</v>
      </c>
      <c r="C890" s="12" t="s">
        <v>75</v>
      </c>
      <c r="D890" s="12" t="s">
        <v>135</v>
      </c>
      <c r="E890" s="12" t="s">
        <v>52</v>
      </c>
      <c r="F890" s="13">
        <v>4676.4799999999996</v>
      </c>
      <c r="G890" s="13">
        <v>36.57</v>
      </c>
      <c r="H890" s="13">
        <v>2966.24</v>
      </c>
      <c r="I890" s="13">
        <v>4.4000000000000004</v>
      </c>
      <c r="J890" s="13">
        <v>7</v>
      </c>
      <c r="K890" s="13">
        <v>487</v>
      </c>
      <c r="L890" s="12" t="s">
        <v>2697</v>
      </c>
      <c r="M890" s="12">
        <v>4.9000000000000004</v>
      </c>
      <c r="N890" s="14">
        <v>45816</v>
      </c>
      <c r="O890" s="13">
        <v>4</v>
      </c>
      <c r="P890" s="12" t="s">
        <v>40</v>
      </c>
      <c r="Q890" s="12" t="s">
        <v>31</v>
      </c>
      <c r="R890" s="12" t="s">
        <v>47</v>
      </c>
      <c r="S890" s="12" t="b">
        <v>0</v>
      </c>
      <c r="T890" s="12" t="s">
        <v>78</v>
      </c>
      <c r="U890" s="15">
        <f t="shared" si="52"/>
        <v>1710.1887360000001</v>
      </c>
      <c r="V890" s="15">
        <f t="shared" si="53"/>
        <v>1870.5920000000001</v>
      </c>
      <c r="W890" s="15">
        <f t="shared" si="54"/>
        <v>444.93599999999998</v>
      </c>
      <c r="X890" s="15">
        <f t="shared" si="55"/>
        <v>650.71199999999999</v>
      </c>
    </row>
    <row r="891" spans="1:24">
      <c r="A891" s="12" t="s">
        <v>2698</v>
      </c>
      <c r="B891" s="12" t="s">
        <v>2699</v>
      </c>
      <c r="C891" s="12" t="s">
        <v>36</v>
      </c>
      <c r="D891" s="12" t="s">
        <v>37</v>
      </c>
      <c r="E891" s="12" t="s">
        <v>92</v>
      </c>
      <c r="F891" s="13">
        <v>5755.26</v>
      </c>
      <c r="G891" s="13">
        <v>38.19</v>
      </c>
      <c r="H891" s="13">
        <v>3557.2</v>
      </c>
      <c r="I891" s="13">
        <v>3.3</v>
      </c>
      <c r="J891" s="13">
        <v>29</v>
      </c>
      <c r="K891" s="13">
        <v>152</v>
      </c>
      <c r="L891" s="12" t="s">
        <v>2700</v>
      </c>
      <c r="M891" s="12">
        <v>2.7</v>
      </c>
      <c r="N891" s="14">
        <v>46109</v>
      </c>
      <c r="O891" s="13">
        <v>5</v>
      </c>
      <c r="P891" s="12" t="s">
        <v>40</v>
      </c>
      <c r="Q891" s="12" t="s">
        <v>46</v>
      </c>
      <c r="R891" s="12" t="s">
        <v>72</v>
      </c>
      <c r="S891" s="12" t="b">
        <v>0</v>
      </c>
      <c r="T891" s="12" t="s">
        <v>78</v>
      </c>
      <c r="U891" s="15">
        <f t="shared" si="52"/>
        <v>2197.933794</v>
      </c>
      <c r="V891" s="15">
        <f t="shared" si="53"/>
        <v>2302.1039999999998</v>
      </c>
      <c r="W891" s="15">
        <f t="shared" si="54"/>
        <v>533.58000000000004</v>
      </c>
      <c r="X891" s="15">
        <f t="shared" si="55"/>
        <v>721.51599999999996</v>
      </c>
    </row>
    <row r="892" spans="1:24">
      <c r="A892" s="12" t="s">
        <v>2701</v>
      </c>
      <c r="B892" s="12" t="s">
        <v>2702</v>
      </c>
      <c r="C892" s="12" t="s">
        <v>50</v>
      </c>
      <c r="D892" s="12" t="s">
        <v>51</v>
      </c>
      <c r="E892" s="12" t="s">
        <v>52</v>
      </c>
      <c r="F892" s="13">
        <v>2327.62</v>
      </c>
      <c r="G892" s="13">
        <v>26.84</v>
      </c>
      <c r="H892" s="13">
        <v>1702.87</v>
      </c>
      <c r="I892" s="13">
        <v>3.1</v>
      </c>
      <c r="J892" s="13">
        <v>73</v>
      </c>
      <c r="K892" s="13">
        <v>26</v>
      </c>
      <c r="L892" s="12" t="s">
        <v>2703</v>
      </c>
      <c r="M892" s="12">
        <v>3.6</v>
      </c>
      <c r="N892" s="14">
        <v>46064</v>
      </c>
      <c r="O892" s="13">
        <v>4</v>
      </c>
      <c r="P892" s="12" t="s">
        <v>117</v>
      </c>
      <c r="Q892" s="12" t="s">
        <v>46</v>
      </c>
      <c r="R892" s="12" t="s">
        <v>47</v>
      </c>
      <c r="S892" s="12" t="b">
        <v>0</v>
      </c>
      <c r="T892" s="12" t="s">
        <v>56</v>
      </c>
      <c r="U892" s="15">
        <f t="shared" si="52"/>
        <v>624.73320799999999</v>
      </c>
      <c r="V892" s="15">
        <f t="shared" si="53"/>
        <v>931.048</v>
      </c>
      <c r="W892" s="15">
        <f t="shared" si="54"/>
        <v>255.43049999999999</v>
      </c>
      <c r="X892" s="15">
        <f t="shared" si="55"/>
        <v>516.39149999999995</v>
      </c>
    </row>
    <row r="893" spans="1:24">
      <c r="A893" s="12" t="s">
        <v>2704</v>
      </c>
      <c r="B893" s="12" t="s">
        <v>2705</v>
      </c>
      <c r="C893" s="12" t="s">
        <v>36</v>
      </c>
      <c r="D893" s="12" t="s">
        <v>108</v>
      </c>
      <c r="E893" s="12" t="s">
        <v>96</v>
      </c>
      <c r="F893" s="13">
        <v>10293.36</v>
      </c>
      <c r="G893" s="13">
        <v>19.559999999999999</v>
      </c>
      <c r="H893" s="13">
        <v>8279.64</v>
      </c>
      <c r="I893" s="13">
        <v>4</v>
      </c>
      <c r="J893" s="13">
        <v>9</v>
      </c>
      <c r="K893" s="13">
        <v>162</v>
      </c>
      <c r="L893" s="12" t="s">
        <v>2706</v>
      </c>
      <c r="M893" s="12">
        <v>4.5</v>
      </c>
      <c r="N893" s="14">
        <v>45474</v>
      </c>
      <c r="O893" s="13">
        <v>1</v>
      </c>
      <c r="P893" s="12" t="s">
        <v>40</v>
      </c>
      <c r="Q893" s="12" t="s">
        <v>31</v>
      </c>
      <c r="R893" s="12" t="s">
        <v>86</v>
      </c>
      <c r="S893" s="12" t="b">
        <v>0</v>
      </c>
      <c r="T893" s="12" t="s">
        <v>78</v>
      </c>
      <c r="U893" s="15">
        <f t="shared" si="52"/>
        <v>2013.381216</v>
      </c>
      <c r="V893" s="15">
        <f t="shared" si="53"/>
        <v>4117.3440000000001</v>
      </c>
      <c r="W893" s="15">
        <f t="shared" si="54"/>
        <v>1241.9459999999999</v>
      </c>
      <c r="X893" s="15">
        <f t="shared" si="55"/>
        <v>2920.35</v>
      </c>
    </row>
    <row r="894" spans="1:24">
      <c r="A894" s="12" t="s">
        <v>2707</v>
      </c>
      <c r="B894" s="12" t="s">
        <v>2708</v>
      </c>
      <c r="C894" s="12" t="s">
        <v>50</v>
      </c>
      <c r="D894" s="12" t="s">
        <v>130</v>
      </c>
      <c r="E894" s="12" t="s">
        <v>96</v>
      </c>
      <c r="F894" s="13">
        <v>4744.2</v>
      </c>
      <c r="G894" s="13">
        <v>14.77</v>
      </c>
      <c r="H894" s="13">
        <v>4043.42</v>
      </c>
      <c r="I894" s="13">
        <v>3.1</v>
      </c>
      <c r="J894" s="13">
        <v>6</v>
      </c>
      <c r="K894" s="13">
        <v>283</v>
      </c>
      <c r="L894" s="12" t="s">
        <v>2709</v>
      </c>
      <c r="M894" s="12">
        <v>4.4000000000000004</v>
      </c>
      <c r="N894" s="14">
        <v>45945</v>
      </c>
      <c r="O894" s="13">
        <v>4</v>
      </c>
      <c r="P894" s="12" t="s">
        <v>54</v>
      </c>
      <c r="Q894" s="12" t="s">
        <v>46</v>
      </c>
      <c r="R894" s="12" t="s">
        <v>47</v>
      </c>
      <c r="S894" s="12" t="b">
        <v>0</v>
      </c>
      <c r="T894" s="12" t="s">
        <v>56</v>
      </c>
      <c r="U894" s="15">
        <f t="shared" si="52"/>
        <v>700.71834000000001</v>
      </c>
      <c r="V894" s="15">
        <f t="shared" si="53"/>
        <v>1897.68</v>
      </c>
      <c r="W894" s="15">
        <f t="shared" si="54"/>
        <v>606.51300000000003</v>
      </c>
      <c r="X894" s="15">
        <f t="shared" si="55"/>
        <v>1539.2270000000001</v>
      </c>
    </row>
    <row r="895" spans="1:24">
      <c r="A895" s="12" t="s">
        <v>2710</v>
      </c>
      <c r="B895" s="12" t="s">
        <v>2711</v>
      </c>
      <c r="C895" s="12" t="s">
        <v>36</v>
      </c>
      <c r="D895" s="12" t="s">
        <v>37</v>
      </c>
      <c r="E895" s="12" t="s">
        <v>235</v>
      </c>
      <c r="F895" s="13">
        <v>1282.56</v>
      </c>
      <c r="G895" s="13">
        <v>39.33</v>
      </c>
      <c r="H895" s="13">
        <v>778.08</v>
      </c>
      <c r="I895" s="13">
        <v>4.2</v>
      </c>
      <c r="J895" s="13">
        <v>100</v>
      </c>
      <c r="K895" s="13">
        <v>256</v>
      </c>
      <c r="L895" s="12" t="s">
        <v>2712</v>
      </c>
      <c r="M895" s="12">
        <v>3.8</v>
      </c>
      <c r="N895" s="14">
        <v>45580</v>
      </c>
      <c r="O895" s="13">
        <v>5</v>
      </c>
      <c r="P895" s="12" t="s">
        <v>40</v>
      </c>
      <c r="Q895" s="12" t="s">
        <v>46</v>
      </c>
      <c r="R895" s="12" t="s">
        <v>72</v>
      </c>
      <c r="S895" s="12" t="b">
        <v>0</v>
      </c>
      <c r="T895" s="12" t="s">
        <v>62</v>
      </c>
      <c r="U895" s="15">
        <f t="shared" si="52"/>
        <v>504.43084800000003</v>
      </c>
      <c r="V895" s="15">
        <f t="shared" si="53"/>
        <v>513.024</v>
      </c>
      <c r="W895" s="15">
        <f t="shared" si="54"/>
        <v>116.712</v>
      </c>
      <c r="X895" s="15">
        <f t="shared" si="55"/>
        <v>148.34399999999999</v>
      </c>
    </row>
    <row r="896" spans="1:24">
      <c r="A896" s="12" t="s">
        <v>2713</v>
      </c>
      <c r="B896" s="12" t="s">
        <v>2714</v>
      </c>
      <c r="C896" s="12" t="s">
        <v>75</v>
      </c>
      <c r="D896" s="12" t="s">
        <v>135</v>
      </c>
      <c r="E896" s="12" t="s">
        <v>131</v>
      </c>
      <c r="F896" s="13">
        <v>531.30999999999995</v>
      </c>
      <c r="G896" s="13">
        <v>20.62</v>
      </c>
      <c r="H896" s="13">
        <v>421.74</v>
      </c>
      <c r="I896" s="13">
        <v>4</v>
      </c>
      <c r="J896" s="13">
        <v>43</v>
      </c>
      <c r="K896" s="13">
        <v>21</v>
      </c>
      <c r="L896" s="12" t="s">
        <v>2715</v>
      </c>
      <c r="M896" s="12">
        <v>3.8</v>
      </c>
      <c r="N896" s="14">
        <v>45631</v>
      </c>
      <c r="O896" s="13">
        <v>6</v>
      </c>
      <c r="P896" s="12" t="s">
        <v>117</v>
      </c>
      <c r="Q896" s="12" t="s">
        <v>55</v>
      </c>
      <c r="R896" s="12" t="s">
        <v>72</v>
      </c>
      <c r="S896" s="12" t="b">
        <v>0</v>
      </c>
      <c r="T896" s="12" t="s">
        <v>62</v>
      </c>
      <c r="U896" s="15">
        <f t="shared" si="52"/>
        <v>109.556122</v>
      </c>
      <c r="V896" s="15">
        <f t="shared" si="53"/>
        <v>212.524</v>
      </c>
      <c r="W896" s="15">
        <f t="shared" si="54"/>
        <v>63.261000000000003</v>
      </c>
      <c r="X896" s="15">
        <f t="shared" si="55"/>
        <v>145.95500000000001</v>
      </c>
    </row>
    <row r="897" spans="1:24">
      <c r="A897" s="12" t="s">
        <v>2716</v>
      </c>
      <c r="B897" s="12" t="s">
        <v>2717</v>
      </c>
      <c r="C897" s="12" t="s">
        <v>75</v>
      </c>
      <c r="D897" s="12" t="s">
        <v>135</v>
      </c>
      <c r="E897" s="12" t="s">
        <v>38</v>
      </c>
      <c r="F897" s="13">
        <v>3273.22</v>
      </c>
      <c r="G897" s="13">
        <v>28.67</v>
      </c>
      <c r="H897" s="13">
        <v>2334.73</v>
      </c>
      <c r="I897" s="13">
        <v>4.0999999999999996</v>
      </c>
      <c r="J897" s="13">
        <v>28</v>
      </c>
      <c r="K897" s="13">
        <v>128</v>
      </c>
      <c r="L897" s="12" t="s">
        <v>2718</v>
      </c>
      <c r="M897" s="12">
        <v>2.9</v>
      </c>
      <c r="N897" s="14">
        <v>45625</v>
      </c>
      <c r="O897" s="13">
        <v>6</v>
      </c>
      <c r="P897" s="12" t="s">
        <v>117</v>
      </c>
      <c r="Q897" s="12" t="s">
        <v>55</v>
      </c>
      <c r="R897" s="12" t="s">
        <v>47</v>
      </c>
      <c r="S897" s="12" t="b">
        <v>0</v>
      </c>
      <c r="T897" s="12" t="s">
        <v>62</v>
      </c>
      <c r="U897" s="15">
        <f t="shared" si="52"/>
        <v>938.43217400000003</v>
      </c>
      <c r="V897" s="15">
        <f t="shared" si="53"/>
        <v>1309.288</v>
      </c>
      <c r="W897" s="15">
        <f t="shared" si="54"/>
        <v>350.20949999999999</v>
      </c>
      <c r="X897" s="15">
        <f t="shared" si="55"/>
        <v>675.23249999999996</v>
      </c>
    </row>
    <row r="898" spans="1:24">
      <c r="A898" s="12" t="s">
        <v>2719</v>
      </c>
      <c r="B898" s="12" t="s">
        <v>2720</v>
      </c>
      <c r="C898" s="12" t="s">
        <v>36</v>
      </c>
      <c r="D898" s="12" t="s">
        <v>37</v>
      </c>
      <c r="E898" s="12" t="s">
        <v>38</v>
      </c>
      <c r="F898" s="13">
        <v>3865.94</v>
      </c>
      <c r="G898" s="13">
        <v>5.04</v>
      </c>
      <c r="H898" s="13">
        <v>3671</v>
      </c>
      <c r="I898" s="13">
        <v>3.8</v>
      </c>
      <c r="J898" s="13">
        <v>78</v>
      </c>
      <c r="K898" s="13">
        <v>288</v>
      </c>
      <c r="L898" s="12" t="s">
        <v>2721</v>
      </c>
      <c r="M898" s="12">
        <v>3.8</v>
      </c>
      <c r="N898" s="14">
        <v>45579</v>
      </c>
      <c r="O898" s="13">
        <v>4</v>
      </c>
      <c r="P898" s="12" t="s">
        <v>54</v>
      </c>
      <c r="Q898" s="12" t="s">
        <v>55</v>
      </c>
      <c r="R898" s="12" t="s">
        <v>32</v>
      </c>
      <c r="S898" s="12" t="b">
        <v>0</v>
      </c>
      <c r="T898" s="12" t="s">
        <v>56</v>
      </c>
      <c r="U898" s="15">
        <f t="shared" si="52"/>
        <v>194.84337600000001</v>
      </c>
      <c r="V898" s="15">
        <f t="shared" si="53"/>
        <v>1546.376</v>
      </c>
      <c r="W898" s="15">
        <f t="shared" si="54"/>
        <v>550.65</v>
      </c>
      <c r="X898" s="15">
        <f t="shared" si="55"/>
        <v>1573.9739999999999</v>
      </c>
    </row>
    <row r="899" spans="1:24">
      <c r="A899" s="12" t="s">
        <v>2722</v>
      </c>
      <c r="B899" s="12" t="s">
        <v>2723</v>
      </c>
      <c r="C899" s="12" t="s">
        <v>26</v>
      </c>
      <c r="D899" s="12" t="s">
        <v>123</v>
      </c>
      <c r="E899" s="12" t="s">
        <v>28</v>
      </c>
      <c r="F899" s="13">
        <v>15268.91</v>
      </c>
      <c r="G899" s="13">
        <v>23.79</v>
      </c>
      <c r="H899" s="13">
        <v>11636.08</v>
      </c>
      <c r="I899" s="13">
        <v>3.7</v>
      </c>
      <c r="J899" s="13">
        <v>28</v>
      </c>
      <c r="K899" s="13">
        <v>107</v>
      </c>
      <c r="L899" s="12" t="s">
        <v>2724</v>
      </c>
      <c r="M899" s="12">
        <v>2.9</v>
      </c>
      <c r="N899" s="14">
        <v>45399</v>
      </c>
      <c r="O899" s="13">
        <v>2</v>
      </c>
      <c r="P899" s="12" t="s">
        <v>45</v>
      </c>
      <c r="Q899" s="12" t="s">
        <v>55</v>
      </c>
      <c r="R899" s="12" t="s">
        <v>72</v>
      </c>
      <c r="S899" s="12" t="b">
        <v>0</v>
      </c>
      <c r="T899" s="12" t="s">
        <v>62</v>
      </c>
      <c r="U899" s="15">
        <f t="shared" ref="U899:U962" si="56">F899*(G899/100)</f>
        <v>3632.4736889999999</v>
      </c>
      <c r="V899" s="15">
        <f t="shared" ref="V899:V962" si="57">F899*0.4</f>
        <v>6107.5640000000003</v>
      </c>
      <c r="W899" s="15">
        <f t="shared" ref="W899:W962" si="58">H899*0.15</f>
        <v>1745.412</v>
      </c>
      <c r="X899" s="15">
        <f t="shared" ref="X899:X962" si="59">H899-V899-W899</f>
        <v>3783.1039999999998</v>
      </c>
    </row>
    <row r="900" spans="1:24">
      <c r="A900" s="12" t="s">
        <v>2725</v>
      </c>
      <c r="B900" s="12" t="s">
        <v>2726</v>
      </c>
      <c r="C900" s="12" t="s">
        <v>59</v>
      </c>
      <c r="D900" s="12" t="s">
        <v>60</v>
      </c>
      <c r="E900" s="12" t="s">
        <v>235</v>
      </c>
      <c r="F900" s="13">
        <v>15290.94</v>
      </c>
      <c r="G900" s="13">
        <v>47.14</v>
      </c>
      <c r="H900" s="13">
        <v>8083.49</v>
      </c>
      <c r="I900" s="13">
        <v>4.2</v>
      </c>
      <c r="J900" s="13">
        <v>63</v>
      </c>
      <c r="K900" s="13">
        <v>164</v>
      </c>
      <c r="L900" s="12" t="s">
        <v>2727</v>
      </c>
      <c r="M900" s="12">
        <v>2.8</v>
      </c>
      <c r="N900" s="14">
        <v>45408</v>
      </c>
      <c r="O900" s="13">
        <v>6</v>
      </c>
      <c r="P900" s="12" t="s">
        <v>30</v>
      </c>
      <c r="Q900" s="12" t="s">
        <v>46</v>
      </c>
      <c r="R900" s="12" t="s">
        <v>86</v>
      </c>
      <c r="S900" s="12" t="b">
        <v>0</v>
      </c>
      <c r="T900" s="12" t="s">
        <v>62</v>
      </c>
      <c r="U900" s="15">
        <f t="shared" si="56"/>
        <v>7208.1491159999996</v>
      </c>
      <c r="V900" s="15">
        <f t="shared" si="57"/>
        <v>6116.3760000000002</v>
      </c>
      <c r="W900" s="15">
        <f t="shared" si="58"/>
        <v>1212.5235</v>
      </c>
      <c r="X900" s="15">
        <f t="shared" si="59"/>
        <v>754.59050000000002</v>
      </c>
    </row>
    <row r="901" spans="1:24">
      <c r="A901" s="12" t="s">
        <v>2728</v>
      </c>
      <c r="B901" s="12" t="s">
        <v>2729</v>
      </c>
      <c r="C901" s="12" t="s">
        <v>59</v>
      </c>
      <c r="D901" s="12" t="s">
        <v>69</v>
      </c>
      <c r="E901" s="12" t="s">
        <v>28</v>
      </c>
      <c r="F901" s="13">
        <v>11987.48</v>
      </c>
      <c r="G901" s="13">
        <v>5.95</v>
      </c>
      <c r="H901" s="13">
        <v>11273.89</v>
      </c>
      <c r="I901" s="13">
        <v>4.5999999999999996</v>
      </c>
      <c r="J901" s="13">
        <v>8</v>
      </c>
      <c r="K901" s="13">
        <v>311</v>
      </c>
      <c r="L901" s="12" t="s">
        <v>2730</v>
      </c>
      <c r="M901" s="12">
        <v>2.5</v>
      </c>
      <c r="N901" s="14">
        <v>45394</v>
      </c>
      <c r="O901" s="13">
        <v>5</v>
      </c>
      <c r="P901" s="12" t="s">
        <v>54</v>
      </c>
      <c r="Q901" s="12" t="s">
        <v>46</v>
      </c>
      <c r="R901" s="12" t="s">
        <v>32</v>
      </c>
      <c r="S901" s="12" t="b">
        <v>0</v>
      </c>
      <c r="T901" s="12" t="s">
        <v>62</v>
      </c>
      <c r="U901" s="15">
        <f t="shared" si="56"/>
        <v>713.25505999999996</v>
      </c>
      <c r="V901" s="15">
        <f t="shared" si="57"/>
        <v>4794.9920000000002</v>
      </c>
      <c r="W901" s="15">
        <f t="shared" si="58"/>
        <v>1691.0835</v>
      </c>
      <c r="X901" s="15">
        <f t="shared" si="59"/>
        <v>4787.8145000000004</v>
      </c>
    </row>
    <row r="902" spans="1:24">
      <c r="A902" s="12" t="s">
        <v>2731</v>
      </c>
      <c r="B902" s="12" t="s">
        <v>2732</v>
      </c>
      <c r="C902" s="12" t="s">
        <v>75</v>
      </c>
      <c r="D902" s="12" t="s">
        <v>104</v>
      </c>
      <c r="E902" s="12" t="s">
        <v>131</v>
      </c>
      <c r="F902" s="13">
        <v>783.93</v>
      </c>
      <c r="G902" s="13">
        <v>30.88</v>
      </c>
      <c r="H902" s="13">
        <v>541.84</v>
      </c>
      <c r="I902" s="13">
        <v>4</v>
      </c>
      <c r="J902" s="13">
        <v>19</v>
      </c>
      <c r="K902" s="13">
        <v>275</v>
      </c>
      <c r="L902" s="12" t="s">
        <v>2733</v>
      </c>
      <c r="M902" s="12">
        <v>4</v>
      </c>
      <c r="N902" s="14">
        <v>45523</v>
      </c>
      <c r="O902" s="13">
        <v>4</v>
      </c>
      <c r="P902" s="12" t="s">
        <v>117</v>
      </c>
      <c r="Q902" s="12" t="s">
        <v>31</v>
      </c>
      <c r="R902" s="12" t="s">
        <v>32</v>
      </c>
      <c r="S902" s="12" t="b">
        <v>0</v>
      </c>
      <c r="T902" s="12" t="s">
        <v>62</v>
      </c>
      <c r="U902" s="15">
        <f t="shared" si="56"/>
        <v>242.077584</v>
      </c>
      <c r="V902" s="15">
        <f t="shared" si="57"/>
        <v>313.572</v>
      </c>
      <c r="W902" s="15">
        <f t="shared" si="58"/>
        <v>81.275999999999996</v>
      </c>
      <c r="X902" s="15">
        <f t="shared" si="59"/>
        <v>146.99199999999999</v>
      </c>
    </row>
    <row r="903" spans="1:24">
      <c r="A903" s="12" t="s">
        <v>2734</v>
      </c>
      <c r="B903" s="12" t="s">
        <v>2735</v>
      </c>
      <c r="C903" s="12" t="s">
        <v>26</v>
      </c>
      <c r="D903" s="12" t="s">
        <v>148</v>
      </c>
      <c r="E903" s="12" t="s">
        <v>100</v>
      </c>
      <c r="F903" s="13">
        <v>59061.22</v>
      </c>
      <c r="G903" s="13">
        <v>39.35</v>
      </c>
      <c r="H903" s="13">
        <v>35820.9</v>
      </c>
      <c r="I903" s="13">
        <v>5</v>
      </c>
      <c r="J903" s="13">
        <v>7</v>
      </c>
      <c r="K903" s="13">
        <v>423</v>
      </c>
      <c r="L903" s="12" t="s">
        <v>1769</v>
      </c>
      <c r="M903" s="12">
        <v>3.9</v>
      </c>
      <c r="N903" s="14">
        <v>45808</v>
      </c>
      <c r="O903" s="13">
        <v>5</v>
      </c>
      <c r="P903" s="12" t="s">
        <v>40</v>
      </c>
      <c r="Q903" s="12" t="s">
        <v>55</v>
      </c>
      <c r="R903" s="12" t="s">
        <v>47</v>
      </c>
      <c r="S903" s="12" t="b">
        <v>0</v>
      </c>
      <c r="T903" s="12" t="s">
        <v>62</v>
      </c>
      <c r="U903" s="15">
        <f t="shared" si="56"/>
        <v>23240.590069999998</v>
      </c>
      <c r="V903" s="15">
        <f t="shared" si="57"/>
        <v>23624.488000000001</v>
      </c>
      <c r="W903" s="15">
        <f t="shared" si="58"/>
        <v>5373.1350000000002</v>
      </c>
      <c r="X903" s="15">
        <f t="shared" si="59"/>
        <v>6823.277</v>
      </c>
    </row>
    <row r="904" spans="1:24">
      <c r="A904" s="12" t="s">
        <v>2736</v>
      </c>
      <c r="B904" s="12" t="s">
        <v>2737</v>
      </c>
      <c r="C904" s="12" t="s">
        <v>26</v>
      </c>
      <c r="D904" s="12" t="s">
        <v>27</v>
      </c>
      <c r="E904" s="12" t="s">
        <v>235</v>
      </c>
      <c r="F904" s="13">
        <v>55639.21</v>
      </c>
      <c r="G904" s="13">
        <v>5.85</v>
      </c>
      <c r="H904" s="13">
        <v>52385.2</v>
      </c>
      <c r="I904" s="13">
        <v>3.7</v>
      </c>
      <c r="J904" s="13">
        <v>40</v>
      </c>
      <c r="K904" s="13">
        <v>4</v>
      </c>
      <c r="L904" s="12" t="s">
        <v>2738</v>
      </c>
      <c r="M904" s="12">
        <v>4</v>
      </c>
      <c r="N904" s="14">
        <v>45731</v>
      </c>
      <c r="O904" s="13">
        <v>1</v>
      </c>
      <c r="P904" s="12" t="s">
        <v>30</v>
      </c>
      <c r="Q904" s="12" t="s">
        <v>31</v>
      </c>
      <c r="R904" s="12" t="s">
        <v>32</v>
      </c>
      <c r="S904" s="12" t="b">
        <v>0</v>
      </c>
      <c r="T904" s="12" t="s">
        <v>56</v>
      </c>
      <c r="U904" s="15">
        <f t="shared" si="56"/>
        <v>3254.8937850000002</v>
      </c>
      <c r="V904" s="15">
        <f t="shared" si="57"/>
        <v>22255.684000000001</v>
      </c>
      <c r="W904" s="15">
        <f t="shared" si="58"/>
        <v>7857.78</v>
      </c>
      <c r="X904" s="15">
        <f t="shared" si="59"/>
        <v>22271.736000000001</v>
      </c>
    </row>
    <row r="905" spans="1:24">
      <c r="A905" s="12" t="s">
        <v>2739</v>
      </c>
      <c r="B905" s="12" t="s">
        <v>2740</v>
      </c>
      <c r="C905" s="12" t="s">
        <v>59</v>
      </c>
      <c r="D905" s="12" t="s">
        <v>69</v>
      </c>
      <c r="E905" s="12" t="s">
        <v>84</v>
      </c>
      <c r="F905" s="13">
        <v>1389.71</v>
      </c>
      <c r="G905" s="13">
        <v>37.33</v>
      </c>
      <c r="H905" s="13">
        <v>870.88</v>
      </c>
      <c r="I905" s="13">
        <v>4.4000000000000004</v>
      </c>
      <c r="J905" s="13">
        <v>19</v>
      </c>
      <c r="K905" s="13">
        <v>413</v>
      </c>
      <c r="L905" s="12" t="s">
        <v>2741</v>
      </c>
      <c r="M905" s="12">
        <v>3.6</v>
      </c>
      <c r="N905" s="14">
        <v>45760</v>
      </c>
      <c r="O905" s="13">
        <v>6</v>
      </c>
      <c r="P905" s="12" t="s">
        <v>45</v>
      </c>
      <c r="Q905" s="12" t="s">
        <v>46</v>
      </c>
      <c r="R905" s="12" t="s">
        <v>86</v>
      </c>
      <c r="S905" s="12" t="b">
        <v>0</v>
      </c>
      <c r="T905" s="12" t="s">
        <v>56</v>
      </c>
      <c r="U905" s="15">
        <f t="shared" si="56"/>
        <v>518.77874299999996</v>
      </c>
      <c r="V905" s="15">
        <f t="shared" si="57"/>
        <v>555.88400000000001</v>
      </c>
      <c r="W905" s="15">
        <f t="shared" si="58"/>
        <v>130.63200000000001</v>
      </c>
      <c r="X905" s="15">
        <f t="shared" si="59"/>
        <v>184.364</v>
      </c>
    </row>
    <row r="906" spans="1:24">
      <c r="A906" s="12" t="s">
        <v>2742</v>
      </c>
      <c r="B906" s="12" t="s">
        <v>2743</v>
      </c>
      <c r="C906" s="12" t="s">
        <v>26</v>
      </c>
      <c r="D906" s="12" t="s">
        <v>313</v>
      </c>
      <c r="E906" s="12" t="s">
        <v>235</v>
      </c>
      <c r="F906" s="13">
        <v>20057.5</v>
      </c>
      <c r="G906" s="13">
        <v>26.88</v>
      </c>
      <c r="H906" s="13">
        <v>14665.52</v>
      </c>
      <c r="I906" s="13">
        <v>4.3</v>
      </c>
      <c r="J906" s="13">
        <v>51</v>
      </c>
      <c r="K906" s="13">
        <v>100</v>
      </c>
      <c r="L906" s="12" t="s">
        <v>2744</v>
      </c>
      <c r="M906" s="12">
        <v>4.8</v>
      </c>
      <c r="N906" s="14">
        <v>45916</v>
      </c>
      <c r="O906" s="13">
        <v>2</v>
      </c>
      <c r="P906" s="12" t="s">
        <v>45</v>
      </c>
      <c r="Q906" s="12" t="s">
        <v>46</v>
      </c>
      <c r="R906" s="12" t="s">
        <v>72</v>
      </c>
      <c r="S906" s="12" t="b">
        <v>0</v>
      </c>
      <c r="T906" s="12" t="s">
        <v>62</v>
      </c>
      <c r="U906" s="15">
        <f t="shared" si="56"/>
        <v>5391.4560000000001</v>
      </c>
      <c r="V906" s="15">
        <f t="shared" si="57"/>
        <v>8023</v>
      </c>
      <c r="W906" s="15">
        <f t="shared" si="58"/>
        <v>2199.828</v>
      </c>
      <c r="X906" s="15">
        <f t="shared" si="59"/>
        <v>4442.692</v>
      </c>
    </row>
    <row r="907" spans="1:24">
      <c r="A907" s="12" t="s">
        <v>2745</v>
      </c>
      <c r="B907" s="12" t="s">
        <v>2746</v>
      </c>
      <c r="C907" s="12" t="s">
        <v>36</v>
      </c>
      <c r="D907" s="12" t="s">
        <v>37</v>
      </c>
      <c r="E907" s="12" t="s">
        <v>92</v>
      </c>
      <c r="F907" s="13">
        <v>13378.75</v>
      </c>
      <c r="G907" s="13">
        <v>43.46</v>
      </c>
      <c r="H907" s="13">
        <v>7563.87</v>
      </c>
      <c r="I907" s="13">
        <v>3.9</v>
      </c>
      <c r="J907" s="13">
        <v>67</v>
      </c>
      <c r="K907" s="13">
        <v>378</v>
      </c>
      <c r="L907" s="12" t="s">
        <v>2747</v>
      </c>
      <c r="M907" s="12">
        <v>2.6</v>
      </c>
      <c r="N907" s="14">
        <v>45616</v>
      </c>
      <c r="O907" s="13">
        <v>5</v>
      </c>
      <c r="P907" s="12" t="s">
        <v>45</v>
      </c>
      <c r="Q907" s="12" t="s">
        <v>46</v>
      </c>
      <c r="R907" s="12" t="s">
        <v>47</v>
      </c>
      <c r="S907" s="12" t="b">
        <v>0</v>
      </c>
      <c r="T907" s="12" t="s">
        <v>62</v>
      </c>
      <c r="U907" s="15">
        <f t="shared" si="56"/>
        <v>5814.4047499999997</v>
      </c>
      <c r="V907" s="15">
        <f t="shared" si="57"/>
        <v>5351.5</v>
      </c>
      <c r="W907" s="15">
        <f t="shared" si="58"/>
        <v>1134.5805</v>
      </c>
      <c r="X907" s="15">
        <f t="shared" si="59"/>
        <v>1077.7895000000001</v>
      </c>
    </row>
    <row r="908" spans="1:24">
      <c r="A908" s="12" t="s">
        <v>2748</v>
      </c>
      <c r="B908" s="12" t="s">
        <v>2749</v>
      </c>
      <c r="C908" s="12" t="s">
        <v>26</v>
      </c>
      <c r="D908" s="12" t="s">
        <v>123</v>
      </c>
      <c r="E908" s="12" t="s">
        <v>52</v>
      </c>
      <c r="F908" s="13">
        <v>64668.639999999999</v>
      </c>
      <c r="G908" s="13">
        <v>34.19</v>
      </c>
      <c r="H908" s="13">
        <v>42560.32</v>
      </c>
      <c r="I908" s="13">
        <v>5</v>
      </c>
      <c r="J908" s="13">
        <v>53</v>
      </c>
      <c r="K908" s="13">
        <v>451</v>
      </c>
      <c r="L908" s="12" t="s">
        <v>2750</v>
      </c>
      <c r="M908" s="12">
        <v>3.8</v>
      </c>
      <c r="N908" s="14">
        <v>46018</v>
      </c>
      <c r="O908" s="13">
        <v>4</v>
      </c>
      <c r="P908" s="12" t="s">
        <v>45</v>
      </c>
      <c r="Q908" s="12" t="s">
        <v>31</v>
      </c>
      <c r="R908" s="12" t="s">
        <v>72</v>
      </c>
      <c r="S908" s="12" t="b">
        <v>0</v>
      </c>
      <c r="T908" s="12" t="s">
        <v>78</v>
      </c>
      <c r="U908" s="15">
        <f t="shared" si="56"/>
        <v>22110.208016</v>
      </c>
      <c r="V908" s="15">
        <f t="shared" si="57"/>
        <v>25867.455999999998</v>
      </c>
      <c r="W908" s="15">
        <f t="shared" si="58"/>
        <v>6384.0479999999998</v>
      </c>
      <c r="X908" s="15">
        <f t="shared" si="59"/>
        <v>10308.816000000001</v>
      </c>
    </row>
    <row r="909" spans="1:24">
      <c r="A909" s="12" t="s">
        <v>2751</v>
      </c>
      <c r="B909" s="12" t="s">
        <v>2752</v>
      </c>
      <c r="C909" s="12" t="s">
        <v>26</v>
      </c>
      <c r="D909" s="12" t="s">
        <v>313</v>
      </c>
      <c r="E909" s="12" t="s">
        <v>100</v>
      </c>
      <c r="F909" s="13">
        <v>7523.77</v>
      </c>
      <c r="G909" s="13">
        <v>21.16</v>
      </c>
      <c r="H909" s="13">
        <v>5931.42</v>
      </c>
      <c r="I909" s="13">
        <v>2.6</v>
      </c>
      <c r="J909" s="13">
        <v>8</v>
      </c>
      <c r="K909" s="13">
        <v>480</v>
      </c>
      <c r="L909" s="12" t="s">
        <v>2753</v>
      </c>
      <c r="M909" s="12">
        <v>4.4000000000000004</v>
      </c>
      <c r="N909" s="14">
        <v>45508</v>
      </c>
      <c r="O909" s="13">
        <v>3</v>
      </c>
      <c r="P909" s="12" t="s">
        <v>45</v>
      </c>
      <c r="Q909" s="12" t="s">
        <v>31</v>
      </c>
      <c r="R909" s="12" t="s">
        <v>32</v>
      </c>
      <c r="S909" s="12" t="b">
        <v>1</v>
      </c>
      <c r="T909" s="12" t="s">
        <v>33</v>
      </c>
      <c r="U909" s="15">
        <f t="shared" si="56"/>
        <v>1592.029732</v>
      </c>
      <c r="V909" s="15">
        <f t="shared" si="57"/>
        <v>3009.5079999999998</v>
      </c>
      <c r="W909" s="15">
        <f t="shared" si="58"/>
        <v>889.71299999999997</v>
      </c>
      <c r="X909" s="15">
        <f t="shared" si="59"/>
        <v>2032.1990000000001</v>
      </c>
    </row>
    <row r="910" spans="1:24">
      <c r="A910" s="12" t="s">
        <v>2754</v>
      </c>
      <c r="B910" s="12" t="s">
        <v>2755</v>
      </c>
      <c r="C910" s="12" t="s">
        <v>59</v>
      </c>
      <c r="D910" s="12" t="s">
        <v>170</v>
      </c>
      <c r="E910" s="12" t="s">
        <v>96</v>
      </c>
      <c r="F910" s="13">
        <v>14824.27</v>
      </c>
      <c r="G910" s="13">
        <v>22.46</v>
      </c>
      <c r="H910" s="13">
        <v>11495.42</v>
      </c>
      <c r="I910" s="13">
        <v>4.7</v>
      </c>
      <c r="J910" s="13">
        <v>5</v>
      </c>
      <c r="K910" s="13">
        <v>265</v>
      </c>
      <c r="L910" s="12" t="s">
        <v>2756</v>
      </c>
      <c r="M910" s="12">
        <v>2.7</v>
      </c>
      <c r="N910" s="14">
        <v>45669</v>
      </c>
      <c r="O910" s="13">
        <v>4</v>
      </c>
      <c r="P910" s="12" t="s">
        <v>30</v>
      </c>
      <c r="Q910" s="12" t="s">
        <v>55</v>
      </c>
      <c r="R910" s="12" t="s">
        <v>72</v>
      </c>
      <c r="S910" s="12" t="b">
        <v>0</v>
      </c>
      <c r="T910" s="12" t="s">
        <v>62</v>
      </c>
      <c r="U910" s="15">
        <f t="shared" si="56"/>
        <v>3329.5310420000001</v>
      </c>
      <c r="V910" s="15">
        <f t="shared" si="57"/>
        <v>5929.7079999999996</v>
      </c>
      <c r="W910" s="15">
        <f t="shared" si="58"/>
        <v>1724.3130000000001</v>
      </c>
      <c r="X910" s="15">
        <f t="shared" si="59"/>
        <v>3841.3989999999999</v>
      </c>
    </row>
    <row r="911" spans="1:24">
      <c r="A911" s="12" t="s">
        <v>2757</v>
      </c>
      <c r="B911" s="12" t="s">
        <v>2758</v>
      </c>
      <c r="C911" s="12" t="s">
        <v>26</v>
      </c>
      <c r="D911" s="12" t="s">
        <v>123</v>
      </c>
      <c r="E911" s="12" t="s">
        <v>38</v>
      </c>
      <c r="F911" s="13">
        <v>6006.72</v>
      </c>
      <c r="G911" s="13">
        <v>28.8</v>
      </c>
      <c r="H911" s="13">
        <v>4276.83</v>
      </c>
      <c r="I911" s="13">
        <v>3.8</v>
      </c>
      <c r="J911" s="13">
        <v>8</v>
      </c>
      <c r="K911" s="13">
        <v>229</v>
      </c>
      <c r="L911" s="12" t="s">
        <v>2759</v>
      </c>
      <c r="M911" s="12">
        <v>4.4000000000000004</v>
      </c>
      <c r="N911" s="14">
        <v>45454</v>
      </c>
      <c r="O911" s="13">
        <v>4</v>
      </c>
      <c r="P911" s="12" t="s">
        <v>30</v>
      </c>
      <c r="Q911" s="12" t="s">
        <v>46</v>
      </c>
      <c r="R911" s="12" t="s">
        <v>86</v>
      </c>
      <c r="S911" s="12" t="b">
        <v>0</v>
      </c>
      <c r="T911" s="12" t="s">
        <v>78</v>
      </c>
      <c r="U911" s="15">
        <f t="shared" si="56"/>
        <v>1729.9353599999999</v>
      </c>
      <c r="V911" s="15">
        <f t="shared" si="57"/>
        <v>2402.6880000000001</v>
      </c>
      <c r="W911" s="15">
        <f t="shared" si="58"/>
        <v>641.52449999999999</v>
      </c>
      <c r="X911" s="15">
        <f t="shared" si="59"/>
        <v>1232.6175000000001</v>
      </c>
    </row>
    <row r="912" spans="1:24">
      <c r="A912" s="12" t="s">
        <v>2760</v>
      </c>
      <c r="B912" s="12" t="s">
        <v>2761</v>
      </c>
      <c r="C912" s="12" t="s">
        <v>59</v>
      </c>
      <c r="D912" s="12" t="s">
        <v>69</v>
      </c>
      <c r="E912" s="12" t="s">
        <v>65</v>
      </c>
      <c r="F912" s="13">
        <v>10904.09</v>
      </c>
      <c r="G912" s="13">
        <v>19.47</v>
      </c>
      <c r="H912" s="13">
        <v>8781.52</v>
      </c>
      <c r="I912" s="13">
        <v>3.7</v>
      </c>
      <c r="J912" s="13">
        <v>12</v>
      </c>
      <c r="K912" s="13">
        <v>500</v>
      </c>
      <c r="L912" s="12" t="s">
        <v>2762</v>
      </c>
      <c r="M912" s="12">
        <v>4.3</v>
      </c>
      <c r="N912" s="14">
        <v>45686</v>
      </c>
      <c r="O912" s="13">
        <v>2</v>
      </c>
      <c r="P912" s="12" t="s">
        <v>40</v>
      </c>
      <c r="Q912" s="12" t="s">
        <v>46</v>
      </c>
      <c r="R912" s="12" t="s">
        <v>47</v>
      </c>
      <c r="S912" s="12" t="b">
        <v>0</v>
      </c>
      <c r="T912" s="12" t="s">
        <v>78</v>
      </c>
      <c r="U912" s="15">
        <f t="shared" si="56"/>
        <v>2123.026323</v>
      </c>
      <c r="V912" s="15">
        <f t="shared" si="57"/>
        <v>4361.6360000000004</v>
      </c>
      <c r="W912" s="15">
        <f t="shared" si="58"/>
        <v>1317.2280000000001</v>
      </c>
      <c r="X912" s="15">
        <f t="shared" si="59"/>
        <v>3102.6559999999999</v>
      </c>
    </row>
    <row r="913" spans="1:24">
      <c r="A913" s="12" t="s">
        <v>2763</v>
      </c>
      <c r="B913" s="12" t="s">
        <v>2764</v>
      </c>
      <c r="C913" s="12" t="s">
        <v>75</v>
      </c>
      <c r="D913" s="12" t="s">
        <v>104</v>
      </c>
      <c r="E913" s="12" t="s">
        <v>52</v>
      </c>
      <c r="F913" s="13">
        <v>2773.52</v>
      </c>
      <c r="G913" s="13">
        <v>63.45</v>
      </c>
      <c r="H913" s="13">
        <v>1013.73</v>
      </c>
      <c r="I913" s="13">
        <v>3.2</v>
      </c>
      <c r="J913" s="13">
        <v>20</v>
      </c>
      <c r="K913" s="13">
        <v>49</v>
      </c>
      <c r="L913" s="12" t="s">
        <v>2765</v>
      </c>
      <c r="M913" s="12">
        <v>4.2</v>
      </c>
      <c r="N913" s="14">
        <v>45749</v>
      </c>
      <c r="O913" s="13">
        <v>4</v>
      </c>
      <c r="P913" s="12" t="s">
        <v>40</v>
      </c>
      <c r="Q913" s="12" t="s">
        <v>55</v>
      </c>
      <c r="R913" s="12" t="s">
        <v>86</v>
      </c>
      <c r="S913" s="12" t="b">
        <v>1</v>
      </c>
      <c r="T913" s="12" t="s">
        <v>33</v>
      </c>
      <c r="U913" s="15">
        <f t="shared" si="56"/>
        <v>1759.79844</v>
      </c>
      <c r="V913" s="15">
        <f t="shared" si="57"/>
        <v>1109.4079999999999</v>
      </c>
      <c r="W913" s="15">
        <f t="shared" si="58"/>
        <v>152.05950000000001</v>
      </c>
      <c r="X913" s="15">
        <f t="shared" si="59"/>
        <v>-247.73750000000001</v>
      </c>
    </row>
    <row r="914" spans="1:24">
      <c r="A914" s="12" t="s">
        <v>2766</v>
      </c>
      <c r="B914" s="12" t="s">
        <v>2767</v>
      </c>
      <c r="C914" s="12" t="s">
        <v>26</v>
      </c>
      <c r="D914" s="12" t="s">
        <v>313</v>
      </c>
      <c r="E914" s="12" t="s">
        <v>52</v>
      </c>
      <c r="F914" s="13">
        <v>59382.2</v>
      </c>
      <c r="G914" s="13">
        <v>29.74</v>
      </c>
      <c r="H914" s="13">
        <v>41723.32</v>
      </c>
      <c r="I914" s="13">
        <v>4.0999999999999996</v>
      </c>
      <c r="J914" s="13">
        <v>35</v>
      </c>
      <c r="K914" s="13">
        <v>122</v>
      </c>
      <c r="L914" s="12" t="s">
        <v>2768</v>
      </c>
      <c r="M914" s="12">
        <v>3.5</v>
      </c>
      <c r="N914" s="14">
        <v>45872</v>
      </c>
      <c r="O914" s="13">
        <v>3</v>
      </c>
      <c r="P914" s="12" t="s">
        <v>54</v>
      </c>
      <c r="Q914" s="12" t="s">
        <v>46</v>
      </c>
      <c r="R914" s="12" t="s">
        <v>72</v>
      </c>
      <c r="S914" s="12" t="b">
        <v>0</v>
      </c>
      <c r="T914" s="12" t="s">
        <v>62</v>
      </c>
      <c r="U914" s="15">
        <f t="shared" si="56"/>
        <v>17660.26628</v>
      </c>
      <c r="V914" s="15">
        <f t="shared" si="57"/>
        <v>23752.880000000001</v>
      </c>
      <c r="W914" s="15">
        <f t="shared" si="58"/>
        <v>6258.4979999999996</v>
      </c>
      <c r="X914" s="15">
        <f t="shared" si="59"/>
        <v>11711.941999999999</v>
      </c>
    </row>
    <row r="915" spans="1:24">
      <c r="A915" s="12" t="s">
        <v>2769</v>
      </c>
      <c r="B915" s="12" t="s">
        <v>2770</v>
      </c>
      <c r="C915" s="12" t="s">
        <v>75</v>
      </c>
      <c r="D915" s="12" t="s">
        <v>135</v>
      </c>
      <c r="E915" s="12" t="s">
        <v>65</v>
      </c>
      <c r="F915" s="13">
        <v>3414.51</v>
      </c>
      <c r="G915" s="13">
        <v>30.82</v>
      </c>
      <c r="H915" s="13">
        <v>2362.06</v>
      </c>
      <c r="I915" s="13">
        <v>3.7</v>
      </c>
      <c r="J915" s="13">
        <v>19</v>
      </c>
      <c r="K915" s="13">
        <v>320</v>
      </c>
      <c r="L915" s="12" t="s">
        <v>2771</v>
      </c>
      <c r="M915" s="12">
        <v>3.8</v>
      </c>
      <c r="N915" s="14">
        <v>46033</v>
      </c>
      <c r="O915" s="13">
        <v>4</v>
      </c>
      <c r="P915" s="12" t="s">
        <v>45</v>
      </c>
      <c r="Q915" s="12" t="s">
        <v>31</v>
      </c>
      <c r="R915" s="12" t="s">
        <v>32</v>
      </c>
      <c r="S915" s="12" t="b">
        <v>0</v>
      </c>
      <c r="T915" s="12" t="s">
        <v>78</v>
      </c>
      <c r="U915" s="15">
        <f t="shared" si="56"/>
        <v>1052.3519819999999</v>
      </c>
      <c r="V915" s="15">
        <f t="shared" si="57"/>
        <v>1365.8040000000001</v>
      </c>
      <c r="W915" s="15">
        <f t="shared" si="58"/>
        <v>354.30900000000003</v>
      </c>
      <c r="X915" s="15">
        <f t="shared" si="59"/>
        <v>641.947</v>
      </c>
    </row>
    <row r="916" spans="1:24">
      <c r="A916" s="12" t="s">
        <v>2772</v>
      </c>
      <c r="B916" s="12" t="s">
        <v>2773</v>
      </c>
      <c r="C916" s="12" t="s">
        <v>26</v>
      </c>
      <c r="D916" s="12" t="s">
        <v>27</v>
      </c>
      <c r="E916" s="12" t="s">
        <v>96</v>
      </c>
      <c r="F916" s="13">
        <v>30230.79</v>
      </c>
      <c r="G916" s="13">
        <v>8.4700000000000006</v>
      </c>
      <c r="H916" s="13">
        <v>27669.33</v>
      </c>
      <c r="I916" s="13">
        <v>4.4000000000000004</v>
      </c>
      <c r="J916" s="13">
        <v>16</v>
      </c>
      <c r="K916" s="13">
        <v>400</v>
      </c>
      <c r="L916" s="12" t="s">
        <v>2774</v>
      </c>
      <c r="M916" s="12">
        <v>4.8</v>
      </c>
      <c r="N916" s="14">
        <v>45715</v>
      </c>
      <c r="O916" s="13">
        <v>4</v>
      </c>
      <c r="P916" s="12" t="s">
        <v>30</v>
      </c>
      <c r="Q916" s="12" t="s">
        <v>46</v>
      </c>
      <c r="R916" s="12" t="s">
        <v>86</v>
      </c>
      <c r="S916" s="12" t="b">
        <v>0</v>
      </c>
      <c r="T916" s="12" t="s">
        <v>78</v>
      </c>
      <c r="U916" s="15">
        <f t="shared" si="56"/>
        <v>2560.5479129999999</v>
      </c>
      <c r="V916" s="15">
        <f t="shared" si="57"/>
        <v>12092.316000000001</v>
      </c>
      <c r="W916" s="15">
        <f t="shared" si="58"/>
        <v>4150.3995000000004</v>
      </c>
      <c r="X916" s="15">
        <f t="shared" si="59"/>
        <v>11426.6145</v>
      </c>
    </row>
    <row r="917" spans="1:24">
      <c r="A917" s="12" t="s">
        <v>2775</v>
      </c>
      <c r="B917" s="12" t="s">
        <v>2776</v>
      </c>
      <c r="C917" s="12" t="s">
        <v>59</v>
      </c>
      <c r="D917" s="12" t="s">
        <v>60</v>
      </c>
      <c r="E917" s="12" t="s">
        <v>100</v>
      </c>
      <c r="F917" s="13">
        <v>10526.53</v>
      </c>
      <c r="G917" s="13">
        <v>35.67</v>
      </c>
      <c r="H917" s="13">
        <v>6771.86</v>
      </c>
      <c r="I917" s="13">
        <v>4.5</v>
      </c>
      <c r="J917" s="13">
        <v>68</v>
      </c>
      <c r="K917" s="13">
        <v>346</v>
      </c>
      <c r="L917" s="12" t="s">
        <v>2777</v>
      </c>
      <c r="M917" s="12">
        <v>2.7</v>
      </c>
      <c r="N917" s="14">
        <v>45777</v>
      </c>
      <c r="O917" s="13">
        <v>1</v>
      </c>
      <c r="P917" s="12" t="s">
        <v>117</v>
      </c>
      <c r="Q917" s="12" t="s">
        <v>31</v>
      </c>
      <c r="R917" s="12" t="s">
        <v>32</v>
      </c>
      <c r="S917" s="12" t="b">
        <v>0</v>
      </c>
      <c r="T917" s="12" t="s">
        <v>56</v>
      </c>
      <c r="U917" s="15">
        <f t="shared" si="56"/>
        <v>3754.813251</v>
      </c>
      <c r="V917" s="15">
        <f t="shared" si="57"/>
        <v>4210.6120000000001</v>
      </c>
      <c r="W917" s="15">
        <f t="shared" si="58"/>
        <v>1015.779</v>
      </c>
      <c r="X917" s="15">
        <f t="shared" si="59"/>
        <v>1545.4690000000001</v>
      </c>
    </row>
    <row r="918" spans="1:24">
      <c r="A918" s="12" t="s">
        <v>2778</v>
      </c>
      <c r="B918" s="12" t="s">
        <v>2779</v>
      </c>
      <c r="C918" s="12" t="s">
        <v>50</v>
      </c>
      <c r="D918" s="12" t="s">
        <v>51</v>
      </c>
      <c r="E918" s="12" t="s">
        <v>84</v>
      </c>
      <c r="F918" s="13">
        <v>1929.54</v>
      </c>
      <c r="G918" s="13">
        <v>32.520000000000003</v>
      </c>
      <c r="H918" s="13">
        <v>1302.04</v>
      </c>
      <c r="I918" s="13">
        <v>4.2</v>
      </c>
      <c r="J918" s="13">
        <v>50</v>
      </c>
      <c r="K918" s="13">
        <v>119</v>
      </c>
      <c r="L918" s="12" t="s">
        <v>2780</v>
      </c>
      <c r="M918" s="12">
        <v>3.7</v>
      </c>
      <c r="N918" s="14">
        <v>45520</v>
      </c>
      <c r="O918" s="13">
        <v>1</v>
      </c>
      <c r="P918" s="12" t="s">
        <v>45</v>
      </c>
      <c r="Q918" s="12" t="s">
        <v>55</v>
      </c>
      <c r="R918" s="12" t="s">
        <v>86</v>
      </c>
      <c r="S918" s="12" t="b">
        <v>0</v>
      </c>
      <c r="T918" s="12" t="s">
        <v>56</v>
      </c>
      <c r="U918" s="15">
        <f t="shared" si="56"/>
        <v>627.48640799999998</v>
      </c>
      <c r="V918" s="15">
        <f t="shared" si="57"/>
        <v>771.81600000000003</v>
      </c>
      <c r="W918" s="15">
        <f t="shared" si="58"/>
        <v>195.30600000000001</v>
      </c>
      <c r="X918" s="15">
        <f t="shared" si="59"/>
        <v>334.91800000000001</v>
      </c>
    </row>
    <row r="919" spans="1:24">
      <c r="A919" s="12" t="s">
        <v>2781</v>
      </c>
      <c r="B919" s="12" t="s">
        <v>2782</v>
      </c>
      <c r="C919" s="12" t="s">
        <v>50</v>
      </c>
      <c r="D919" s="12" t="s">
        <v>213</v>
      </c>
      <c r="E919" s="12" t="s">
        <v>65</v>
      </c>
      <c r="F919" s="13">
        <v>2266.0300000000002</v>
      </c>
      <c r="G919" s="13">
        <v>21.86</v>
      </c>
      <c r="H919" s="13">
        <v>1770.61</v>
      </c>
      <c r="I919" s="13">
        <v>3.4</v>
      </c>
      <c r="J919" s="13">
        <v>17</v>
      </c>
      <c r="K919" s="13">
        <v>480</v>
      </c>
      <c r="L919" s="12" t="s">
        <v>2783</v>
      </c>
      <c r="M919" s="12">
        <v>2.6</v>
      </c>
      <c r="N919" s="14">
        <v>45825</v>
      </c>
      <c r="O919" s="13">
        <v>5</v>
      </c>
      <c r="P919" s="12" t="s">
        <v>40</v>
      </c>
      <c r="Q919" s="12" t="s">
        <v>55</v>
      </c>
      <c r="R919" s="12" t="s">
        <v>72</v>
      </c>
      <c r="S919" s="12" t="b">
        <v>0</v>
      </c>
      <c r="T919" s="12" t="s">
        <v>62</v>
      </c>
      <c r="U919" s="15">
        <f t="shared" si="56"/>
        <v>495.35415799999998</v>
      </c>
      <c r="V919" s="15">
        <f t="shared" si="57"/>
        <v>906.41200000000003</v>
      </c>
      <c r="W919" s="15">
        <f t="shared" si="58"/>
        <v>265.5915</v>
      </c>
      <c r="X919" s="15">
        <f t="shared" si="59"/>
        <v>598.60649999999998</v>
      </c>
    </row>
    <row r="920" spans="1:24">
      <c r="A920" s="12" t="s">
        <v>2784</v>
      </c>
      <c r="B920" s="12" t="s">
        <v>2785</v>
      </c>
      <c r="C920" s="12" t="s">
        <v>75</v>
      </c>
      <c r="D920" s="12" t="s">
        <v>135</v>
      </c>
      <c r="E920" s="12" t="s">
        <v>84</v>
      </c>
      <c r="F920" s="13">
        <v>4474.04</v>
      </c>
      <c r="G920" s="13">
        <v>56.95</v>
      </c>
      <c r="H920" s="13">
        <v>1926.04</v>
      </c>
      <c r="I920" s="13">
        <v>3.2</v>
      </c>
      <c r="J920" s="13">
        <v>23</v>
      </c>
      <c r="K920" s="13">
        <v>303</v>
      </c>
      <c r="L920" s="12" t="s">
        <v>2786</v>
      </c>
      <c r="M920" s="12">
        <v>4.8</v>
      </c>
      <c r="N920" s="14">
        <v>45555</v>
      </c>
      <c r="O920" s="13">
        <v>5</v>
      </c>
      <c r="P920" s="12" t="s">
        <v>40</v>
      </c>
      <c r="Q920" s="12" t="s">
        <v>31</v>
      </c>
      <c r="R920" s="12" t="s">
        <v>47</v>
      </c>
      <c r="S920" s="12" t="b">
        <v>0</v>
      </c>
      <c r="T920" s="12" t="s">
        <v>62</v>
      </c>
      <c r="U920" s="15">
        <f t="shared" si="56"/>
        <v>2547.96578</v>
      </c>
      <c r="V920" s="15">
        <f t="shared" si="57"/>
        <v>1789.616</v>
      </c>
      <c r="W920" s="15">
        <f t="shared" si="58"/>
        <v>288.90600000000001</v>
      </c>
      <c r="X920" s="15">
        <f t="shared" si="59"/>
        <v>-152.482</v>
      </c>
    </row>
    <row r="921" spans="1:24">
      <c r="A921" s="12" t="s">
        <v>2787</v>
      </c>
      <c r="B921" s="12" t="s">
        <v>2788</v>
      </c>
      <c r="C921" s="12" t="s">
        <v>36</v>
      </c>
      <c r="D921" s="12" t="s">
        <v>37</v>
      </c>
      <c r="E921" s="12" t="s">
        <v>112</v>
      </c>
      <c r="F921" s="13">
        <v>11000.97</v>
      </c>
      <c r="G921" s="13">
        <v>45.86</v>
      </c>
      <c r="H921" s="13">
        <v>5955.75</v>
      </c>
      <c r="I921" s="13">
        <v>4</v>
      </c>
      <c r="J921" s="13">
        <v>16</v>
      </c>
      <c r="K921" s="13">
        <v>227</v>
      </c>
      <c r="L921" s="12" t="s">
        <v>2789</v>
      </c>
      <c r="M921" s="12">
        <v>3.2</v>
      </c>
      <c r="N921" s="14">
        <v>45721</v>
      </c>
      <c r="O921" s="13">
        <v>2</v>
      </c>
      <c r="P921" s="12" t="s">
        <v>117</v>
      </c>
      <c r="Q921" s="12" t="s">
        <v>46</v>
      </c>
      <c r="R921" s="12" t="s">
        <v>47</v>
      </c>
      <c r="S921" s="12" t="b">
        <v>0</v>
      </c>
      <c r="T921" s="12" t="s">
        <v>78</v>
      </c>
      <c r="U921" s="15">
        <f t="shared" si="56"/>
        <v>5045.0448420000002</v>
      </c>
      <c r="V921" s="15">
        <f t="shared" si="57"/>
        <v>4400.3879999999999</v>
      </c>
      <c r="W921" s="15">
        <f t="shared" si="58"/>
        <v>893.36249999999995</v>
      </c>
      <c r="X921" s="15">
        <f t="shared" si="59"/>
        <v>661.99950000000001</v>
      </c>
    </row>
    <row r="922" spans="1:24">
      <c r="A922" s="12" t="s">
        <v>2790</v>
      </c>
      <c r="B922" s="12" t="s">
        <v>2791</v>
      </c>
      <c r="C922" s="12" t="s">
        <v>26</v>
      </c>
      <c r="D922" s="12" t="s">
        <v>123</v>
      </c>
      <c r="E922" s="12" t="s">
        <v>52</v>
      </c>
      <c r="F922" s="13">
        <v>73452.58</v>
      </c>
      <c r="G922" s="13">
        <v>24.41</v>
      </c>
      <c r="H922" s="13">
        <v>55519.66</v>
      </c>
      <c r="I922" s="13">
        <v>5</v>
      </c>
      <c r="J922" s="13">
        <v>14</v>
      </c>
      <c r="K922" s="13">
        <v>491</v>
      </c>
      <c r="L922" s="12" t="s">
        <v>2792</v>
      </c>
      <c r="M922" s="12">
        <v>2.6</v>
      </c>
      <c r="N922" s="14">
        <v>45880</v>
      </c>
      <c r="O922" s="13">
        <v>6</v>
      </c>
      <c r="P922" s="12" t="s">
        <v>45</v>
      </c>
      <c r="Q922" s="12" t="s">
        <v>55</v>
      </c>
      <c r="R922" s="12" t="s">
        <v>47</v>
      </c>
      <c r="S922" s="12" t="b">
        <v>0</v>
      </c>
      <c r="T922" s="12" t="s">
        <v>78</v>
      </c>
      <c r="U922" s="15">
        <f t="shared" si="56"/>
        <v>17929.774777999999</v>
      </c>
      <c r="V922" s="15">
        <f t="shared" si="57"/>
        <v>29381.031999999999</v>
      </c>
      <c r="W922" s="15">
        <f t="shared" si="58"/>
        <v>8327.9490000000005</v>
      </c>
      <c r="X922" s="15">
        <f t="shared" si="59"/>
        <v>17810.679</v>
      </c>
    </row>
    <row r="923" spans="1:24">
      <c r="A923" s="12" t="s">
        <v>2793</v>
      </c>
      <c r="B923" s="12" t="s">
        <v>2794</v>
      </c>
      <c r="C923" s="12" t="s">
        <v>50</v>
      </c>
      <c r="D923" s="12" t="s">
        <v>51</v>
      </c>
      <c r="E923" s="12" t="s">
        <v>65</v>
      </c>
      <c r="F923" s="13">
        <v>1317.11</v>
      </c>
      <c r="G923" s="13">
        <v>44.26</v>
      </c>
      <c r="H923" s="13">
        <v>734.14</v>
      </c>
      <c r="I923" s="13">
        <v>4.0999999999999996</v>
      </c>
      <c r="J923" s="13">
        <v>106</v>
      </c>
      <c r="K923" s="13">
        <v>496</v>
      </c>
      <c r="L923" s="12" t="s">
        <v>2795</v>
      </c>
      <c r="M923" s="12">
        <v>2.9</v>
      </c>
      <c r="N923" s="14">
        <v>45463</v>
      </c>
      <c r="O923" s="13">
        <v>6</v>
      </c>
      <c r="P923" s="12" t="s">
        <v>30</v>
      </c>
      <c r="Q923" s="12" t="s">
        <v>31</v>
      </c>
      <c r="R923" s="12" t="s">
        <v>47</v>
      </c>
      <c r="S923" s="12" t="b">
        <v>0</v>
      </c>
      <c r="T923" s="12" t="s">
        <v>78</v>
      </c>
      <c r="U923" s="15">
        <f t="shared" si="56"/>
        <v>582.95288600000003</v>
      </c>
      <c r="V923" s="15">
        <f t="shared" si="57"/>
        <v>526.84400000000005</v>
      </c>
      <c r="W923" s="15">
        <f t="shared" si="58"/>
        <v>110.121</v>
      </c>
      <c r="X923" s="15">
        <f t="shared" si="59"/>
        <v>97.175000000000097</v>
      </c>
    </row>
    <row r="924" spans="1:24">
      <c r="A924" s="12" t="s">
        <v>2796</v>
      </c>
      <c r="B924" s="12" t="s">
        <v>2797</v>
      </c>
      <c r="C924" s="12" t="s">
        <v>75</v>
      </c>
      <c r="D924" s="12" t="s">
        <v>76</v>
      </c>
      <c r="E924" s="12" t="s">
        <v>131</v>
      </c>
      <c r="F924" s="13">
        <v>1625.26</v>
      </c>
      <c r="G924" s="13">
        <v>17.59</v>
      </c>
      <c r="H924" s="13">
        <v>1339.33</v>
      </c>
      <c r="I924" s="13">
        <v>3.3</v>
      </c>
      <c r="J924" s="13">
        <v>24</v>
      </c>
      <c r="K924" s="13">
        <v>100</v>
      </c>
      <c r="L924" s="12" t="s">
        <v>2798</v>
      </c>
      <c r="M924" s="12">
        <v>4.9000000000000004</v>
      </c>
      <c r="N924" s="14">
        <v>45500</v>
      </c>
      <c r="O924" s="13">
        <v>1</v>
      </c>
      <c r="P924" s="12" t="s">
        <v>40</v>
      </c>
      <c r="Q924" s="12" t="s">
        <v>31</v>
      </c>
      <c r="R924" s="12" t="s">
        <v>47</v>
      </c>
      <c r="S924" s="12" t="b">
        <v>0</v>
      </c>
      <c r="T924" s="12" t="s">
        <v>78</v>
      </c>
      <c r="U924" s="15">
        <f t="shared" si="56"/>
        <v>285.88323400000002</v>
      </c>
      <c r="V924" s="15">
        <f t="shared" si="57"/>
        <v>650.10400000000004</v>
      </c>
      <c r="W924" s="15">
        <f t="shared" si="58"/>
        <v>200.89949999999999</v>
      </c>
      <c r="X924" s="15">
        <f t="shared" si="59"/>
        <v>488.32650000000001</v>
      </c>
    </row>
    <row r="925" spans="1:24">
      <c r="A925" s="12" t="s">
        <v>2799</v>
      </c>
      <c r="B925" s="12" t="s">
        <v>2800</v>
      </c>
      <c r="C925" s="12" t="s">
        <v>59</v>
      </c>
      <c r="D925" s="12" t="s">
        <v>69</v>
      </c>
      <c r="E925" s="12" t="s">
        <v>100</v>
      </c>
      <c r="F925" s="13">
        <v>1152.6099999999999</v>
      </c>
      <c r="G925" s="13">
        <v>14.06</v>
      </c>
      <c r="H925" s="13">
        <v>990.6</v>
      </c>
      <c r="I925" s="13">
        <v>4.3</v>
      </c>
      <c r="J925" s="13">
        <v>9</v>
      </c>
      <c r="K925" s="13">
        <v>307</v>
      </c>
      <c r="L925" s="12" t="s">
        <v>2801</v>
      </c>
      <c r="M925" s="12">
        <v>2.7</v>
      </c>
      <c r="N925" s="14">
        <v>45864</v>
      </c>
      <c r="O925" s="13">
        <v>1</v>
      </c>
      <c r="P925" s="12" t="s">
        <v>117</v>
      </c>
      <c r="Q925" s="12" t="s">
        <v>31</v>
      </c>
      <c r="R925" s="12" t="s">
        <v>72</v>
      </c>
      <c r="S925" s="12" t="b">
        <v>0</v>
      </c>
      <c r="T925" s="12" t="s">
        <v>62</v>
      </c>
      <c r="U925" s="15">
        <f t="shared" si="56"/>
        <v>162.05696599999999</v>
      </c>
      <c r="V925" s="15">
        <f t="shared" si="57"/>
        <v>461.04399999999998</v>
      </c>
      <c r="W925" s="15">
        <f t="shared" si="58"/>
        <v>148.59</v>
      </c>
      <c r="X925" s="15">
        <f t="shared" si="59"/>
        <v>380.96600000000001</v>
      </c>
    </row>
    <row r="926" spans="1:24">
      <c r="A926" s="12" t="s">
        <v>2802</v>
      </c>
      <c r="B926" s="12" t="s">
        <v>2803</v>
      </c>
      <c r="C926" s="12" t="s">
        <v>59</v>
      </c>
      <c r="D926" s="12" t="s">
        <v>170</v>
      </c>
      <c r="E926" s="12" t="s">
        <v>112</v>
      </c>
      <c r="F926" s="13">
        <v>2906.98</v>
      </c>
      <c r="G926" s="13">
        <v>44.95</v>
      </c>
      <c r="H926" s="13">
        <v>1600.32</v>
      </c>
      <c r="I926" s="13">
        <v>3.6</v>
      </c>
      <c r="J926" s="13">
        <v>61</v>
      </c>
      <c r="K926" s="13">
        <v>448</v>
      </c>
      <c r="L926" s="12" t="s">
        <v>2804</v>
      </c>
      <c r="M926" s="12">
        <v>2.8</v>
      </c>
      <c r="N926" s="14">
        <v>45770</v>
      </c>
      <c r="O926" s="13">
        <v>5</v>
      </c>
      <c r="P926" s="12" t="s">
        <v>54</v>
      </c>
      <c r="Q926" s="12" t="s">
        <v>55</v>
      </c>
      <c r="R926" s="12" t="s">
        <v>47</v>
      </c>
      <c r="S926" s="12" t="b">
        <v>0</v>
      </c>
      <c r="T926" s="12" t="s">
        <v>78</v>
      </c>
      <c r="U926" s="15">
        <f t="shared" si="56"/>
        <v>1306.68751</v>
      </c>
      <c r="V926" s="15">
        <f t="shared" si="57"/>
        <v>1162.7919999999999</v>
      </c>
      <c r="W926" s="15">
        <f t="shared" si="58"/>
        <v>240.048</v>
      </c>
      <c r="X926" s="15">
        <f t="shared" si="59"/>
        <v>197.48</v>
      </c>
    </row>
    <row r="927" spans="1:24">
      <c r="A927" s="12" t="s">
        <v>2805</v>
      </c>
      <c r="B927" s="12" t="s">
        <v>2806</v>
      </c>
      <c r="C927" s="12" t="s">
        <v>75</v>
      </c>
      <c r="D927" s="12" t="s">
        <v>76</v>
      </c>
      <c r="E927" s="12" t="s">
        <v>70</v>
      </c>
      <c r="F927" s="13">
        <v>2997.19</v>
      </c>
      <c r="G927" s="13">
        <v>47.98</v>
      </c>
      <c r="H927" s="13">
        <v>1559.14</v>
      </c>
      <c r="I927" s="13">
        <v>4</v>
      </c>
      <c r="J927" s="13">
        <v>50</v>
      </c>
      <c r="K927" s="13">
        <v>122</v>
      </c>
      <c r="L927" s="12" t="s">
        <v>2807</v>
      </c>
      <c r="M927" s="12">
        <v>4.7</v>
      </c>
      <c r="N927" s="14">
        <v>45750</v>
      </c>
      <c r="O927" s="13">
        <v>6</v>
      </c>
      <c r="P927" s="12" t="s">
        <v>117</v>
      </c>
      <c r="Q927" s="12" t="s">
        <v>31</v>
      </c>
      <c r="R927" s="12" t="s">
        <v>72</v>
      </c>
      <c r="S927" s="12" t="b">
        <v>0</v>
      </c>
      <c r="T927" s="12" t="s">
        <v>62</v>
      </c>
      <c r="U927" s="15">
        <f t="shared" si="56"/>
        <v>1438.0517620000001</v>
      </c>
      <c r="V927" s="15">
        <f t="shared" si="57"/>
        <v>1198.876</v>
      </c>
      <c r="W927" s="15">
        <f t="shared" si="58"/>
        <v>233.87100000000001</v>
      </c>
      <c r="X927" s="15">
        <f t="shared" si="59"/>
        <v>126.393</v>
      </c>
    </row>
    <row r="928" spans="1:24">
      <c r="A928" s="12" t="s">
        <v>2808</v>
      </c>
      <c r="B928" s="12" t="s">
        <v>2809</v>
      </c>
      <c r="C928" s="12" t="s">
        <v>50</v>
      </c>
      <c r="D928" s="12" t="s">
        <v>130</v>
      </c>
      <c r="E928" s="12" t="s">
        <v>96</v>
      </c>
      <c r="F928" s="13">
        <v>4367.96</v>
      </c>
      <c r="G928" s="13">
        <v>44.89</v>
      </c>
      <c r="H928" s="13">
        <v>2407.3200000000002</v>
      </c>
      <c r="I928" s="13">
        <v>4.9000000000000004</v>
      </c>
      <c r="J928" s="13">
        <v>36</v>
      </c>
      <c r="K928" s="13">
        <v>185</v>
      </c>
      <c r="L928" s="12" t="s">
        <v>2810</v>
      </c>
      <c r="M928" s="12">
        <v>4.4000000000000004</v>
      </c>
      <c r="N928" s="14">
        <v>46063</v>
      </c>
      <c r="O928" s="13">
        <v>3</v>
      </c>
      <c r="P928" s="12" t="s">
        <v>54</v>
      </c>
      <c r="Q928" s="12" t="s">
        <v>46</v>
      </c>
      <c r="R928" s="12" t="s">
        <v>72</v>
      </c>
      <c r="S928" s="12" t="b">
        <v>1</v>
      </c>
      <c r="T928" s="12" t="s">
        <v>33</v>
      </c>
      <c r="U928" s="15">
        <f t="shared" si="56"/>
        <v>1960.7772440000001</v>
      </c>
      <c r="V928" s="15">
        <f t="shared" si="57"/>
        <v>1747.184</v>
      </c>
      <c r="W928" s="15">
        <f t="shared" si="58"/>
        <v>361.09800000000001</v>
      </c>
      <c r="X928" s="15">
        <f t="shared" si="59"/>
        <v>299.03800000000001</v>
      </c>
    </row>
    <row r="929" spans="1:24">
      <c r="A929" s="12" t="s">
        <v>2811</v>
      </c>
      <c r="B929" s="12" t="s">
        <v>2812</v>
      </c>
      <c r="C929" s="12" t="s">
        <v>26</v>
      </c>
      <c r="D929" s="12" t="s">
        <v>27</v>
      </c>
      <c r="E929" s="12" t="s">
        <v>92</v>
      </c>
      <c r="F929" s="13">
        <v>42899.9</v>
      </c>
      <c r="G929" s="13">
        <v>14.75</v>
      </c>
      <c r="H929" s="13">
        <v>36570.03</v>
      </c>
      <c r="I929" s="13">
        <v>4</v>
      </c>
      <c r="J929" s="13">
        <v>12</v>
      </c>
      <c r="K929" s="13">
        <v>323</v>
      </c>
      <c r="L929" s="12" t="s">
        <v>2813</v>
      </c>
      <c r="M929" s="12">
        <v>4.5</v>
      </c>
      <c r="N929" s="14">
        <v>45395</v>
      </c>
      <c r="O929" s="13">
        <v>2</v>
      </c>
      <c r="P929" s="12" t="s">
        <v>30</v>
      </c>
      <c r="Q929" s="12" t="s">
        <v>46</v>
      </c>
      <c r="R929" s="12" t="s">
        <v>32</v>
      </c>
      <c r="S929" s="12" t="b">
        <v>0</v>
      </c>
      <c r="T929" s="12" t="s">
        <v>78</v>
      </c>
      <c r="U929" s="15">
        <f t="shared" si="56"/>
        <v>6327.7352499999997</v>
      </c>
      <c r="V929" s="15">
        <f t="shared" si="57"/>
        <v>17159.96</v>
      </c>
      <c r="W929" s="15">
        <f t="shared" si="58"/>
        <v>5485.5045</v>
      </c>
      <c r="X929" s="15">
        <f t="shared" si="59"/>
        <v>13924.565500000001</v>
      </c>
    </row>
    <row r="930" spans="1:24">
      <c r="A930" s="12" t="s">
        <v>2814</v>
      </c>
      <c r="B930" s="12" t="s">
        <v>2815</v>
      </c>
      <c r="C930" s="12" t="s">
        <v>75</v>
      </c>
      <c r="D930" s="12" t="s">
        <v>104</v>
      </c>
      <c r="E930" s="12" t="s">
        <v>92</v>
      </c>
      <c r="F930" s="13">
        <v>688.87</v>
      </c>
      <c r="G930" s="13">
        <v>67.02</v>
      </c>
      <c r="H930" s="13">
        <v>227.19</v>
      </c>
      <c r="I930" s="13">
        <v>3.7</v>
      </c>
      <c r="J930" s="13">
        <v>13</v>
      </c>
      <c r="K930" s="13">
        <v>173</v>
      </c>
      <c r="L930" s="12" t="s">
        <v>2816</v>
      </c>
      <c r="M930" s="12">
        <v>4.2</v>
      </c>
      <c r="N930" s="14">
        <v>45749</v>
      </c>
      <c r="O930" s="13">
        <v>3</v>
      </c>
      <c r="P930" s="12" t="s">
        <v>54</v>
      </c>
      <c r="Q930" s="12" t="s">
        <v>46</v>
      </c>
      <c r="R930" s="12" t="s">
        <v>47</v>
      </c>
      <c r="S930" s="12" t="b">
        <v>0</v>
      </c>
      <c r="T930" s="12" t="s">
        <v>78</v>
      </c>
      <c r="U930" s="15">
        <f t="shared" si="56"/>
        <v>461.68067400000001</v>
      </c>
      <c r="V930" s="15">
        <f t="shared" si="57"/>
        <v>275.548</v>
      </c>
      <c r="W930" s="15">
        <f t="shared" si="58"/>
        <v>34.078499999999998</v>
      </c>
      <c r="X930" s="15">
        <f t="shared" si="59"/>
        <v>-82.436499999999995</v>
      </c>
    </row>
    <row r="931" spans="1:24">
      <c r="A931" s="12" t="s">
        <v>2817</v>
      </c>
      <c r="B931" s="12" t="s">
        <v>2818</v>
      </c>
      <c r="C931" s="12" t="s">
        <v>75</v>
      </c>
      <c r="D931" s="12" t="s">
        <v>104</v>
      </c>
      <c r="E931" s="12" t="s">
        <v>84</v>
      </c>
      <c r="F931" s="13">
        <v>2382.19</v>
      </c>
      <c r="G931" s="13">
        <v>46.06</v>
      </c>
      <c r="H931" s="13">
        <v>1284.92</v>
      </c>
      <c r="I931" s="13">
        <v>4.4000000000000004</v>
      </c>
      <c r="J931" s="13">
        <v>10</v>
      </c>
      <c r="K931" s="13">
        <v>70</v>
      </c>
      <c r="L931" s="12" t="s">
        <v>2009</v>
      </c>
      <c r="M931" s="12">
        <v>4.4000000000000004</v>
      </c>
      <c r="N931" s="14">
        <v>45513</v>
      </c>
      <c r="O931" s="13">
        <v>5</v>
      </c>
      <c r="P931" s="12" t="s">
        <v>40</v>
      </c>
      <c r="Q931" s="12" t="s">
        <v>31</v>
      </c>
      <c r="R931" s="12" t="s">
        <v>32</v>
      </c>
      <c r="S931" s="12" t="b">
        <v>0</v>
      </c>
      <c r="T931" s="12" t="s">
        <v>56</v>
      </c>
      <c r="U931" s="15">
        <f t="shared" si="56"/>
        <v>1097.2367139999999</v>
      </c>
      <c r="V931" s="15">
        <f t="shared" si="57"/>
        <v>952.87599999999998</v>
      </c>
      <c r="W931" s="15">
        <f t="shared" si="58"/>
        <v>192.738</v>
      </c>
      <c r="X931" s="15">
        <f t="shared" si="59"/>
        <v>139.30600000000001</v>
      </c>
    </row>
    <row r="932" spans="1:24">
      <c r="A932" s="12" t="s">
        <v>2819</v>
      </c>
      <c r="B932" s="12" t="s">
        <v>2820</v>
      </c>
      <c r="C932" s="12" t="s">
        <v>75</v>
      </c>
      <c r="D932" s="12" t="s">
        <v>104</v>
      </c>
      <c r="E932" s="12" t="s">
        <v>235</v>
      </c>
      <c r="F932" s="13">
        <v>2193.75</v>
      </c>
      <c r="G932" s="13">
        <v>50.22</v>
      </c>
      <c r="H932" s="13">
        <v>1092.02</v>
      </c>
      <c r="I932" s="13">
        <v>3.5</v>
      </c>
      <c r="J932" s="13">
        <v>86</v>
      </c>
      <c r="K932" s="13">
        <v>338</v>
      </c>
      <c r="L932" s="12" t="s">
        <v>2821</v>
      </c>
      <c r="M932" s="12">
        <v>3.4</v>
      </c>
      <c r="N932" s="14">
        <v>45659</v>
      </c>
      <c r="O932" s="13">
        <v>1</v>
      </c>
      <c r="P932" s="12" t="s">
        <v>54</v>
      </c>
      <c r="Q932" s="12" t="s">
        <v>31</v>
      </c>
      <c r="R932" s="12" t="s">
        <v>86</v>
      </c>
      <c r="S932" s="12" t="b">
        <v>0</v>
      </c>
      <c r="T932" s="12" t="s">
        <v>62</v>
      </c>
      <c r="U932" s="15">
        <f t="shared" si="56"/>
        <v>1101.7012500000001</v>
      </c>
      <c r="V932" s="15">
        <f t="shared" si="57"/>
        <v>877.5</v>
      </c>
      <c r="W932" s="15">
        <f t="shared" si="58"/>
        <v>163.803</v>
      </c>
      <c r="X932" s="15">
        <f t="shared" si="59"/>
        <v>50.716999999999999</v>
      </c>
    </row>
    <row r="933" spans="1:24">
      <c r="A933" s="12" t="s">
        <v>2822</v>
      </c>
      <c r="B933" s="12" t="s">
        <v>2823</v>
      </c>
      <c r="C933" s="12" t="s">
        <v>26</v>
      </c>
      <c r="D933" s="12" t="s">
        <v>27</v>
      </c>
      <c r="E933" s="12" t="s">
        <v>92</v>
      </c>
      <c r="F933" s="13">
        <v>57030.6</v>
      </c>
      <c r="G933" s="13">
        <v>30.06</v>
      </c>
      <c r="H933" s="13">
        <v>39885.339999999997</v>
      </c>
      <c r="I933" s="13">
        <v>5</v>
      </c>
      <c r="J933" s="13">
        <v>7</v>
      </c>
      <c r="K933" s="13">
        <v>98</v>
      </c>
      <c r="L933" s="12" t="s">
        <v>2824</v>
      </c>
      <c r="M933" s="12">
        <v>2.5</v>
      </c>
      <c r="N933" s="14">
        <v>45810</v>
      </c>
      <c r="O933" s="13">
        <v>1</v>
      </c>
      <c r="P933" s="12" t="s">
        <v>54</v>
      </c>
      <c r="Q933" s="12" t="s">
        <v>55</v>
      </c>
      <c r="R933" s="12" t="s">
        <v>72</v>
      </c>
      <c r="S933" s="12" t="b">
        <v>1</v>
      </c>
      <c r="T933" s="12" t="s">
        <v>33</v>
      </c>
      <c r="U933" s="15">
        <f t="shared" si="56"/>
        <v>17143.398359999999</v>
      </c>
      <c r="V933" s="15">
        <f t="shared" si="57"/>
        <v>22812.240000000002</v>
      </c>
      <c r="W933" s="15">
        <f t="shared" si="58"/>
        <v>5982.8010000000004</v>
      </c>
      <c r="X933" s="15">
        <f t="shared" si="59"/>
        <v>11090.299000000001</v>
      </c>
    </row>
    <row r="934" spans="1:24">
      <c r="A934" s="12" t="s">
        <v>2825</v>
      </c>
      <c r="B934" s="12" t="s">
        <v>2826</v>
      </c>
      <c r="C934" s="12" t="s">
        <v>59</v>
      </c>
      <c r="D934" s="12" t="s">
        <v>60</v>
      </c>
      <c r="E934" s="12" t="s">
        <v>96</v>
      </c>
      <c r="F934" s="13">
        <v>17730.419999999998</v>
      </c>
      <c r="G934" s="13">
        <v>17.13</v>
      </c>
      <c r="H934" s="13">
        <v>14693.56</v>
      </c>
      <c r="I934" s="13">
        <v>4.0999999999999996</v>
      </c>
      <c r="J934" s="13">
        <v>6</v>
      </c>
      <c r="K934" s="13">
        <v>300</v>
      </c>
      <c r="L934" s="12" t="s">
        <v>2827</v>
      </c>
      <c r="M934" s="12">
        <v>3.8</v>
      </c>
      <c r="N934" s="14">
        <v>45614</v>
      </c>
      <c r="O934" s="13">
        <v>4</v>
      </c>
      <c r="P934" s="12" t="s">
        <v>54</v>
      </c>
      <c r="Q934" s="12" t="s">
        <v>31</v>
      </c>
      <c r="R934" s="12" t="s">
        <v>72</v>
      </c>
      <c r="S934" s="12" t="b">
        <v>0</v>
      </c>
      <c r="T934" s="12" t="s">
        <v>78</v>
      </c>
      <c r="U934" s="15">
        <f t="shared" si="56"/>
        <v>3037.2209459999999</v>
      </c>
      <c r="V934" s="15">
        <f t="shared" si="57"/>
        <v>7092.1679999999997</v>
      </c>
      <c r="W934" s="15">
        <f t="shared" si="58"/>
        <v>2204.0340000000001</v>
      </c>
      <c r="X934" s="15">
        <f t="shared" si="59"/>
        <v>5397.3580000000002</v>
      </c>
    </row>
    <row r="935" spans="1:24">
      <c r="A935" s="12" t="s">
        <v>2828</v>
      </c>
      <c r="B935" s="12" t="s">
        <v>2829</v>
      </c>
      <c r="C935" s="12" t="s">
        <v>59</v>
      </c>
      <c r="D935" s="12" t="s">
        <v>69</v>
      </c>
      <c r="E935" s="12" t="s">
        <v>38</v>
      </c>
      <c r="F935" s="13">
        <v>18317.63</v>
      </c>
      <c r="G935" s="13">
        <v>24.08</v>
      </c>
      <c r="H935" s="13">
        <v>13907.11</v>
      </c>
      <c r="I935" s="13">
        <v>4.5999999999999996</v>
      </c>
      <c r="J935" s="13">
        <v>11</v>
      </c>
      <c r="K935" s="13">
        <v>495</v>
      </c>
      <c r="L935" s="12" t="s">
        <v>2830</v>
      </c>
      <c r="M935" s="12">
        <v>4.0999999999999996</v>
      </c>
      <c r="N935" s="14">
        <v>45912</v>
      </c>
      <c r="O935" s="13">
        <v>2</v>
      </c>
      <c r="P935" s="12" t="s">
        <v>30</v>
      </c>
      <c r="Q935" s="12" t="s">
        <v>46</v>
      </c>
      <c r="R935" s="12" t="s">
        <v>32</v>
      </c>
      <c r="S935" s="12" t="b">
        <v>0</v>
      </c>
      <c r="T935" s="12" t="s">
        <v>56</v>
      </c>
      <c r="U935" s="15">
        <f t="shared" si="56"/>
        <v>4410.8853040000004</v>
      </c>
      <c r="V935" s="15">
        <f t="shared" si="57"/>
        <v>7327.0519999999997</v>
      </c>
      <c r="W935" s="15">
        <f t="shared" si="58"/>
        <v>2086.0664999999999</v>
      </c>
      <c r="X935" s="15">
        <f t="shared" si="59"/>
        <v>4493.9915000000001</v>
      </c>
    </row>
    <row r="936" spans="1:24">
      <c r="A936" s="12" t="s">
        <v>2831</v>
      </c>
      <c r="B936" s="12" t="s">
        <v>2832</v>
      </c>
      <c r="C936" s="12" t="s">
        <v>36</v>
      </c>
      <c r="D936" s="12" t="s">
        <v>43</v>
      </c>
      <c r="E936" s="12" t="s">
        <v>92</v>
      </c>
      <c r="F936" s="13">
        <v>13700.02</v>
      </c>
      <c r="G936" s="13">
        <v>19.7</v>
      </c>
      <c r="H936" s="13">
        <v>11000.66</v>
      </c>
      <c r="I936" s="13">
        <v>4.2</v>
      </c>
      <c r="J936" s="13">
        <v>20</v>
      </c>
      <c r="K936" s="13">
        <v>384</v>
      </c>
      <c r="L936" s="12" t="s">
        <v>2833</v>
      </c>
      <c r="M936" s="12">
        <v>4.2</v>
      </c>
      <c r="N936" s="14">
        <v>46108</v>
      </c>
      <c r="O936" s="13">
        <v>1</v>
      </c>
      <c r="P936" s="12" t="s">
        <v>45</v>
      </c>
      <c r="Q936" s="12" t="s">
        <v>55</v>
      </c>
      <c r="R936" s="12" t="s">
        <v>86</v>
      </c>
      <c r="S936" s="12" t="b">
        <v>0</v>
      </c>
      <c r="T936" s="12" t="s">
        <v>62</v>
      </c>
      <c r="U936" s="15">
        <f t="shared" si="56"/>
        <v>2698.9039400000001</v>
      </c>
      <c r="V936" s="15">
        <f t="shared" si="57"/>
        <v>5480.0079999999998</v>
      </c>
      <c r="W936" s="15">
        <f t="shared" si="58"/>
        <v>1650.0989999999999</v>
      </c>
      <c r="X936" s="15">
        <f t="shared" si="59"/>
        <v>3870.5529999999999</v>
      </c>
    </row>
    <row r="937" spans="1:24">
      <c r="A937" s="12" t="s">
        <v>2834</v>
      </c>
      <c r="B937" s="12" t="s">
        <v>2835</v>
      </c>
      <c r="C937" s="12" t="s">
        <v>50</v>
      </c>
      <c r="D937" s="12" t="s">
        <v>130</v>
      </c>
      <c r="E937" s="12" t="s">
        <v>112</v>
      </c>
      <c r="F937" s="13">
        <v>4274.01</v>
      </c>
      <c r="G937" s="13">
        <v>47.17</v>
      </c>
      <c r="H937" s="13">
        <v>2257.96</v>
      </c>
      <c r="I937" s="13">
        <v>3.1</v>
      </c>
      <c r="J937" s="13">
        <v>57</v>
      </c>
      <c r="K937" s="13">
        <v>366</v>
      </c>
      <c r="L937" s="12" t="s">
        <v>2836</v>
      </c>
      <c r="M937" s="12">
        <v>4.5</v>
      </c>
      <c r="N937" s="14">
        <v>45768</v>
      </c>
      <c r="O937" s="13">
        <v>2</v>
      </c>
      <c r="P937" s="12" t="s">
        <v>30</v>
      </c>
      <c r="Q937" s="12" t="s">
        <v>55</v>
      </c>
      <c r="R937" s="12" t="s">
        <v>72</v>
      </c>
      <c r="S937" s="12" t="b">
        <v>1</v>
      </c>
      <c r="T937" s="12" t="s">
        <v>33</v>
      </c>
      <c r="U937" s="15">
        <f t="shared" si="56"/>
        <v>2016.0505169999999</v>
      </c>
      <c r="V937" s="15">
        <f t="shared" si="57"/>
        <v>1709.604</v>
      </c>
      <c r="W937" s="15">
        <f t="shared" si="58"/>
        <v>338.69400000000002</v>
      </c>
      <c r="X937" s="15">
        <f t="shared" si="59"/>
        <v>209.66200000000001</v>
      </c>
    </row>
    <row r="938" spans="1:24">
      <c r="A938" s="12" t="s">
        <v>2837</v>
      </c>
      <c r="B938" s="12" t="s">
        <v>2838</v>
      </c>
      <c r="C938" s="12" t="s">
        <v>36</v>
      </c>
      <c r="D938" s="12" t="s">
        <v>37</v>
      </c>
      <c r="E938" s="12" t="s">
        <v>100</v>
      </c>
      <c r="F938" s="13">
        <v>11334.03</v>
      </c>
      <c r="G938" s="13">
        <v>25.82</v>
      </c>
      <c r="H938" s="13">
        <v>8408.11</v>
      </c>
      <c r="I938" s="13">
        <v>4.5999999999999996</v>
      </c>
      <c r="J938" s="13">
        <v>31</v>
      </c>
      <c r="K938" s="13">
        <v>106</v>
      </c>
      <c r="L938" s="12" t="s">
        <v>2839</v>
      </c>
      <c r="M938" s="12">
        <v>4.3</v>
      </c>
      <c r="N938" s="14">
        <v>45670</v>
      </c>
      <c r="O938" s="13">
        <v>4</v>
      </c>
      <c r="P938" s="12" t="s">
        <v>45</v>
      </c>
      <c r="Q938" s="12" t="s">
        <v>46</v>
      </c>
      <c r="R938" s="12" t="s">
        <v>86</v>
      </c>
      <c r="S938" s="12" t="b">
        <v>1</v>
      </c>
      <c r="T938" s="12" t="s">
        <v>33</v>
      </c>
      <c r="U938" s="15">
        <f t="shared" si="56"/>
        <v>2926.4465460000001</v>
      </c>
      <c r="V938" s="15">
        <f t="shared" si="57"/>
        <v>4533.6120000000001</v>
      </c>
      <c r="W938" s="15">
        <f t="shared" si="58"/>
        <v>1261.2165</v>
      </c>
      <c r="X938" s="15">
        <f t="shared" si="59"/>
        <v>2613.2815000000001</v>
      </c>
    </row>
    <row r="939" spans="1:24">
      <c r="A939" s="12" t="s">
        <v>2840</v>
      </c>
      <c r="B939" s="12" t="s">
        <v>2841</v>
      </c>
      <c r="C939" s="12" t="s">
        <v>75</v>
      </c>
      <c r="D939" s="12" t="s">
        <v>104</v>
      </c>
      <c r="E939" s="12" t="s">
        <v>70</v>
      </c>
      <c r="F939" s="13">
        <v>4083.35</v>
      </c>
      <c r="G939" s="13">
        <v>52.78</v>
      </c>
      <c r="H939" s="13">
        <v>1928.08</v>
      </c>
      <c r="I939" s="13">
        <v>3.5</v>
      </c>
      <c r="J939" s="13">
        <v>13</v>
      </c>
      <c r="K939" s="13">
        <v>292</v>
      </c>
      <c r="L939" s="12" t="s">
        <v>2842</v>
      </c>
      <c r="M939" s="12">
        <v>4.2</v>
      </c>
      <c r="N939" s="14">
        <v>45621</v>
      </c>
      <c r="O939" s="13">
        <v>2</v>
      </c>
      <c r="P939" s="12" t="s">
        <v>30</v>
      </c>
      <c r="Q939" s="12" t="s">
        <v>55</v>
      </c>
      <c r="R939" s="12" t="s">
        <v>72</v>
      </c>
      <c r="S939" s="12" t="b">
        <v>0</v>
      </c>
      <c r="T939" s="12" t="s">
        <v>62</v>
      </c>
      <c r="U939" s="15">
        <f t="shared" si="56"/>
        <v>2155.1921299999999</v>
      </c>
      <c r="V939" s="15">
        <f t="shared" si="57"/>
        <v>1633.34</v>
      </c>
      <c r="W939" s="15">
        <f t="shared" si="58"/>
        <v>289.21199999999999</v>
      </c>
      <c r="X939" s="15">
        <f t="shared" si="59"/>
        <v>5.52799999999979</v>
      </c>
    </row>
    <row r="940" spans="1:24">
      <c r="A940" s="12" t="s">
        <v>2843</v>
      </c>
      <c r="B940" s="12" t="s">
        <v>2844</v>
      </c>
      <c r="C940" s="12" t="s">
        <v>26</v>
      </c>
      <c r="D940" s="12" t="s">
        <v>123</v>
      </c>
      <c r="E940" s="12" t="s">
        <v>84</v>
      </c>
      <c r="F940" s="13">
        <v>63519.45</v>
      </c>
      <c r="G940" s="13">
        <v>12.84</v>
      </c>
      <c r="H940" s="13">
        <v>55365.64</v>
      </c>
      <c r="I940" s="13">
        <v>4.5</v>
      </c>
      <c r="J940" s="13">
        <v>37</v>
      </c>
      <c r="K940" s="13">
        <v>180</v>
      </c>
      <c r="L940" s="12" t="s">
        <v>2845</v>
      </c>
      <c r="M940" s="12">
        <v>3.6</v>
      </c>
      <c r="N940" s="14">
        <v>45432</v>
      </c>
      <c r="O940" s="13">
        <v>3</v>
      </c>
      <c r="P940" s="12" t="s">
        <v>30</v>
      </c>
      <c r="Q940" s="12" t="s">
        <v>31</v>
      </c>
      <c r="R940" s="12" t="s">
        <v>32</v>
      </c>
      <c r="S940" s="12" t="b">
        <v>0</v>
      </c>
      <c r="T940" s="12" t="s">
        <v>56</v>
      </c>
      <c r="U940" s="15">
        <f t="shared" si="56"/>
        <v>8155.8973800000003</v>
      </c>
      <c r="V940" s="15">
        <f t="shared" si="57"/>
        <v>25407.78</v>
      </c>
      <c r="W940" s="15">
        <f t="shared" si="58"/>
        <v>8304.8459999999995</v>
      </c>
      <c r="X940" s="15">
        <f t="shared" si="59"/>
        <v>21653.013999999999</v>
      </c>
    </row>
    <row r="941" spans="1:24">
      <c r="A941" s="12" t="s">
        <v>2846</v>
      </c>
      <c r="B941" s="12" t="s">
        <v>2847</v>
      </c>
      <c r="C941" s="12" t="s">
        <v>36</v>
      </c>
      <c r="D941" s="12" t="s">
        <v>108</v>
      </c>
      <c r="E941" s="12" t="s">
        <v>112</v>
      </c>
      <c r="F941" s="13">
        <v>13435.62</v>
      </c>
      <c r="G941" s="13">
        <v>6.39</v>
      </c>
      <c r="H941" s="13">
        <v>12577.72</v>
      </c>
      <c r="I941" s="13">
        <v>4.4000000000000004</v>
      </c>
      <c r="J941" s="13">
        <v>44</v>
      </c>
      <c r="K941" s="13">
        <v>221</v>
      </c>
      <c r="L941" s="12" t="s">
        <v>2848</v>
      </c>
      <c r="M941" s="12">
        <v>4</v>
      </c>
      <c r="N941" s="14">
        <v>45757</v>
      </c>
      <c r="O941" s="13">
        <v>2</v>
      </c>
      <c r="P941" s="12" t="s">
        <v>117</v>
      </c>
      <c r="Q941" s="12" t="s">
        <v>55</v>
      </c>
      <c r="R941" s="12" t="s">
        <v>86</v>
      </c>
      <c r="S941" s="12" t="b">
        <v>1</v>
      </c>
      <c r="T941" s="12" t="s">
        <v>33</v>
      </c>
      <c r="U941" s="15">
        <f t="shared" si="56"/>
        <v>858.53611799999999</v>
      </c>
      <c r="V941" s="15">
        <f t="shared" si="57"/>
        <v>5374.2479999999996</v>
      </c>
      <c r="W941" s="15">
        <f t="shared" si="58"/>
        <v>1886.6579999999999</v>
      </c>
      <c r="X941" s="15">
        <f t="shared" si="59"/>
        <v>5316.8140000000003</v>
      </c>
    </row>
    <row r="942" spans="1:24">
      <c r="A942" s="12" t="s">
        <v>2849</v>
      </c>
      <c r="B942" s="12" t="s">
        <v>2850</v>
      </c>
      <c r="C942" s="12" t="s">
        <v>59</v>
      </c>
      <c r="D942" s="12" t="s">
        <v>170</v>
      </c>
      <c r="E942" s="12" t="s">
        <v>96</v>
      </c>
      <c r="F942" s="13">
        <v>2716.05</v>
      </c>
      <c r="G942" s="13">
        <v>9.6999999999999993</v>
      </c>
      <c r="H942" s="13">
        <v>2452.46</v>
      </c>
      <c r="I942" s="13">
        <v>4.5999999999999996</v>
      </c>
      <c r="J942" s="13">
        <v>39</v>
      </c>
      <c r="K942" s="13">
        <v>119</v>
      </c>
      <c r="L942" s="12" t="s">
        <v>2851</v>
      </c>
      <c r="M942" s="12">
        <v>3.3</v>
      </c>
      <c r="N942" s="14">
        <v>45393</v>
      </c>
      <c r="O942" s="13">
        <v>3</v>
      </c>
      <c r="P942" s="12" t="s">
        <v>40</v>
      </c>
      <c r="Q942" s="12" t="s">
        <v>31</v>
      </c>
      <c r="R942" s="12" t="s">
        <v>32</v>
      </c>
      <c r="S942" s="12" t="b">
        <v>0</v>
      </c>
      <c r="T942" s="12" t="s">
        <v>56</v>
      </c>
      <c r="U942" s="15">
        <f t="shared" si="56"/>
        <v>263.45684999999997</v>
      </c>
      <c r="V942" s="15">
        <f t="shared" si="57"/>
        <v>1086.42</v>
      </c>
      <c r="W942" s="15">
        <f t="shared" si="58"/>
        <v>367.86900000000003</v>
      </c>
      <c r="X942" s="15">
        <f t="shared" si="59"/>
        <v>998.17100000000005</v>
      </c>
    </row>
    <row r="943" spans="1:24">
      <c r="A943" s="12" t="s">
        <v>2852</v>
      </c>
      <c r="B943" s="12" t="s">
        <v>2853</v>
      </c>
      <c r="C943" s="12" t="s">
        <v>26</v>
      </c>
      <c r="D943" s="12" t="s">
        <v>313</v>
      </c>
      <c r="E943" s="12" t="s">
        <v>131</v>
      </c>
      <c r="F943" s="13">
        <v>54408.959999999999</v>
      </c>
      <c r="G943" s="13">
        <v>24.03</v>
      </c>
      <c r="H943" s="13">
        <v>41336.78</v>
      </c>
      <c r="I943" s="13">
        <v>3.8</v>
      </c>
      <c r="J943" s="13">
        <v>18</v>
      </c>
      <c r="K943" s="13">
        <v>40</v>
      </c>
      <c r="L943" s="12" t="s">
        <v>2093</v>
      </c>
      <c r="M943" s="12">
        <v>3.8</v>
      </c>
      <c r="N943" s="14">
        <v>46018</v>
      </c>
      <c r="O943" s="13">
        <v>3</v>
      </c>
      <c r="P943" s="12" t="s">
        <v>45</v>
      </c>
      <c r="Q943" s="12" t="s">
        <v>46</v>
      </c>
      <c r="R943" s="12" t="s">
        <v>32</v>
      </c>
      <c r="S943" s="12" t="b">
        <v>0</v>
      </c>
      <c r="T943" s="12" t="s">
        <v>78</v>
      </c>
      <c r="U943" s="15">
        <f t="shared" si="56"/>
        <v>13074.473088000001</v>
      </c>
      <c r="V943" s="15">
        <f t="shared" si="57"/>
        <v>21763.583999999999</v>
      </c>
      <c r="W943" s="15">
        <f t="shared" si="58"/>
        <v>6200.5169999999998</v>
      </c>
      <c r="X943" s="15">
        <f t="shared" si="59"/>
        <v>13372.679</v>
      </c>
    </row>
    <row r="944" spans="1:24">
      <c r="A944" s="12" t="s">
        <v>2854</v>
      </c>
      <c r="B944" s="12" t="s">
        <v>2855</v>
      </c>
      <c r="C944" s="12" t="s">
        <v>26</v>
      </c>
      <c r="D944" s="12" t="s">
        <v>313</v>
      </c>
      <c r="E944" s="12" t="s">
        <v>38</v>
      </c>
      <c r="F944" s="13">
        <v>12861.7</v>
      </c>
      <c r="G944" s="13">
        <v>38.54</v>
      </c>
      <c r="H944" s="13">
        <v>7904.96</v>
      </c>
      <c r="I944" s="13">
        <v>3.8</v>
      </c>
      <c r="J944" s="13">
        <v>15</v>
      </c>
      <c r="K944" s="13">
        <v>100</v>
      </c>
      <c r="L944" s="12" t="s">
        <v>2856</v>
      </c>
      <c r="M944" s="12">
        <v>3.8</v>
      </c>
      <c r="N944" s="14">
        <v>45550</v>
      </c>
      <c r="O944" s="13">
        <v>5</v>
      </c>
      <c r="P944" s="12" t="s">
        <v>45</v>
      </c>
      <c r="Q944" s="12" t="s">
        <v>55</v>
      </c>
      <c r="R944" s="12" t="s">
        <v>72</v>
      </c>
      <c r="S944" s="12" t="b">
        <v>0</v>
      </c>
      <c r="T944" s="12" t="s">
        <v>62</v>
      </c>
      <c r="U944" s="15">
        <f t="shared" si="56"/>
        <v>4956.8991800000003</v>
      </c>
      <c r="V944" s="15">
        <f t="shared" si="57"/>
        <v>5144.68</v>
      </c>
      <c r="W944" s="15">
        <f t="shared" si="58"/>
        <v>1185.7439999999999</v>
      </c>
      <c r="X944" s="15">
        <f t="shared" si="59"/>
        <v>1574.5360000000001</v>
      </c>
    </row>
    <row r="945" spans="1:24">
      <c r="A945" s="12" t="s">
        <v>2857</v>
      </c>
      <c r="B945" s="12" t="s">
        <v>2858</v>
      </c>
      <c r="C945" s="12" t="s">
        <v>59</v>
      </c>
      <c r="D945" s="12" t="s">
        <v>69</v>
      </c>
      <c r="E945" s="12" t="s">
        <v>28</v>
      </c>
      <c r="F945" s="13">
        <v>6890.77</v>
      </c>
      <c r="G945" s="13">
        <v>25.69</v>
      </c>
      <c r="H945" s="13">
        <v>5120.3</v>
      </c>
      <c r="I945" s="13">
        <v>3.6</v>
      </c>
      <c r="J945" s="13">
        <v>10</v>
      </c>
      <c r="K945" s="13">
        <v>467</v>
      </c>
      <c r="L945" s="12" t="s">
        <v>2859</v>
      </c>
      <c r="M945" s="12">
        <v>4.0999999999999996</v>
      </c>
      <c r="N945" s="14">
        <v>45459</v>
      </c>
      <c r="O945" s="13">
        <v>6</v>
      </c>
      <c r="P945" s="12" t="s">
        <v>45</v>
      </c>
      <c r="Q945" s="12" t="s">
        <v>46</v>
      </c>
      <c r="R945" s="12" t="s">
        <v>72</v>
      </c>
      <c r="S945" s="12" t="b">
        <v>0</v>
      </c>
      <c r="T945" s="12" t="s">
        <v>56</v>
      </c>
      <c r="U945" s="15">
        <f t="shared" si="56"/>
        <v>1770.2388129999999</v>
      </c>
      <c r="V945" s="15">
        <f t="shared" si="57"/>
        <v>2756.308</v>
      </c>
      <c r="W945" s="15">
        <f t="shared" si="58"/>
        <v>768.04499999999996</v>
      </c>
      <c r="X945" s="15">
        <f t="shared" si="59"/>
        <v>1595.9469999999999</v>
      </c>
    </row>
    <row r="946" spans="1:24">
      <c r="A946" s="12" t="s">
        <v>2860</v>
      </c>
      <c r="B946" s="12" t="s">
        <v>2861</v>
      </c>
      <c r="C946" s="12" t="s">
        <v>59</v>
      </c>
      <c r="D946" s="12" t="s">
        <v>170</v>
      </c>
      <c r="E946" s="12" t="s">
        <v>96</v>
      </c>
      <c r="F946" s="13">
        <v>4490.84</v>
      </c>
      <c r="G946" s="13">
        <v>5.44</v>
      </c>
      <c r="H946" s="13">
        <v>4246.37</v>
      </c>
      <c r="I946" s="13">
        <v>3.7</v>
      </c>
      <c r="J946" s="13">
        <v>149</v>
      </c>
      <c r="K946" s="13">
        <v>6</v>
      </c>
      <c r="L946" s="12" t="s">
        <v>2862</v>
      </c>
      <c r="M946" s="12">
        <v>4.7</v>
      </c>
      <c r="N946" s="14">
        <v>46063</v>
      </c>
      <c r="O946" s="13">
        <v>4</v>
      </c>
      <c r="P946" s="12" t="s">
        <v>45</v>
      </c>
      <c r="Q946" s="12" t="s">
        <v>31</v>
      </c>
      <c r="R946" s="12" t="s">
        <v>47</v>
      </c>
      <c r="S946" s="12" t="b">
        <v>1</v>
      </c>
      <c r="T946" s="12" t="s">
        <v>33</v>
      </c>
      <c r="U946" s="15">
        <f t="shared" si="56"/>
        <v>244.30169599999999</v>
      </c>
      <c r="V946" s="15">
        <f t="shared" si="57"/>
        <v>1796.336</v>
      </c>
      <c r="W946" s="15">
        <f t="shared" si="58"/>
        <v>636.95550000000003</v>
      </c>
      <c r="X946" s="15">
        <f t="shared" si="59"/>
        <v>1813.0785000000001</v>
      </c>
    </row>
    <row r="947" spans="1:24">
      <c r="A947" s="12" t="s">
        <v>2863</v>
      </c>
      <c r="B947" s="12" t="s">
        <v>2864</v>
      </c>
      <c r="C947" s="12" t="s">
        <v>50</v>
      </c>
      <c r="D947" s="12" t="s">
        <v>130</v>
      </c>
      <c r="E947" s="12" t="s">
        <v>70</v>
      </c>
      <c r="F947" s="13">
        <v>3204.06</v>
      </c>
      <c r="G947" s="13">
        <v>16.43</v>
      </c>
      <c r="H947" s="13">
        <v>2677.6</v>
      </c>
      <c r="I947" s="13">
        <v>4</v>
      </c>
      <c r="J947" s="13">
        <v>43</v>
      </c>
      <c r="K947" s="13">
        <v>264</v>
      </c>
      <c r="L947" s="12" t="s">
        <v>2865</v>
      </c>
      <c r="M947" s="12">
        <v>4.2</v>
      </c>
      <c r="N947" s="14">
        <v>45794</v>
      </c>
      <c r="O947" s="13">
        <v>3</v>
      </c>
      <c r="P947" s="12" t="s">
        <v>54</v>
      </c>
      <c r="Q947" s="12" t="s">
        <v>31</v>
      </c>
      <c r="R947" s="12" t="s">
        <v>86</v>
      </c>
      <c r="S947" s="12" t="b">
        <v>0</v>
      </c>
      <c r="T947" s="12" t="s">
        <v>56</v>
      </c>
      <c r="U947" s="15">
        <f t="shared" si="56"/>
        <v>526.42705799999999</v>
      </c>
      <c r="V947" s="15">
        <f t="shared" si="57"/>
        <v>1281.624</v>
      </c>
      <c r="W947" s="15">
        <f t="shared" si="58"/>
        <v>401.64</v>
      </c>
      <c r="X947" s="15">
        <f t="shared" si="59"/>
        <v>994.33600000000001</v>
      </c>
    </row>
    <row r="948" spans="1:24">
      <c r="A948" s="12" t="s">
        <v>2866</v>
      </c>
      <c r="B948" s="12" t="s">
        <v>2867</v>
      </c>
      <c r="C948" s="12" t="s">
        <v>26</v>
      </c>
      <c r="D948" s="12" t="s">
        <v>313</v>
      </c>
      <c r="E948" s="12" t="s">
        <v>70</v>
      </c>
      <c r="F948" s="13">
        <v>9252.85</v>
      </c>
      <c r="G948" s="13">
        <v>16.38</v>
      </c>
      <c r="H948" s="13">
        <v>7736.98</v>
      </c>
      <c r="I948" s="13">
        <v>3.8</v>
      </c>
      <c r="J948" s="13">
        <v>42</v>
      </c>
      <c r="K948" s="13">
        <v>107</v>
      </c>
      <c r="L948" s="12" t="s">
        <v>2868</v>
      </c>
      <c r="M948" s="12">
        <v>3.3</v>
      </c>
      <c r="N948" s="14">
        <v>45585</v>
      </c>
      <c r="O948" s="13">
        <v>6</v>
      </c>
      <c r="P948" s="12" t="s">
        <v>117</v>
      </c>
      <c r="Q948" s="12" t="s">
        <v>55</v>
      </c>
      <c r="R948" s="12" t="s">
        <v>32</v>
      </c>
      <c r="S948" s="12" t="b">
        <v>1</v>
      </c>
      <c r="T948" s="12" t="s">
        <v>33</v>
      </c>
      <c r="U948" s="15">
        <f t="shared" si="56"/>
        <v>1515.6168299999999</v>
      </c>
      <c r="V948" s="15">
        <f t="shared" si="57"/>
        <v>3701.14</v>
      </c>
      <c r="W948" s="15">
        <f t="shared" si="58"/>
        <v>1160.547</v>
      </c>
      <c r="X948" s="15">
        <f t="shared" si="59"/>
        <v>2875.2930000000001</v>
      </c>
    </row>
    <row r="949" spans="1:24">
      <c r="A949" s="12" t="s">
        <v>2869</v>
      </c>
      <c r="B949" s="12" t="s">
        <v>2870</v>
      </c>
      <c r="C949" s="12" t="s">
        <v>59</v>
      </c>
      <c r="D949" s="12" t="s">
        <v>69</v>
      </c>
      <c r="E949" s="12" t="s">
        <v>65</v>
      </c>
      <c r="F949" s="13">
        <v>5871.71</v>
      </c>
      <c r="G949" s="13">
        <v>41.05</v>
      </c>
      <c r="H949" s="13">
        <v>3461.64</v>
      </c>
      <c r="I949" s="13">
        <v>3.2</v>
      </c>
      <c r="J949" s="13">
        <v>12</v>
      </c>
      <c r="K949" s="13">
        <v>255</v>
      </c>
      <c r="L949" s="12" t="s">
        <v>2871</v>
      </c>
      <c r="M949" s="12">
        <v>2.9</v>
      </c>
      <c r="N949" s="14">
        <v>45602</v>
      </c>
      <c r="O949" s="13">
        <v>3</v>
      </c>
      <c r="P949" s="12" t="s">
        <v>54</v>
      </c>
      <c r="Q949" s="12" t="s">
        <v>55</v>
      </c>
      <c r="R949" s="12" t="s">
        <v>47</v>
      </c>
      <c r="S949" s="12" t="b">
        <v>0</v>
      </c>
      <c r="T949" s="12" t="s">
        <v>56</v>
      </c>
      <c r="U949" s="15">
        <f t="shared" si="56"/>
        <v>2410.3369550000002</v>
      </c>
      <c r="V949" s="15">
        <f t="shared" si="57"/>
        <v>2348.6840000000002</v>
      </c>
      <c r="W949" s="15">
        <f t="shared" si="58"/>
        <v>519.24599999999998</v>
      </c>
      <c r="X949" s="15">
        <f t="shared" si="59"/>
        <v>593.71</v>
      </c>
    </row>
    <row r="950" spans="1:24">
      <c r="A950" s="12" t="s">
        <v>2872</v>
      </c>
      <c r="B950" s="12" t="s">
        <v>2873</v>
      </c>
      <c r="C950" s="12" t="s">
        <v>50</v>
      </c>
      <c r="D950" s="12" t="s">
        <v>213</v>
      </c>
      <c r="E950" s="12" t="s">
        <v>96</v>
      </c>
      <c r="F950" s="13">
        <v>4533.33</v>
      </c>
      <c r="G950" s="13">
        <v>34.409999999999997</v>
      </c>
      <c r="H950" s="13">
        <v>2973.31</v>
      </c>
      <c r="I950" s="13">
        <v>3.9</v>
      </c>
      <c r="J950" s="13">
        <v>69</v>
      </c>
      <c r="K950" s="13">
        <v>300</v>
      </c>
      <c r="L950" s="12" t="s">
        <v>2874</v>
      </c>
      <c r="M950" s="12">
        <v>3.9</v>
      </c>
      <c r="N950" s="14">
        <v>45804</v>
      </c>
      <c r="O950" s="13">
        <v>4</v>
      </c>
      <c r="P950" s="12" t="s">
        <v>45</v>
      </c>
      <c r="Q950" s="12" t="s">
        <v>31</v>
      </c>
      <c r="R950" s="12" t="s">
        <v>32</v>
      </c>
      <c r="S950" s="12" t="b">
        <v>0</v>
      </c>
      <c r="T950" s="12" t="s">
        <v>78</v>
      </c>
      <c r="U950" s="15">
        <f t="shared" si="56"/>
        <v>1559.9188529999999</v>
      </c>
      <c r="V950" s="15">
        <f t="shared" si="57"/>
        <v>1813.3320000000001</v>
      </c>
      <c r="W950" s="15">
        <f t="shared" si="58"/>
        <v>445.99650000000003</v>
      </c>
      <c r="X950" s="15">
        <f t="shared" si="59"/>
        <v>713.98149999999998</v>
      </c>
    </row>
    <row r="951" spans="1:24">
      <c r="A951" s="12" t="s">
        <v>2875</v>
      </c>
      <c r="B951" s="12" t="s">
        <v>2876</v>
      </c>
      <c r="C951" s="12" t="s">
        <v>75</v>
      </c>
      <c r="D951" s="12" t="s">
        <v>104</v>
      </c>
      <c r="E951" s="12" t="s">
        <v>65</v>
      </c>
      <c r="F951" s="13">
        <v>1489.47</v>
      </c>
      <c r="G951" s="13">
        <v>36.64</v>
      </c>
      <c r="H951" s="13">
        <v>943.78</v>
      </c>
      <c r="I951" s="13">
        <v>4.2</v>
      </c>
      <c r="J951" s="13">
        <v>45</v>
      </c>
      <c r="K951" s="13">
        <v>443</v>
      </c>
      <c r="L951" s="12" t="s">
        <v>2877</v>
      </c>
      <c r="M951" s="12">
        <v>4.7</v>
      </c>
      <c r="N951" s="14">
        <v>45913</v>
      </c>
      <c r="O951" s="13">
        <v>3</v>
      </c>
      <c r="P951" s="12" t="s">
        <v>45</v>
      </c>
      <c r="Q951" s="12" t="s">
        <v>55</v>
      </c>
      <c r="R951" s="12" t="s">
        <v>47</v>
      </c>
      <c r="S951" s="12" t="b">
        <v>0</v>
      </c>
      <c r="T951" s="12" t="s">
        <v>56</v>
      </c>
      <c r="U951" s="15">
        <f t="shared" si="56"/>
        <v>545.74180799999999</v>
      </c>
      <c r="V951" s="15">
        <f t="shared" si="57"/>
        <v>595.78800000000001</v>
      </c>
      <c r="W951" s="15">
        <f t="shared" si="58"/>
        <v>141.56700000000001</v>
      </c>
      <c r="X951" s="15">
        <f t="shared" si="59"/>
        <v>206.42500000000001</v>
      </c>
    </row>
    <row r="952" spans="1:24">
      <c r="A952" s="12" t="s">
        <v>2878</v>
      </c>
      <c r="B952" s="12" t="s">
        <v>2879</v>
      </c>
      <c r="C952" s="12" t="s">
        <v>26</v>
      </c>
      <c r="D952" s="12" t="s">
        <v>148</v>
      </c>
      <c r="E952" s="12" t="s">
        <v>70</v>
      </c>
      <c r="F952" s="13">
        <v>40639.83</v>
      </c>
      <c r="G952" s="13">
        <v>34.67</v>
      </c>
      <c r="H952" s="13">
        <v>26550.47</v>
      </c>
      <c r="I952" s="13">
        <v>4.3</v>
      </c>
      <c r="J952" s="13">
        <v>64</v>
      </c>
      <c r="K952" s="13">
        <v>291</v>
      </c>
      <c r="L952" s="12" t="s">
        <v>2880</v>
      </c>
      <c r="M952" s="12">
        <v>3</v>
      </c>
      <c r="N952" s="14">
        <v>46089</v>
      </c>
      <c r="O952" s="13">
        <v>5</v>
      </c>
      <c r="P952" s="12" t="s">
        <v>117</v>
      </c>
      <c r="Q952" s="12" t="s">
        <v>31</v>
      </c>
      <c r="R952" s="12" t="s">
        <v>72</v>
      </c>
      <c r="S952" s="12" t="b">
        <v>0</v>
      </c>
      <c r="T952" s="12" t="s">
        <v>78</v>
      </c>
      <c r="U952" s="15">
        <f t="shared" si="56"/>
        <v>14089.829061</v>
      </c>
      <c r="V952" s="15">
        <f t="shared" si="57"/>
        <v>16255.932000000001</v>
      </c>
      <c r="W952" s="15">
        <f t="shared" si="58"/>
        <v>3982.5704999999998</v>
      </c>
      <c r="X952" s="15">
        <f t="shared" si="59"/>
        <v>6311.9674999999997</v>
      </c>
    </row>
    <row r="953" spans="1:24">
      <c r="A953" s="12" t="s">
        <v>2881</v>
      </c>
      <c r="B953" s="12" t="s">
        <v>2882</v>
      </c>
      <c r="C953" s="12" t="s">
        <v>75</v>
      </c>
      <c r="D953" s="12" t="s">
        <v>135</v>
      </c>
      <c r="E953" s="12" t="s">
        <v>100</v>
      </c>
      <c r="F953" s="13">
        <v>1735.92</v>
      </c>
      <c r="G953" s="13">
        <v>53.81</v>
      </c>
      <c r="H953" s="13">
        <v>801.74</v>
      </c>
      <c r="I953" s="13">
        <v>4.7</v>
      </c>
      <c r="J953" s="13">
        <v>22</v>
      </c>
      <c r="K953" s="13">
        <v>423</v>
      </c>
      <c r="L953" s="12" t="s">
        <v>2883</v>
      </c>
      <c r="M953" s="12">
        <v>2.5</v>
      </c>
      <c r="N953" s="14">
        <v>45564</v>
      </c>
      <c r="O953" s="13">
        <v>3</v>
      </c>
      <c r="P953" s="12" t="s">
        <v>45</v>
      </c>
      <c r="Q953" s="12" t="s">
        <v>46</v>
      </c>
      <c r="R953" s="12" t="s">
        <v>47</v>
      </c>
      <c r="S953" s="12" t="b">
        <v>0</v>
      </c>
      <c r="T953" s="12" t="s">
        <v>78</v>
      </c>
      <c r="U953" s="15">
        <f t="shared" si="56"/>
        <v>934.09855200000004</v>
      </c>
      <c r="V953" s="15">
        <f t="shared" si="57"/>
        <v>694.36800000000005</v>
      </c>
      <c r="W953" s="15">
        <f t="shared" si="58"/>
        <v>120.261</v>
      </c>
      <c r="X953" s="15">
        <f t="shared" si="59"/>
        <v>-12.888999999999999</v>
      </c>
    </row>
    <row r="954" spans="1:24">
      <c r="A954" s="12" t="s">
        <v>2884</v>
      </c>
      <c r="B954" s="12" t="s">
        <v>2885</v>
      </c>
      <c r="C954" s="12" t="s">
        <v>26</v>
      </c>
      <c r="D954" s="12" t="s">
        <v>148</v>
      </c>
      <c r="E954" s="12" t="s">
        <v>52</v>
      </c>
      <c r="F954" s="13">
        <v>23396.76</v>
      </c>
      <c r="G954" s="13">
        <v>12.16</v>
      </c>
      <c r="H954" s="13">
        <v>20551.53</v>
      </c>
      <c r="I954" s="13">
        <v>4.3</v>
      </c>
      <c r="J954" s="13">
        <v>27</v>
      </c>
      <c r="K954" s="13">
        <v>337</v>
      </c>
      <c r="L954" s="12" t="s">
        <v>2886</v>
      </c>
      <c r="M954" s="12">
        <v>4.9000000000000004</v>
      </c>
      <c r="N954" s="14">
        <v>46006</v>
      </c>
      <c r="O954" s="13">
        <v>3</v>
      </c>
      <c r="P954" s="12" t="s">
        <v>54</v>
      </c>
      <c r="Q954" s="12" t="s">
        <v>46</v>
      </c>
      <c r="R954" s="12" t="s">
        <v>86</v>
      </c>
      <c r="S954" s="12" t="b">
        <v>0</v>
      </c>
      <c r="T954" s="12" t="s">
        <v>78</v>
      </c>
      <c r="U954" s="15">
        <f t="shared" si="56"/>
        <v>2845.0460159999998</v>
      </c>
      <c r="V954" s="15">
        <f t="shared" si="57"/>
        <v>9358.7039999999997</v>
      </c>
      <c r="W954" s="15">
        <f t="shared" si="58"/>
        <v>3082.7294999999999</v>
      </c>
      <c r="X954" s="15">
        <f t="shared" si="59"/>
        <v>8110.0964999999997</v>
      </c>
    </row>
    <row r="955" spans="1:24">
      <c r="A955" s="12" t="s">
        <v>2887</v>
      </c>
      <c r="B955" s="12" t="s">
        <v>2888</v>
      </c>
      <c r="C955" s="12" t="s">
        <v>59</v>
      </c>
      <c r="D955" s="12" t="s">
        <v>60</v>
      </c>
      <c r="E955" s="12" t="s">
        <v>38</v>
      </c>
      <c r="F955" s="13">
        <v>7704.67</v>
      </c>
      <c r="G955" s="13">
        <v>9.68</v>
      </c>
      <c r="H955" s="13">
        <v>6958.81</v>
      </c>
      <c r="I955" s="13">
        <v>3.2</v>
      </c>
      <c r="J955" s="13">
        <v>11</v>
      </c>
      <c r="K955" s="13">
        <v>200</v>
      </c>
      <c r="L955" s="12" t="s">
        <v>2889</v>
      </c>
      <c r="M955" s="12">
        <v>3.1</v>
      </c>
      <c r="N955" s="14">
        <v>46000</v>
      </c>
      <c r="O955" s="13">
        <v>4</v>
      </c>
      <c r="P955" s="12" t="s">
        <v>54</v>
      </c>
      <c r="Q955" s="12" t="s">
        <v>46</v>
      </c>
      <c r="R955" s="12" t="s">
        <v>47</v>
      </c>
      <c r="S955" s="12" t="b">
        <v>0</v>
      </c>
      <c r="T955" s="12" t="s">
        <v>62</v>
      </c>
      <c r="U955" s="15">
        <f t="shared" si="56"/>
        <v>745.81205599999998</v>
      </c>
      <c r="V955" s="15">
        <f t="shared" si="57"/>
        <v>3081.8679999999999</v>
      </c>
      <c r="W955" s="15">
        <f t="shared" si="58"/>
        <v>1043.8215</v>
      </c>
      <c r="X955" s="15">
        <f t="shared" si="59"/>
        <v>2833.1205</v>
      </c>
    </row>
    <row r="956" spans="1:24">
      <c r="A956" s="12" t="s">
        <v>2890</v>
      </c>
      <c r="B956" s="12" t="s">
        <v>2891</v>
      </c>
      <c r="C956" s="12" t="s">
        <v>50</v>
      </c>
      <c r="D956" s="12" t="s">
        <v>51</v>
      </c>
      <c r="E956" s="12" t="s">
        <v>28</v>
      </c>
      <c r="F956" s="13">
        <v>1126.47</v>
      </c>
      <c r="G956" s="13">
        <v>41.43</v>
      </c>
      <c r="H956" s="13">
        <v>659.82</v>
      </c>
      <c r="I956" s="13">
        <v>3.8</v>
      </c>
      <c r="J956" s="13">
        <v>33</v>
      </c>
      <c r="K956" s="13">
        <v>66</v>
      </c>
      <c r="L956" s="12" t="s">
        <v>2015</v>
      </c>
      <c r="M956" s="12">
        <v>2.8</v>
      </c>
      <c r="N956" s="14">
        <v>45828</v>
      </c>
      <c r="O956" s="13">
        <v>3</v>
      </c>
      <c r="P956" s="12" t="s">
        <v>40</v>
      </c>
      <c r="Q956" s="12" t="s">
        <v>55</v>
      </c>
      <c r="R956" s="12" t="s">
        <v>86</v>
      </c>
      <c r="S956" s="12" t="b">
        <v>0</v>
      </c>
      <c r="T956" s="12" t="s">
        <v>62</v>
      </c>
      <c r="U956" s="15">
        <f t="shared" si="56"/>
        <v>466.69652100000002</v>
      </c>
      <c r="V956" s="15">
        <f t="shared" si="57"/>
        <v>450.58800000000002</v>
      </c>
      <c r="W956" s="15">
        <f t="shared" si="58"/>
        <v>98.972999999999999</v>
      </c>
      <c r="X956" s="15">
        <f t="shared" si="59"/>
        <v>110.259</v>
      </c>
    </row>
    <row r="957" spans="1:24">
      <c r="A957" s="12" t="s">
        <v>2892</v>
      </c>
      <c r="B957" s="12" t="s">
        <v>2893</v>
      </c>
      <c r="C957" s="12" t="s">
        <v>50</v>
      </c>
      <c r="D957" s="12" t="s">
        <v>130</v>
      </c>
      <c r="E957" s="12" t="s">
        <v>65</v>
      </c>
      <c r="F957" s="13">
        <v>512.03</v>
      </c>
      <c r="G957" s="13">
        <v>42.47</v>
      </c>
      <c r="H957" s="13">
        <v>294.55</v>
      </c>
      <c r="I957" s="13">
        <v>4.4000000000000004</v>
      </c>
      <c r="J957" s="13">
        <v>8</v>
      </c>
      <c r="K957" s="13">
        <v>103</v>
      </c>
      <c r="L957" s="12" t="s">
        <v>2894</v>
      </c>
      <c r="M957" s="12">
        <v>3.2</v>
      </c>
      <c r="N957" s="14">
        <v>45657</v>
      </c>
      <c r="O957" s="13">
        <v>2</v>
      </c>
      <c r="P957" s="12" t="s">
        <v>45</v>
      </c>
      <c r="Q957" s="12" t="s">
        <v>31</v>
      </c>
      <c r="R957" s="12" t="s">
        <v>86</v>
      </c>
      <c r="S957" s="12" t="b">
        <v>0</v>
      </c>
      <c r="T957" s="12" t="s">
        <v>56</v>
      </c>
      <c r="U957" s="15">
        <f t="shared" si="56"/>
        <v>217.45914099999999</v>
      </c>
      <c r="V957" s="15">
        <f t="shared" si="57"/>
        <v>204.81200000000001</v>
      </c>
      <c r="W957" s="15">
        <f t="shared" si="58"/>
        <v>44.182499999999997</v>
      </c>
      <c r="X957" s="15">
        <f t="shared" si="59"/>
        <v>45.555500000000002</v>
      </c>
    </row>
    <row r="958" spans="1:24">
      <c r="A958" s="12" t="s">
        <v>2895</v>
      </c>
      <c r="B958" s="12" t="s">
        <v>2896</v>
      </c>
      <c r="C958" s="12" t="s">
        <v>75</v>
      </c>
      <c r="D958" s="12" t="s">
        <v>135</v>
      </c>
      <c r="E958" s="12" t="s">
        <v>92</v>
      </c>
      <c r="F958" s="13">
        <v>3929.32</v>
      </c>
      <c r="G958" s="13">
        <v>21.73</v>
      </c>
      <c r="H958" s="13">
        <v>3075.66</v>
      </c>
      <c r="I958" s="13">
        <v>3.3</v>
      </c>
      <c r="J958" s="13">
        <v>41</v>
      </c>
      <c r="K958" s="13">
        <v>309</v>
      </c>
      <c r="L958" s="12" t="s">
        <v>2897</v>
      </c>
      <c r="M958" s="12">
        <v>3.2</v>
      </c>
      <c r="N958" s="14">
        <v>45471</v>
      </c>
      <c r="O958" s="13">
        <v>5</v>
      </c>
      <c r="P958" s="12" t="s">
        <v>117</v>
      </c>
      <c r="Q958" s="12" t="s">
        <v>31</v>
      </c>
      <c r="R958" s="12" t="s">
        <v>72</v>
      </c>
      <c r="S958" s="12" t="b">
        <v>0</v>
      </c>
      <c r="T958" s="12" t="s">
        <v>62</v>
      </c>
      <c r="U958" s="15">
        <f t="shared" si="56"/>
        <v>853.84123599999998</v>
      </c>
      <c r="V958" s="15">
        <f t="shared" si="57"/>
        <v>1571.7280000000001</v>
      </c>
      <c r="W958" s="15">
        <f t="shared" si="58"/>
        <v>461.34899999999999</v>
      </c>
      <c r="X958" s="15">
        <f t="shared" si="59"/>
        <v>1042.5830000000001</v>
      </c>
    </row>
    <row r="959" spans="1:24">
      <c r="A959" s="12" t="s">
        <v>2898</v>
      </c>
      <c r="B959" s="12" t="s">
        <v>2899</v>
      </c>
      <c r="C959" s="12" t="s">
        <v>50</v>
      </c>
      <c r="D959" s="12" t="s">
        <v>51</v>
      </c>
      <c r="E959" s="12" t="s">
        <v>235</v>
      </c>
      <c r="F959" s="13">
        <v>2717.36</v>
      </c>
      <c r="G959" s="13">
        <v>29.88</v>
      </c>
      <c r="H959" s="13">
        <v>1905.48</v>
      </c>
      <c r="I959" s="13">
        <v>3.9</v>
      </c>
      <c r="J959" s="13">
        <v>14</v>
      </c>
      <c r="K959" s="13">
        <v>147</v>
      </c>
      <c r="L959" s="12" t="s">
        <v>2900</v>
      </c>
      <c r="M959" s="12">
        <v>4.5999999999999996</v>
      </c>
      <c r="N959" s="14">
        <v>45824</v>
      </c>
      <c r="O959" s="13">
        <v>3</v>
      </c>
      <c r="P959" s="12" t="s">
        <v>45</v>
      </c>
      <c r="Q959" s="12" t="s">
        <v>55</v>
      </c>
      <c r="R959" s="12" t="s">
        <v>72</v>
      </c>
      <c r="S959" s="12" t="b">
        <v>0</v>
      </c>
      <c r="T959" s="12" t="s">
        <v>56</v>
      </c>
      <c r="U959" s="15">
        <f t="shared" si="56"/>
        <v>811.94716800000003</v>
      </c>
      <c r="V959" s="15">
        <f t="shared" si="57"/>
        <v>1086.944</v>
      </c>
      <c r="W959" s="15">
        <f t="shared" si="58"/>
        <v>285.822</v>
      </c>
      <c r="X959" s="15">
        <f t="shared" si="59"/>
        <v>532.71400000000006</v>
      </c>
    </row>
    <row r="960" spans="1:24">
      <c r="A960" s="12" t="s">
        <v>2901</v>
      </c>
      <c r="B960" s="12" t="s">
        <v>2902</v>
      </c>
      <c r="C960" s="12" t="s">
        <v>36</v>
      </c>
      <c r="D960" s="12" t="s">
        <v>43</v>
      </c>
      <c r="E960" s="12" t="s">
        <v>96</v>
      </c>
      <c r="F960" s="13">
        <v>6212.19</v>
      </c>
      <c r="G960" s="13">
        <v>32.51</v>
      </c>
      <c r="H960" s="13">
        <v>4192.6499999999996</v>
      </c>
      <c r="I960" s="13">
        <v>4</v>
      </c>
      <c r="J960" s="13">
        <v>10</v>
      </c>
      <c r="K960" s="13">
        <v>375</v>
      </c>
      <c r="L960" s="12" t="s">
        <v>2903</v>
      </c>
      <c r="M960" s="12">
        <v>4.7</v>
      </c>
      <c r="N960" s="14">
        <v>45563</v>
      </c>
      <c r="O960" s="13">
        <v>5</v>
      </c>
      <c r="P960" s="12" t="s">
        <v>54</v>
      </c>
      <c r="Q960" s="12" t="s">
        <v>55</v>
      </c>
      <c r="R960" s="12" t="s">
        <v>86</v>
      </c>
      <c r="S960" s="12" t="b">
        <v>0</v>
      </c>
      <c r="T960" s="12" t="s">
        <v>62</v>
      </c>
      <c r="U960" s="15">
        <f t="shared" si="56"/>
        <v>2019.582969</v>
      </c>
      <c r="V960" s="15">
        <f t="shared" si="57"/>
        <v>2484.8760000000002</v>
      </c>
      <c r="W960" s="15">
        <f t="shared" si="58"/>
        <v>628.89750000000004</v>
      </c>
      <c r="X960" s="15">
        <f t="shared" si="59"/>
        <v>1078.8765000000001</v>
      </c>
    </row>
    <row r="961" spans="1:24">
      <c r="A961" s="12" t="s">
        <v>2904</v>
      </c>
      <c r="B961" s="12" t="s">
        <v>2905</v>
      </c>
      <c r="C961" s="12" t="s">
        <v>75</v>
      </c>
      <c r="D961" s="12" t="s">
        <v>76</v>
      </c>
      <c r="E961" s="12" t="s">
        <v>65</v>
      </c>
      <c r="F961" s="13">
        <v>569.15</v>
      </c>
      <c r="G961" s="13">
        <v>49.08</v>
      </c>
      <c r="H961" s="13">
        <v>289.81</v>
      </c>
      <c r="I961" s="13">
        <v>4</v>
      </c>
      <c r="J961" s="13">
        <v>7</v>
      </c>
      <c r="K961" s="13">
        <v>122</v>
      </c>
      <c r="L961" s="12" t="s">
        <v>752</v>
      </c>
      <c r="M961" s="12">
        <v>3.7</v>
      </c>
      <c r="N961" s="14">
        <v>45673</v>
      </c>
      <c r="O961" s="13">
        <v>4</v>
      </c>
      <c r="P961" s="12" t="s">
        <v>40</v>
      </c>
      <c r="Q961" s="12" t="s">
        <v>55</v>
      </c>
      <c r="R961" s="12" t="s">
        <v>72</v>
      </c>
      <c r="S961" s="12" t="b">
        <v>0</v>
      </c>
      <c r="T961" s="12" t="s">
        <v>62</v>
      </c>
      <c r="U961" s="15">
        <f t="shared" si="56"/>
        <v>279.33882</v>
      </c>
      <c r="V961" s="15">
        <f t="shared" si="57"/>
        <v>227.66</v>
      </c>
      <c r="W961" s="15">
        <f t="shared" si="58"/>
        <v>43.471499999999999</v>
      </c>
      <c r="X961" s="15">
        <f t="shared" si="59"/>
        <v>18.6785</v>
      </c>
    </row>
    <row r="962" spans="1:24">
      <c r="A962" s="12" t="s">
        <v>2906</v>
      </c>
      <c r="B962" s="12" t="s">
        <v>2907</v>
      </c>
      <c r="C962" s="12" t="s">
        <v>26</v>
      </c>
      <c r="D962" s="12" t="s">
        <v>123</v>
      </c>
      <c r="E962" s="12" t="s">
        <v>235</v>
      </c>
      <c r="F962" s="13">
        <v>8379.4699999999993</v>
      </c>
      <c r="G962" s="13">
        <v>13.83</v>
      </c>
      <c r="H962" s="13">
        <v>7220.84</v>
      </c>
      <c r="I962" s="13">
        <v>4.3</v>
      </c>
      <c r="J962" s="13">
        <v>5</v>
      </c>
      <c r="K962" s="13">
        <v>62</v>
      </c>
      <c r="L962" s="12" t="s">
        <v>2908</v>
      </c>
      <c r="M962" s="12">
        <v>3.7</v>
      </c>
      <c r="N962" s="14">
        <v>45535</v>
      </c>
      <c r="O962" s="13">
        <v>5</v>
      </c>
      <c r="P962" s="12" t="s">
        <v>117</v>
      </c>
      <c r="Q962" s="12" t="s">
        <v>46</v>
      </c>
      <c r="R962" s="12" t="s">
        <v>32</v>
      </c>
      <c r="S962" s="12" t="b">
        <v>0</v>
      </c>
      <c r="T962" s="12" t="s">
        <v>62</v>
      </c>
      <c r="U962" s="15">
        <f t="shared" si="56"/>
        <v>1158.880701</v>
      </c>
      <c r="V962" s="15">
        <f t="shared" si="57"/>
        <v>3351.788</v>
      </c>
      <c r="W962" s="15">
        <f t="shared" si="58"/>
        <v>1083.126</v>
      </c>
      <c r="X962" s="15">
        <f t="shared" si="59"/>
        <v>2785.9259999999999</v>
      </c>
    </row>
    <row r="963" spans="1:24">
      <c r="A963" s="12" t="s">
        <v>2909</v>
      </c>
      <c r="B963" s="12" t="s">
        <v>2910</v>
      </c>
      <c r="C963" s="12" t="s">
        <v>59</v>
      </c>
      <c r="D963" s="12" t="s">
        <v>170</v>
      </c>
      <c r="E963" s="12" t="s">
        <v>235</v>
      </c>
      <c r="F963" s="13">
        <v>14267.95</v>
      </c>
      <c r="G963" s="13">
        <v>14.63</v>
      </c>
      <c r="H963" s="13">
        <v>12180.97</v>
      </c>
      <c r="I963" s="13">
        <v>4.3</v>
      </c>
      <c r="J963" s="13">
        <v>38</v>
      </c>
      <c r="K963" s="13">
        <v>259</v>
      </c>
      <c r="L963" s="12" t="s">
        <v>2911</v>
      </c>
      <c r="M963" s="12">
        <v>3.3</v>
      </c>
      <c r="N963" s="14">
        <v>45398</v>
      </c>
      <c r="O963" s="13">
        <v>1</v>
      </c>
      <c r="P963" s="12" t="s">
        <v>54</v>
      </c>
      <c r="Q963" s="12" t="s">
        <v>55</v>
      </c>
      <c r="R963" s="12" t="s">
        <v>32</v>
      </c>
      <c r="S963" s="12" t="b">
        <v>0</v>
      </c>
      <c r="T963" s="12" t="s">
        <v>78</v>
      </c>
      <c r="U963" s="15">
        <f t="shared" ref="U963:U1001" si="60">F963*(G963/100)</f>
        <v>2087.401085</v>
      </c>
      <c r="V963" s="15">
        <f t="shared" ref="V963:V1001" si="61">F963*0.4</f>
        <v>5707.18</v>
      </c>
      <c r="W963" s="15">
        <f t="shared" ref="W963:W1001" si="62">H963*0.15</f>
        <v>1827.1455000000001</v>
      </c>
      <c r="X963" s="15">
        <f t="shared" ref="X963:X1001" si="63">H963-V963-W963</f>
        <v>4646.6445000000003</v>
      </c>
    </row>
    <row r="964" spans="1:24">
      <c r="A964" s="12" t="s">
        <v>2912</v>
      </c>
      <c r="B964" s="12" t="s">
        <v>2812</v>
      </c>
      <c r="C964" s="12" t="s">
        <v>50</v>
      </c>
      <c r="D964" s="12" t="s">
        <v>51</v>
      </c>
      <c r="E964" s="12" t="s">
        <v>112</v>
      </c>
      <c r="F964" s="13">
        <v>3412.79</v>
      </c>
      <c r="G964" s="13">
        <v>15.45</v>
      </c>
      <c r="H964" s="13">
        <v>2885.45</v>
      </c>
      <c r="I964" s="13">
        <v>2.4</v>
      </c>
      <c r="J964" s="13">
        <v>29</v>
      </c>
      <c r="K964" s="13">
        <v>203</v>
      </c>
      <c r="L964" s="12" t="s">
        <v>2913</v>
      </c>
      <c r="M964" s="12">
        <v>4.2</v>
      </c>
      <c r="N964" s="14">
        <v>45600</v>
      </c>
      <c r="O964" s="13">
        <v>5</v>
      </c>
      <c r="P964" s="12" t="s">
        <v>117</v>
      </c>
      <c r="Q964" s="12" t="s">
        <v>46</v>
      </c>
      <c r="R964" s="12" t="s">
        <v>72</v>
      </c>
      <c r="S964" s="12" t="b">
        <v>0</v>
      </c>
      <c r="T964" s="12" t="s">
        <v>78</v>
      </c>
      <c r="U964" s="15">
        <f t="shared" si="60"/>
        <v>527.27605500000004</v>
      </c>
      <c r="V964" s="15">
        <f t="shared" si="61"/>
        <v>1365.116</v>
      </c>
      <c r="W964" s="15">
        <f t="shared" si="62"/>
        <v>432.8175</v>
      </c>
      <c r="X964" s="15">
        <f t="shared" si="63"/>
        <v>1087.5165</v>
      </c>
    </row>
    <row r="965" spans="1:24">
      <c r="A965" s="12" t="s">
        <v>2914</v>
      </c>
      <c r="B965" s="12" t="s">
        <v>2915</v>
      </c>
      <c r="C965" s="12" t="s">
        <v>75</v>
      </c>
      <c r="D965" s="12" t="s">
        <v>104</v>
      </c>
      <c r="E965" s="12" t="s">
        <v>100</v>
      </c>
      <c r="F965" s="13">
        <v>3521.56</v>
      </c>
      <c r="G965" s="13">
        <v>48.69</v>
      </c>
      <c r="H965" s="13">
        <v>1807</v>
      </c>
      <c r="I965" s="13">
        <v>4.2</v>
      </c>
      <c r="J965" s="13">
        <v>1</v>
      </c>
      <c r="K965" s="13">
        <v>34</v>
      </c>
      <c r="L965" s="12" t="s">
        <v>2916</v>
      </c>
      <c r="M965" s="12">
        <v>5</v>
      </c>
      <c r="N965" s="14">
        <v>46061</v>
      </c>
      <c r="O965" s="13">
        <v>3</v>
      </c>
      <c r="P965" s="12" t="s">
        <v>117</v>
      </c>
      <c r="Q965" s="12" t="s">
        <v>31</v>
      </c>
      <c r="R965" s="12" t="s">
        <v>47</v>
      </c>
      <c r="S965" s="12" t="b">
        <v>0</v>
      </c>
      <c r="T965" s="12" t="s">
        <v>62</v>
      </c>
      <c r="U965" s="15">
        <f t="shared" si="60"/>
        <v>1714.6475640000001</v>
      </c>
      <c r="V965" s="15">
        <f t="shared" si="61"/>
        <v>1408.624</v>
      </c>
      <c r="W965" s="15">
        <f t="shared" si="62"/>
        <v>271.05</v>
      </c>
      <c r="X965" s="15">
        <f t="shared" si="63"/>
        <v>127.32599999999999</v>
      </c>
    </row>
    <row r="966" spans="1:24">
      <c r="A966" s="12" t="s">
        <v>2917</v>
      </c>
      <c r="B966" s="12" t="s">
        <v>2918</v>
      </c>
      <c r="C966" s="12" t="s">
        <v>50</v>
      </c>
      <c r="D966" s="12" t="s">
        <v>130</v>
      </c>
      <c r="E966" s="12" t="s">
        <v>235</v>
      </c>
      <c r="F966" s="13">
        <v>3926.68</v>
      </c>
      <c r="G966" s="13">
        <v>34</v>
      </c>
      <c r="H966" s="13">
        <v>2591.75</v>
      </c>
      <c r="I966" s="13">
        <v>3.6</v>
      </c>
      <c r="J966" s="13">
        <v>27</v>
      </c>
      <c r="K966" s="13">
        <v>87</v>
      </c>
      <c r="L966" s="12" t="s">
        <v>2919</v>
      </c>
      <c r="M966" s="12">
        <v>4.9000000000000004</v>
      </c>
      <c r="N966" s="14">
        <v>45894</v>
      </c>
      <c r="O966" s="13">
        <v>6</v>
      </c>
      <c r="P966" s="12" t="s">
        <v>30</v>
      </c>
      <c r="Q966" s="12" t="s">
        <v>31</v>
      </c>
      <c r="R966" s="12" t="s">
        <v>32</v>
      </c>
      <c r="S966" s="12" t="b">
        <v>0</v>
      </c>
      <c r="T966" s="12" t="s">
        <v>78</v>
      </c>
      <c r="U966" s="15">
        <f t="shared" si="60"/>
        <v>1335.0712000000001</v>
      </c>
      <c r="V966" s="15">
        <f t="shared" si="61"/>
        <v>1570.672</v>
      </c>
      <c r="W966" s="15">
        <f t="shared" si="62"/>
        <v>388.76249999999999</v>
      </c>
      <c r="X966" s="15">
        <f t="shared" si="63"/>
        <v>632.31550000000004</v>
      </c>
    </row>
    <row r="967" spans="1:24">
      <c r="A967" s="12" t="s">
        <v>2920</v>
      </c>
      <c r="B967" s="12" t="s">
        <v>2921</v>
      </c>
      <c r="C967" s="12" t="s">
        <v>59</v>
      </c>
      <c r="D967" s="12" t="s">
        <v>69</v>
      </c>
      <c r="E967" s="12" t="s">
        <v>131</v>
      </c>
      <c r="F967" s="13">
        <v>14722.72</v>
      </c>
      <c r="G967" s="13">
        <v>11.06</v>
      </c>
      <c r="H967" s="13">
        <v>13094.03</v>
      </c>
      <c r="I967" s="13">
        <v>3.5</v>
      </c>
      <c r="J967" s="13">
        <v>16</v>
      </c>
      <c r="K967" s="13">
        <v>343</v>
      </c>
      <c r="L967" s="12" t="s">
        <v>2922</v>
      </c>
      <c r="M967" s="12">
        <v>3.8</v>
      </c>
      <c r="N967" s="14">
        <v>45485</v>
      </c>
      <c r="O967" s="13">
        <v>1</v>
      </c>
      <c r="P967" s="12" t="s">
        <v>117</v>
      </c>
      <c r="Q967" s="12" t="s">
        <v>31</v>
      </c>
      <c r="R967" s="12" t="s">
        <v>72</v>
      </c>
      <c r="S967" s="12" t="b">
        <v>0</v>
      </c>
      <c r="T967" s="12" t="s">
        <v>78</v>
      </c>
      <c r="U967" s="15">
        <f t="shared" si="60"/>
        <v>1628.3328320000001</v>
      </c>
      <c r="V967" s="15">
        <f t="shared" si="61"/>
        <v>5889.0879999999997</v>
      </c>
      <c r="W967" s="15">
        <f t="shared" si="62"/>
        <v>1964.1044999999999</v>
      </c>
      <c r="X967" s="15">
        <f t="shared" si="63"/>
        <v>5240.8374999999996</v>
      </c>
    </row>
    <row r="968" spans="1:24">
      <c r="A968" s="12" t="s">
        <v>2923</v>
      </c>
      <c r="B968" s="12" t="s">
        <v>2924</v>
      </c>
      <c r="C968" s="12" t="s">
        <v>50</v>
      </c>
      <c r="D968" s="12" t="s">
        <v>51</v>
      </c>
      <c r="E968" s="12" t="s">
        <v>92</v>
      </c>
      <c r="F968" s="13">
        <v>2716.44</v>
      </c>
      <c r="G968" s="13">
        <v>10.47</v>
      </c>
      <c r="H968" s="13">
        <v>2431.9499999999998</v>
      </c>
      <c r="I968" s="13">
        <v>3.2</v>
      </c>
      <c r="J968" s="13">
        <v>9</v>
      </c>
      <c r="K968" s="13">
        <v>457</v>
      </c>
      <c r="L968" s="12" t="s">
        <v>2925</v>
      </c>
      <c r="M968" s="12">
        <v>2.6</v>
      </c>
      <c r="N968" s="14">
        <v>45707</v>
      </c>
      <c r="O968" s="13">
        <v>5</v>
      </c>
      <c r="P968" s="12" t="s">
        <v>54</v>
      </c>
      <c r="Q968" s="12" t="s">
        <v>46</v>
      </c>
      <c r="R968" s="12" t="s">
        <v>86</v>
      </c>
      <c r="S968" s="12" t="b">
        <v>0</v>
      </c>
      <c r="T968" s="12" t="s">
        <v>62</v>
      </c>
      <c r="U968" s="15">
        <f t="shared" si="60"/>
        <v>284.41126800000001</v>
      </c>
      <c r="V968" s="15">
        <f t="shared" si="61"/>
        <v>1086.576</v>
      </c>
      <c r="W968" s="15">
        <f t="shared" si="62"/>
        <v>364.79250000000002</v>
      </c>
      <c r="X968" s="15">
        <f t="shared" si="63"/>
        <v>980.58150000000001</v>
      </c>
    </row>
    <row r="969" spans="1:24">
      <c r="A969" s="12" t="s">
        <v>2926</v>
      </c>
      <c r="B969" s="12" t="s">
        <v>2927</v>
      </c>
      <c r="C969" s="12" t="s">
        <v>26</v>
      </c>
      <c r="D969" s="12" t="s">
        <v>27</v>
      </c>
      <c r="E969" s="12" t="s">
        <v>96</v>
      </c>
      <c r="F969" s="13">
        <v>47520.94</v>
      </c>
      <c r="G969" s="13">
        <v>32.97</v>
      </c>
      <c r="H969" s="13">
        <v>31854.44</v>
      </c>
      <c r="I969" s="13">
        <v>5</v>
      </c>
      <c r="J969" s="13">
        <v>68</v>
      </c>
      <c r="K969" s="13">
        <v>306</v>
      </c>
      <c r="L969" s="12" t="s">
        <v>2928</v>
      </c>
      <c r="M969" s="12">
        <v>4</v>
      </c>
      <c r="N969" s="14">
        <v>45593</v>
      </c>
      <c r="O969" s="13">
        <v>6</v>
      </c>
      <c r="P969" s="12" t="s">
        <v>30</v>
      </c>
      <c r="Q969" s="12" t="s">
        <v>46</v>
      </c>
      <c r="R969" s="12" t="s">
        <v>86</v>
      </c>
      <c r="S969" s="12" t="b">
        <v>0</v>
      </c>
      <c r="T969" s="12" t="s">
        <v>78</v>
      </c>
      <c r="U969" s="15">
        <f t="shared" si="60"/>
        <v>15667.653918</v>
      </c>
      <c r="V969" s="15">
        <f t="shared" si="61"/>
        <v>19008.376</v>
      </c>
      <c r="W969" s="15">
        <f t="shared" si="62"/>
        <v>4778.1660000000002</v>
      </c>
      <c r="X969" s="15">
        <f t="shared" si="63"/>
        <v>8067.8980000000001</v>
      </c>
    </row>
    <row r="970" spans="1:24">
      <c r="A970" s="12" t="s">
        <v>2929</v>
      </c>
      <c r="B970" s="12" t="s">
        <v>2930</v>
      </c>
      <c r="C970" s="12" t="s">
        <v>75</v>
      </c>
      <c r="D970" s="12" t="s">
        <v>104</v>
      </c>
      <c r="E970" s="12" t="s">
        <v>70</v>
      </c>
      <c r="F970" s="13">
        <v>4720.22</v>
      </c>
      <c r="G970" s="13">
        <v>47.55</v>
      </c>
      <c r="H970" s="13">
        <v>2475.6799999999998</v>
      </c>
      <c r="I970" s="13">
        <v>3.5</v>
      </c>
      <c r="J970" s="13">
        <v>49</v>
      </c>
      <c r="K970" s="13">
        <v>215</v>
      </c>
      <c r="L970" s="12" t="s">
        <v>2931</v>
      </c>
      <c r="M970" s="12">
        <v>4.4000000000000004</v>
      </c>
      <c r="N970" s="14">
        <v>45631</v>
      </c>
      <c r="O970" s="13">
        <v>2</v>
      </c>
      <c r="P970" s="12" t="s">
        <v>54</v>
      </c>
      <c r="Q970" s="12" t="s">
        <v>46</v>
      </c>
      <c r="R970" s="12" t="s">
        <v>72</v>
      </c>
      <c r="S970" s="12" t="b">
        <v>0</v>
      </c>
      <c r="T970" s="12" t="s">
        <v>78</v>
      </c>
      <c r="U970" s="15">
        <f t="shared" si="60"/>
        <v>2244.46461</v>
      </c>
      <c r="V970" s="15">
        <f t="shared" si="61"/>
        <v>1888.088</v>
      </c>
      <c r="W970" s="15">
        <f t="shared" si="62"/>
        <v>371.35199999999998</v>
      </c>
      <c r="X970" s="15">
        <f t="shared" si="63"/>
        <v>216.24</v>
      </c>
    </row>
    <row r="971" spans="1:24">
      <c r="A971" s="12" t="s">
        <v>2932</v>
      </c>
      <c r="B971" s="12" t="s">
        <v>2933</v>
      </c>
      <c r="C971" s="12" t="s">
        <v>26</v>
      </c>
      <c r="D971" s="12" t="s">
        <v>123</v>
      </c>
      <c r="E971" s="12" t="s">
        <v>84</v>
      </c>
      <c r="F971" s="13">
        <v>43309.4</v>
      </c>
      <c r="G971" s="13">
        <v>28.55</v>
      </c>
      <c r="H971" s="13">
        <v>30943.65</v>
      </c>
      <c r="I971" s="13">
        <v>4.9000000000000004</v>
      </c>
      <c r="J971" s="13">
        <v>15</v>
      </c>
      <c r="K971" s="13">
        <v>22</v>
      </c>
      <c r="L971" s="12" t="s">
        <v>2934</v>
      </c>
      <c r="M971" s="12">
        <v>4.4000000000000004</v>
      </c>
      <c r="N971" s="14">
        <v>45829</v>
      </c>
      <c r="O971" s="13">
        <v>1</v>
      </c>
      <c r="P971" s="12" t="s">
        <v>54</v>
      </c>
      <c r="Q971" s="12" t="s">
        <v>31</v>
      </c>
      <c r="R971" s="12" t="s">
        <v>32</v>
      </c>
      <c r="S971" s="12" t="b">
        <v>1</v>
      </c>
      <c r="T971" s="12" t="s">
        <v>33</v>
      </c>
      <c r="U971" s="15">
        <f t="shared" si="60"/>
        <v>12364.833699999999</v>
      </c>
      <c r="V971" s="15">
        <f t="shared" si="61"/>
        <v>17323.759999999998</v>
      </c>
      <c r="W971" s="15">
        <f t="shared" si="62"/>
        <v>4641.5474999999997</v>
      </c>
      <c r="X971" s="15">
        <f t="shared" si="63"/>
        <v>8978.3425000000007</v>
      </c>
    </row>
    <row r="972" spans="1:24">
      <c r="A972" s="12" t="s">
        <v>2935</v>
      </c>
      <c r="B972" s="12" t="s">
        <v>2936</v>
      </c>
      <c r="C972" s="12" t="s">
        <v>59</v>
      </c>
      <c r="D972" s="12" t="s">
        <v>170</v>
      </c>
      <c r="E972" s="12" t="s">
        <v>131</v>
      </c>
      <c r="F972" s="13">
        <v>2251</v>
      </c>
      <c r="G972" s="13">
        <v>17.64</v>
      </c>
      <c r="H972" s="13">
        <v>1853.93</v>
      </c>
      <c r="I972" s="13">
        <v>3.7</v>
      </c>
      <c r="J972" s="13">
        <v>35</v>
      </c>
      <c r="K972" s="13">
        <v>478</v>
      </c>
      <c r="L972" s="12" t="s">
        <v>2937</v>
      </c>
      <c r="M972" s="12">
        <v>3.5</v>
      </c>
      <c r="N972" s="14">
        <v>45909</v>
      </c>
      <c r="O972" s="13">
        <v>2</v>
      </c>
      <c r="P972" s="12" t="s">
        <v>54</v>
      </c>
      <c r="Q972" s="12" t="s">
        <v>55</v>
      </c>
      <c r="R972" s="12" t="s">
        <v>86</v>
      </c>
      <c r="S972" s="12" t="b">
        <v>0</v>
      </c>
      <c r="T972" s="12" t="s">
        <v>78</v>
      </c>
      <c r="U972" s="15">
        <f t="shared" si="60"/>
        <v>397.07639999999998</v>
      </c>
      <c r="V972" s="15">
        <f t="shared" si="61"/>
        <v>900.4</v>
      </c>
      <c r="W972" s="15">
        <f t="shared" si="62"/>
        <v>278.08949999999999</v>
      </c>
      <c r="X972" s="15">
        <f t="shared" si="63"/>
        <v>675.44050000000004</v>
      </c>
    </row>
    <row r="973" spans="1:24">
      <c r="A973" s="12" t="s">
        <v>2938</v>
      </c>
      <c r="B973" s="12" t="s">
        <v>2939</v>
      </c>
      <c r="C973" s="12" t="s">
        <v>75</v>
      </c>
      <c r="D973" s="12" t="s">
        <v>135</v>
      </c>
      <c r="E973" s="12" t="s">
        <v>84</v>
      </c>
      <c r="F973" s="13">
        <v>866.42</v>
      </c>
      <c r="G973" s="13">
        <v>22.63</v>
      </c>
      <c r="H973" s="13">
        <v>670.31</v>
      </c>
      <c r="I973" s="13">
        <v>4.5</v>
      </c>
      <c r="J973" s="13">
        <v>34</v>
      </c>
      <c r="K973" s="13">
        <v>7</v>
      </c>
      <c r="L973" s="12" t="s">
        <v>2940</v>
      </c>
      <c r="M973" s="12">
        <v>4.3</v>
      </c>
      <c r="N973" s="14">
        <v>45867</v>
      </c>
      <c r="O973" s="13">
        <v>4</v>
      </c>
      <c r="P973" s="12" t="s">
        <v>30</v>
      </c>
      <c r="Q973" s="12" t="s">
        <v>31</v>
      </c>
      <c r="R973" s="12" t="s">
        <v>72</v>
      </c>
      <c r="S973" s="12" t="b">
        <v>0</v>
      </c>
      <c r="T973" s="12" t="s">
        <v>78</v>
      </c>
      <c r="U973" s="15">
        <f t="shared" si="60"/>
        <v>196.07084599999999</v>
      </c>
      <c r="V973" s="15">
        <f t="shared" si="61"/>
        <v>346.56799999999998</v>
      </c>
      <c r="W973" s="15">
        <f t="shared" si="62"/>
        <v>100.54649999999999</v>
      </c>
      <c r="X973" s="15">
        <f t="shared" si="63"/>
        <v>223.19550000000001</v>
      </c>
    </row>
    <row r="974" spans="1:24">
      <c r="A974" s="12" t="s">
        <v>2941</v>
      </c>
      <c r="B974" s="12" t="s">
        <v>2942</v>
      </c>
      <c r="C974" s="12" t="s">
        <v>50</v>
      </c>
      <c r="D974" s="12" t="s">
        <v>130</v>
      </c>
      <c r="E974" s="12" t="s">
        <v>235</v>
      </c>
      <c r="F974" s="13">
        <v>4245.38</v>
      </c>
      <c r="G974" s="13">
        <v>28.91</v>
      </c>
      <c r="H974" s="13">
        <v>3017.93</v>
      </c>
      <c r="I974" s="13">
        <v>3.8</v>
      </c>
      <c r="J974" s="13">
        <v>2</v>
      </c>
      <c r="K974" s="13">
        <v>417</v>
      </c>
      <c r="L974" s="12" t="s">
        <v>2943</v>
      </c>
      <c r="M974" s="12">
        <v>3.3</v>
      </c>
      <c r="N974" s="14">
        <v>45588</v>
      </c>
      <c r="O974" s="13">
        <v>1</v>
      </c>
      <c r="P974" s="12" t="s">
        <v>54</v>
      </c>
      <c r="Q974" s="12" t="s">
        <v>31</v>
      </c>
      <c r="R974" s="12" t="s">
        <v>72</v>
      </c>
      <c r="S974" s="12" t="b">
        <v>0</v>
      </c>
      <c r="T974" s="12" t="s">
        <v>78</v>
      </c>
      <c r="U974" s="15">
        <f t="shared" si="60"/>
        <v>1227.3393579999999</v>
      </c>
      <c r="V974" s="15">
        <f t="shared" si="61"/>
        <v>1698.152</v>
      </c>
      <c r="W974" s="15">
        <f t="shared" si="62"/>
        <v>452.68950000000001</v>
      </c>
      <c r="X974" s="15">
        <f t="shared" si="63"/>
        <v>867.08849999999995</v>
      </c>
    </row>
    <row r="975" spans="1:24">
      <c r="A975" s="12" t="s">
        <v>2944</v>
      </c>
      <c r="B975" s="12" t="s">
        <v>2945</v>
      </c>
      <c r="C975" s="12" t="s">
        <v>26</v>
      </c>
      <c r="D975" s="12" t="s">
        <v>123</v>
      </c>
      <c r="E975" s="12" t="s">
        <v>96</v>
      </c>
      <c r="F975" s="13">
        <v>43578.74</v>
      </c>
      <c r="G975" s="13">
        <v>19.41</v>
      </c>
      <c r="H975" s="13">
        <v>35119.07</v>
      </c>
      <c r="I975" s="13">
        <v>3</v>
      </c>
      <c r="J975" s="13">
        <v>9</v>
      </c>
      <c r="K975" s="13">
        <v>255</v>
      </c>
      <c r="L975" s="12" t="s">
        <v>2946</v>
      </c>
      <c r="M975" s="12">
        <v>3</v>
      </c>
      <c r="N975" s="14">
        <v>46102</v>
      </c>
      <c r="O975" s="13">
        <v>5</v>
      </c>
      <c r="P975" s="12" t="s">
        <v>30</v>
      </c>
      <c r="Q975" s="12" t="s">
        <v>31</v>
      </c>
      <c r="R975" s="12" t="s">
        <v>47</v>
      </c>
      <c r="S975" s="12" t="b">
        <v>0</v>
      </c>
      <c r="T975" s="12" t="s">
        <v>56</v>
      </c>
      <c r="U975" s="15">
        <f t="shared" si="60"/>
        <v>8458.6334339999994</v>
      </c>
      <c r="V975" s="15">
        <f t="shared" si="61"/>
        <v>17431.495999999999</v>
      </c>
      <c r="W975" s="15">
        <f t="shared" si="62"/>
        <v>5267.8604999999998</v>
      </c>
      <c r="X975" s="15">
        <f t="shared" si="63"/>
        <v>12419.7135</v>
      </c>
    </row>
    <row r="976" spans="1:24">
      <c r="A976" s="12" t="s">
        <v>2947</v>
      </c>
      <c r="B976" s="12" t="s">
        <v>2948</v>
      </c>
      <c r="C976" s="12" t="s">
        <v>26</v>
      </c>
      <c r="D976" s="12" t="s">
        <v>313</v>
      </c>
      <c r="E976" s="12" t="s">
        <v>100</v>
      </c>
      <c r="F976" s="13">
        <v>37520.449999999997</v>
      </c>
      <c r="G976" s="13">
        <v>23.75</v>
      </c>
      <c r="H976" s="13">
        <v>28610.65</v>
      </c>
      <c r="I976" s="13">
        <v>3.9</v>
      </c>
      <c r="J976" s="13">
        <v>172</v>
      </c>
      <c r="K976" s="13">
        <v>170</v>
      </c>
      <c r="L976" s="12" t="s">
        <v>1178</v>
      </c>
      <c r="M976" s="12">
        <v>3.3</v>
      </c>
      <c r="N976" s="14">
        <v>45879</v>
      </c>
      <c r="O976" s="13">
        <v>2</v>
      </c>
      <c r="P976" s="12" t="s">
        <v>117</v>
      </c>
      <c r="Q976" s="12" t="s">
        <v>31</v>
      </c>
      <c r="R976" s="12" t="s">
        <v>72</v>
      </c>
      <c r="S976" s="12" t="b">
        <v>0</v>
      </c>
      <c r="T976" s="12" t="s">
        <v>62</v>
      </c>
      <c r="U976" s="15">
        <f t="shared" si="60"/>
        <v>8911.1068749999995</v>
      </c>
      <c r="V976" s="15">
        <f t="shared" si="61"/>
        <v>15008.18</v>
      </c>
      <c r="W976" s="15">
        <f t="shared" si="62"/>
        <v>4291.5974999999999</v>
      </c>
      <c r="X976" s="15">
        <f t="shared" si="63"/>
        <v>9310.8724999999995</v>
      </c>
    </row>
    <row r="977" spans="1:24">
      <c r="A977" s="12" t="s">
        <v>2949</v>
      </c>
      <c r="B977" s="12" t="s">
        <v>2950</v>
      </c>
      <c r="C977" s="12" t="s">
        <v>50</v>
      </c>
      <c r="D977" s="12" t="s">
        <v>130</v>
      </c>
      <c r="E977" s="12" t="s">
        <v>112</v>
      </c>
      <c r="F977" s="13">
        <v>4205.47</v>
      </c>
      <c r="G977" s="13">
        <v>30.97</v>
      </c>
      <c r="H977" s="13">
        <v>2903.1</v>
      </c>
      <c r="I977" s="13">
        <v>3.2</v>
      </c>
      <c r="J977" s="13">
        <v>11</v>
      </c>
      <c r="K977" s="13">
        <v>229</v>
      </c>
      <c r="L977" s="12" t="s">
        <v>2951</v>
      </c>
      <c r="M977" s="12">
        <v>4.9000000000000004</v>
      </c>
      <c r="N977" s="14">
        <v>45851</v>
      </c>
      <c r="O977" s="13">
        <v>2</v>
      </c>
      <c r="P977" s="12" t="s">
        <v>40</v>
      </c>
      <c r="Q977" s="12" t="s">
        <v>31</v>
      </c>
      <c r="R977" s="12" t="s">
        <v>47</v>
      </c>
      <c r="S977" s="12" t="b">
        <v>0</v>
      </c>
      <c r="T977" s="12" t="s">
        <v>62</v>
      </c>
      <c r="U977" s="15">
        <f t="shared" si="60"/>
        <v>1302.4340589999999</v>
      </c>
      <c r="V977" s="15">
        <f t="shared" si="61"/>
        <v>1682.1880000000001</v>
      </c>
      <c r="W977" s="15">
        <f t="shared" si="62"/>
        <v>435.46499999999997</v>
      </c>
      <c r="X977" s="15">
        <f t="shared" si="63"/>
        <v>785.447</v>
      </c>
    </row>
    <row r="978" spans="1:24">
      <c r="A978" s="12" t="s">
        <v>2952</v>
      </c>
      <c r="B978" s="12" t="s">
        <v>2953</v>
      </c>
      <c r="C978" s="12" t="s">
        <v>36</v>
      </c>
      <c r="D978" s="12" t="s">
        <v>108</v>
      </c>
      <c r="E978" s="12" t="s">
        <v>38</v>
      </c>
      <c r="F978" s="13">
        <v>542.96</v>
      </c>
      <c r="G978" s="13">
        <v>15.93</v>
      </c>
      <c r="H978" s="13">
        <v>456.49</v>
      </c>
      <c r="I978" s="13">
        <v>3.9</v>
      </c>
      <c r="J978" s="13">
        <v>19</v>
      </c>
      <c r="K978" s="13">
        <v>388</v>
      </c>
      <c r="L978" s="12" t="s">
        <v>2954</v>
      </c>
      <c r="M978" s="12">
        <v>4.2</v>
      </c>
      <c r="N978" s="14">
        <v>45614</v>
      </c>
      <c r="O978" s="13">
        <v>2</v>
      </c>
      <c r="P978" s="12" t="s">
        <v>54</v>
      </c>
      <c r="Q978" s="12" t="s">
        <v>55</v>
      </c>
      <c r="R978" s="12" t="s">
        <v>47</v>
      </c>
      <c r="S978" s="12" t="b">
        <v>0</v>
      </c>
      <c r="T978" s="12" t="s">
        <v>62</v>
      </c>
      <c r="U978" s="15">
        <f t="shared" si="60"/>
        <v>86.493527999999998</v>
      </c>
      <c r="V978" s="15">
        <f t="shared" si="61"/>
        <v>217.184</v>
      </c>
      <c r="W978" s="15">
        <f t="shared" si="62"/>
        <v>68.473500000000001</v>
      </c>
      <c r="X978" s="15">
        <f t="shared" si="63"/>
        <v>170.83250000000001</v>
      </c>
    </row>
    <row r="979" spans="1:24">
      <c r="A979" s="12" t="s">
        <v>2955</v>
      </c>
      <c r="B979" s="12" t="s">
        <v>2956</v>
      </c>
      <c r="C979" s="12" t="s">
        <v>50</v>
      </c>
      <c r="D979" s="12" t="s">
        <v>130</v>
      </c>
      <c r="E979" s="12" t="s">
        <v>65</v>
      </c>
      <c r="F979" s="13">
        <v>4998.43</v>
      </c>
      <c r="G979" s="13">
        <v>39.72</v>
      </c>
      <c r="H979" s="13">
        <v>3013.07</v>
      </c>
      <c r="I979" s="13">
        <v>4.7</v>
      </c>
      <c r="J979" s="13">
        <v>9</v>
      </c>
      <c r="K979" s="13">
        <v>191</v>
      </c>
      <c r="L979" s="12" t="s">
        <v>2957</v>
      </c>
      <c r="M979" s="12">
        <v>4.2</v>
      </c>
      <c r="N979" s="14">
        <v>46008</v>
      </c>
      <c r="O979" s="13">
        <v>5</v>
      </c>
      <c r="P979" s="12" t="s">
        <v>40</v>
      </c>
      <c r="Q979" s="12" t="s">
        <v>55</v>
      </c>
      <c r="R979" s="12" t="s">
        <v>47</v>
      </c>
      <c r="S979" s="12" t="b">
        <v>0</v>
      </c>
      <c r="T979" s="12" t="s">
        <v>78</v>
      </c>
      <c r="U979" s="15">
        <f t="shared" si="60"/>
        <v>1985.3763960000001</v>
      </c>
      <c r="V979" s="15">
        <f t="shared" si="61"/>
        <v>1999.3720000000001</v>
      </c>
      <c r="W979" s="15">
        <f t="shared" si="62"/>
        <v>451.96050000000002</v>
      </c>
      <c r="X979" s="15">
        <f t="shared" si="63"/>
        <v>561.73749999999995</v>
      </c>
    </row>
    <row r="980" spans="1:24">
      <c r="A980" s="12" t="s">
        <v>2958</v>
      </c>
      <c r="B980" s="12" t="s">
        <v>2959</v>
      </c>
      <c r="C980" s="12" t="s">
        <v>50</v>
      </c>
      <c r="D980" s="12" t="s">
        <v>130</v>
      </c>
      <c r="E980" s="12" t="s">
        <v>100</v>
      </c>
      <c r="F980" s="13">
        <v>4645.5600000000004</v>
      </c>
      <c r="G980" s="13">
        <v>12.81</v>
      </c>
      <c r="H980" s="13">
        <v>4050.45</v>
      </c>
      <c r="I980" s="13">
        <v>3.5</v>
      </c>
      <c r="J980" s="13">
        <v>30</v>
      </c>
      <c r="K980" s="13">
        <v>484</v>
      </c>
      <c r="L980" s="12" t="s">
        <v>2960</v>
      </c>
      <c r="M980" s="12">
        <v>3.1</v>
      </c>
      <c r="N980" s="14">
        <v>46008</v>
      </c>
      <c r="O980" s="13">
        <v>1</v>
      </c>
      <c r="P980" s="12" t="s">
        <v>40</v>
      </c>
      <c r="Q980" s="12" t="s">
        <v>31</v>
      </c>
      <c r="R980" s="12" t="s">
        <v>72</v>
      </c>
      <c r="S980" s="12" t="b">
        <v>0</v>
      </c>
      <c r="T980" s="12" t="s">
        <v>78</v>
      </c>
      <c r="U980" s="15">
        <f t="shared" si="60"/>
        <v>595.09623599999998</v>
      </c>
      <c r="V980" s="15">
        <f t="shared" si="61"/>
        <v>1858.2239999999999</v>
      </c>
      <c r="W980" s="15">
        <f t="shared" si="62"/>
        <v>607.5675</v>
      </c>
      <c r="X980" s="15">
        <f t="shared" si="63"/>
        <v>1584.6585</v>
      </c>
    </row>
    <row r="981" spans="1:24">
      <c r="A981" s="12" t="s">
        <v>2961</v>
      </c>
      <c r="B981" s="12" t="s">
        <v>2962</v>
      </c>
      <c r="C981" s="12" t="s">
        <v>59</v>
      </c>
      <c r="D981" s="12" t="s">
        <v>170</v>
      </c>
      <c r="E981" s="12" t="s">
        <v>100</v>
      </c>
      <c r="F981" s="13">
        <v>9514.4500000000007</v>
      </c>
      <c r="G981" s="13">
        <v>25.61</v>
      </c>
      <c r="H981" s="13">
        <v>7078.12</v>
      </c>
      <c r="I981" s="13">
        <v>4.8</v>
      </c>
      <c r="J981" s="13">
        <v>38</v>
      </c>
      <c r="K981" s="13">
        <v>331</v>
      </c>
      <c r="L981" s="12" t="s">
        <v>2963</v>
      </c>
      <c r="M981" s="12">
        <v>3.3</v>
      </c>
      <c r="N981" s="14">
        <v>45811</v>
      </c>
      <c r="O981" s="13">
        <v>1</v>
      </c>
      <c r="P981" s="12" t="s">
        <v>40</v>
      </c>
      <c r="Q981" s="12" t="s">
        <v>46</v>
      </c>
      <c r="R981" s="12" t="s">
        <v>47</v>
      </c>
      <c r="S981" s="12" t="b">
        <v>0</v>
      </c>
      <c r="T981" s="12" t="s">
        <v>62</v>
      </c>
      <c r="U981" s="15">
        <f t="shared" si="60"/>
        <v>2436.6506450000002</v>
      </c>
      <c r="V981" s="15">
        <f t="shared" si="61"/>
        <v>3805.78</v>
      </c>
      <c r="W981" s="15">
        <f t="shared" si="62"/>
        <v>1061.7180000000001</v>
      </c>
      <c r="X981" s="15">
        <f t="shared" si="63"/>
        <v>2210.6219999999998</v>
      </c>
    </row>
    <row r="982" spans="1:24">
      <c r="A982" s="12" t="s">
        <v>2964</v>
      </c>
      <c r="B982" s="12" t="s">
        <v>2965</v>
      </c>
      <c r="C982" s="12" t="s">
        <v>59</v>
      </c>
      <c r="D982" s="12" t="s">
        <v>170</v>
      </c>
      <c r="E982" s="12" t="s">
        <v>70</v>
      </c>
      <c r="F982" s="13">
        <v>18215.849999999999</v>
      </c>
      <c r="G982" s="13">
        <v>16.420000000000002</v>
      </c>
      <c r="H982" s="13">
        <v>15225.21</v>
      </c>
      <c r="I982" s="13">
        <v>3.5</v>
      </c>
      <c r="J982" s="13">
        <v>34</v>
      </c>
      <c r="K982" s="13">
        <v>464</v>
      </c>
      <c r="L982" s="12" t="s">
        <v>2480</v>
      </c>
      <c r="M982" s="12">
        <v>3.4</v>
      </c>
      <c r="N982" s="14">
        <v>46001</v>
      </c>
      <c r="O982" s="13">
        <v>1</v>
      </c>
      <c r="P982" s="12" t="s">
        <v>54</v>
      </c>
      <c r="Q982" s="12" t="s">
        <v>31</v>
      </c>
      <c r="R982" s="12" t="s">
        <v>47</v>
      </c>
      <c r="S982" s="12" t="b">
        <v>0</v>
      </c>
      <c r="T982" s="12" t="s">
        <v>62</v>
      </c>
      <c r="U982" s="15">
        <f t="shared" si="60"/>
        <v>2991.0425700000001</v>
      </c>
      <c r="V982" s="15">
        <f t="shared" si="61"/>
        <v>7286.34</v>
      </c>
      <c r="W982" s="15">
        <f t="shared" si="62"/>
        <v>2283.7815000000001</v>
      </c>
      <c r="X982" s="15">
        <f t="shared" si="63"/>
        <v>5655.0884999999998</v>
      </c>
    </row>
    <row r="983" spans="1:24">
      <c r="A983" s="12" t="s">
        <v>2966</v>
      </c>
      <c r="B983" s="12" t="s">
        <v>2967</v>
      </c>
      <c r="C983" s="12" t="s">
        <v>50</v>
      </c>
      <c r="D983" s="12" t="s">
        <v>213</v>
      </c>
      <c r="E983" s="12" t="s">
        <v>112</v>
      </c>
      <c r="F983" s="13">
        <v>2907.61</v>
      </c>
      <c r="G983" s="13">
        <v>11.21</v>
      </c>
      <c r="H983" s="13">
        <v>2581.8000000000002</v>
      </c>
      <c r="I983" s="13">
        <v>3</v>
      </c>
      <c r="J983" s="13">
        <v>46</v>
      </c>
      <c r="K983" s="13">
        <v>3</v>
      </c>
      <c r="L983" s="12" t="s">
        <v>2968</v>
      </c>
      <c r="M983" s="12">
        <v>4.0999999999999996</v>
      </c>
      <c r="N983" s="14">
        <v>45859</v>
      </c>
      <c r="O983" s="13">
        <v>2</v>
      </c>
      <c r="P983" s="12" t="s">
        <v>54</v>
      </c>
      <c r="Q983" s="12" t="s">
        <v>55</v>
      </c>
      <c r="R983" s="12" t="s">
        <v>32</v>
      </c>
      <c r="S983" s="12" t="b">
        <v>0</v>
      </c>
      <c r="T983" s="12" t="s">
        <v>78</v>
      </c>
      <c r="U983" s="15">
        <f t="shared" si="60"/>
        <v>325.94308100000001</v>
      </c>
      <c r="V983" s="15">
        <f t="shared" si="61"/>
        <v>1163.0440000000001</v>
      </c>
      <c r="W983" s="15">
        <f t="shared" si="62"/>
        <v>387.27</v>
      </c>
      <c r="X983" s="15">
        <f t="shared" si="63"/>
        <v>1031.4860000000001</v>
      </c>
    </row>
    <row r="984" spans="1:24">
      <c r="A984" s="12" t="s">
        <v>2969</v>
      </c>
      <c r="B984" s="12" t="s">
        <v>2970</v>
      </c>
      <c r="C984" s="12" t="s">
        <v>26</v>
      </c>
      <c r="D984" s="12" t="s">
        <v>123</v>
      </c>
      <c r="E984" s="12" t="s">
        <v>70</v>
      </c>
      <c r="F984" s="13">
        <v>70768.92</v>
      </c>
      <c r="G984" s="13">
        <v>38.61</v>
      </c>
      <c r="H984" s="13">
        <v>43445.87</v>
      </c>
      <c r="I984" s="13">
        <v>4.8</v>
      </c>
      <c r="J984" s="13">
        <v>13</v>
      </c>
      <c r="K984" s="13">
        <v>303</v>
      </c>
      <c r="L984" s="12" t="s">
        <v>1490</v>
      </c>
      <c r="M984" s="12">
        <v>4.8</v>
      </c>
      <c r="N984" s="14">
        <v>46101</v>
      </c>
      <c r="O984" s="13">
        <v>5</v>
      </c>
      <c r="P984" s="12" t="s">
        <v>54</v>
      </c>
      <c r="Q984" s="12" t="s">
        <v>46</v>
      </c>
      <c r="R984" s="12" t="s">
        <v>47</v>
      </c>
      <c r="S984" s="12" t="b">
        <v>0</v>
      </c>
      <c r="T984" s="12" t="s">
        <v>62</v>
      </c>
      <c r="U984" s="15">
        <f t="shared" si="60"/>
        <v>27323.880012000001</v>
      </c>
      <c r="V984" s="15">
        <f t="shared" si="61"/>
        <v>28307.567999999999</v>
      </c>
      <c r="W984" s="15">
        <f t="shared" si="62"/>
        <v>6516.8805000000002</v>
      </c>
      <c r="X984" s="15">
        <f t="shared" si="63"/>
        <v>8621.4215000000004</v>
      </c>
    </row>
    <row r="985" spans="1:24">
      <c r="A985" s="12" t="s">
        <v>2971</v>
      </c>
      <c r="B985" s="12" t="s">
        <v>2972</v>
      </c>
      <c r="C985" s="12" t="s">
        <v>26</v>
      </c>
      <c r="D985" s="12" t="s">
        <v>148</v>
      </c>
      <c r="E985" s="12" t="s">
        <v>28</v>
      </c>
      <c r="F985" s="13">
        <v>34840.89</v>
      </c>
      <c r="G985" s="13">
        <v>21.96</v>
      </c>
      <c r="H985" s="13">
        <v>27191.03</v>
      </c>
      <c r="I985" s="13">
        <v>5</v>
      </c>
      <c r="J985" s="13">
        <v>4</v>
      </c>
      <c r="K985" s="13">
        <v>369</v>
      </c>
      <c r="L985" s="12" t="s">
        <v>2973</v>
      </c>
      <c r="M985" s="12">
        <v>2.7</v>
      </c>
      <c r="N985" s="14">
        <v>46031</v>
      </c>
      <c r="O985" s="13">
        <v>1</v>
      </c>
      <c r="P985" s="12" t="s">
        <v>117</v>
      </c>
      <c r="Q985" s="12" t="s">
        <v>46</v>
      </c>
      <c r="R985" s="12" t="s">
        <v>86</v>
      </c>
      <c r="S985" s="12" t="b">
        <v>0</v>
      </c>
      <c r="T985" s="12" t="s">
        <v>78</v>
      </c>
      <c r="U985" s="15">
        <f t="shared" si="60"/>
        <v>7651.0594440000004</v>
      </c>
      <c r="V985" s="15">
        <f t="shared" si="61"/>
        <v>13936.356</v>
      </c>
      <c r="W985" s="15">
        <f t="shared" si="62"/>
        <v>4078.6545000000001</v>
      </c>
      <c r="X985" s="15">
        <f t="shared" si="63"/>
        <v>9176.0195000000003</v>
      </c>
    </row>
    <row r="986" spans="1:24">
      <c r="A986" s="12" t="s">
        <v>2974</v>
      </c>
      <c r="B986" s="12" t="s">
        <v>2975</v>
      </c>
      <c r="C986" s="12" t="s">
        <v>36</v>
      </c>
      <c r="D986" s="12" t="s">
        <v>43</v>
      </c>
      <c r="E986" s="12" t="s">
        <v>52</v>
      </c>
      <c r="F986" s="13">
        <v>6560.97</v>
      </c>
      <c r="G986" s="13">
        <v>8.85</v>
      </c>
      <c r="H986" s="13">
        <v>5980.11</v>
      </c>
      <c r="I986" s="13">
        <v>3.7</v>
      </c>
      <c r="J986" s="13">
        <v>12</v>
      </c>
      <c r="K986" s="13">
        <v>495</v>
      </c>
      <c r="L986" s="12" t="s">
        <v>2976</v>
      </c>
      <c r="M986" s="12">
        <v>4.8</v>
      </c>
      <c r="N986" s="14">
        <v>46039</v>
      </c>
      <c r="O986" s="13">
        <v>6</v>
      </c>
      <c r="P986" s="12" t="s">
        <v>30</v>
      </c>
      <c r="Q986" s="12" t="s">
        <v>55</v>
      </c>
      <c r="R986" s="12" t="s">
        <v>86</v>
      </c>
      <c r="S986" s="12" t="b">
        <v>0</v>
      </c>
      <c r="T986" s="12" t="s">
        <v>78</v>
      </c>
      <c r="U986" s="15">
        <f t="shared" si="60"/>
        <v>580.64584500000001</v>
      </c>
      <c r="V986" s="15">
        <f t="shared" si="61"/>
        <v>2624.3879999999999</v>
      </c>
      <c r="W986" s="15">
        <f t="shared" si="62"/>
        <v>897.01649999999995</v>
      </c>
      <c r="X986" s="15">
        <f t="shared" si="63"/>
        <v>2458.7055</v>
      </c>
    </row>
    <row r="987" spans="1:24">
      <c r="A987" s="12" t="s">
        <v>2977</v>
      </c>
      <c r="B987" s="12" t="s">
        <v>2978</v>
      </c>
      <c r="C987" s="12" t="s">
        <v>59</v>
      </c>
      <c r="D987" s="12" t="s">
        <v>170</v>
      </c>
      <c r="E987" s="12" t="s">
        <v>96</v>
      </c>
      <c r="F987" s="13">
        <v>14217.16</v>
      </c>
      <c r="G987" s="13">
        <v>21.58</v>
      </c>
      <c r="H987" s="13">
        <v>11149.54</v>
      </c>
      <c r="I987" s="13">
        <v>3.2</v>
      </c>
      <c r="J987" s="13">
        <v>3</v>
      </c>
      <c r="K987" s="13">
        <v>216</v>
      </c>
      <c r="L987" s="12" t="s">
        <v>2979</v>
      </c>
      <c r="M987" s="12">
        <v>2.8</v>
      </c>
      <c r="N987" s="14">
        <v>45460</v>
      </c>
      <c r="O987" s="13">
        <v>1</v>
      </c>
      <c r="P987" s="12" t="s">
        <v>54</v>
      </c>
      <c r="Q987" s="12" t="s">
        <v>31</v>
      </c>
      <c r="R987" s="12" t="s">
        <v>86</v>
      </c>
      <c r="S987" s="12" t="b">
        <v>1</v>
      </c>
      <c r="T987" s="12" t="s">
        <v>33</v>
      </c>
      <c r="U987" s="15">
        <f t="shared" si="60"/>
        <v>3068.0631279999998</v>
      </c>
      <c r="V987" s="15">
        <f t="shared" si="61"/>
        <v>5686.8639999999996</v>
      </c>
      <c r="W987" s="15">
        <f t="shared" si="62"/>
        <v>1672.431</v>
      </c>
      <c r="X987" s="15">
        <f t="shared" si="63"/>
        <v>3790.2449999999999</v>
      </c>
    </row>
    <row r="988" spans="1:24">
      <c r="A988" s="12" t="s">
        <v>2980</v>
      </c>
      <c r="B988" s="12" t="s">
        <v>2981</v>
      </c>
      <c r="C988" s="12" t="s">
        <v>75</v>
      </c>
      <c r="D988" s="12" t="s">
        <v>104</v>
      </c>
      <c r="E988" s="12" t="s">
        <v>38</v>
      </c>
      <c r="F988" s="13">
        <v>4110.3</v>
      </c>
      <c r="G988" s="13">
        <v>66.23</v>
      </c>
      <c r="H988" s="13">
        <v>1388.1</v>
      </c>
      <c r="I988" s="13">
        <v>4.0999999999999996</v>
      </c>
      <c r="J988" s="13">
        <v>9</v>
      </c>
      <c r="K988" s="13">
        <v>388</v>
      </c>
      <c r="L988" s="12" t="s">
        <v>2982</v>
      </c>
      <c r="M988" s="12">
        <v>4.3</v>
      </c>
      <c r="N988" s="14">
        <v>45958</v>
      </c>
      <c r="O988" s="13">
        <v>1</v>
      </c>
      <c r="P988" s="12" t="s">
        <v>117</v>
      </c>
      <c r="Q988" s="12" t="s">
        <v>31</v>
      </c>
      <c r="R988" s="12" t="s">
        <v>47</v>
      </c>
      <c r="S988" s="12" t="b">
        <v>0</v>
      </c>
      <c r="T988" s="12" t="s">
        <v>62</v>
      </c>
      <c r="U988" s="15">
        <f t="shared" si="60"/>
        <v>2722.2516900000001</v>
      </c>
      <c r="V988" s="15">
        <f t="shared" si="61"/>
        <v>1644.12</v>
      </c>
      <c r="W988" s="15">
        <f t="shared" si="62"/>
        <v>208.215</v>
      </c>
      <c r="X988" s="15">
        <f t="shared" si="63"/>
        <v>-464.23500000000001</v>
      </c>
    </row>
    <row r="989" spans="1:24">
      <c r="A989" s="12" t="s">
        <v>2983</v>
      </c>
      <c r="B989" s="12" t="s">
        <v>2984</v>
      </c>
      <c r="C989" s="12" t="s">
        <v>75</v>
      </c>
      <c r="D989" s="12" t="s">
        <v>104</v>
      </c>
      <c r="E989" s="12" t="s">
        <v>96</v>
      </c>
      <c r="F989" s="13">
        <v>3430.37</v>
      </c>
      <c r="G989" s="13">
        <v>23.47</v>
      </c>
      <c r="H989" s="13">
        <v>2625.32</v>
      </c>
      <c r="I989" s="13">
        <v>2.8</v>
      </c>
      <c r="J989" s="13">
        <v>42</v>
      </c>
      <c r="K989" s="13">
        <v>145</v>
      </c>
      <c r="L989" s="12" t="s">
        <v>2985</v>
      </c>
      <c r="M989" s="12">
        <v>2.6</v>
      </c>
      <c r="N989" s="14">
        <v>45674</v>
      </c>
      <c r="O989" s="13">
        <v>4</v>
      </c>
      <c r="P989" s="12" t="s">
        <v>117</v>
      </c>
      <c r="Q989" s="12" t="s">
        <v>31</v>
      </c>
      <c r="R989" s="12" t="s">
        <v>86</v>
      </c>
      <c r="S989" s="12" t="b">
        <v>0</v>
      </c>
      <c r="T989" s="12" t="s">
        <v>78</v>
      </c>
      <c r="U989" s="15">
        <f t="shared" si="60"/>
        <v>805.10783900000001</v>
      </c>
      <c r="V989" s="15">
        <f t="shared" si="61"/>
        <v>1372.1479999999999</v>
      </c>
      <c r="W989" s="15">
        <f t="shared" si="62"/>
        <v>393.798</v>
      </c>
      <c r="X989" s="15">
        <f t="shared" si="63"/>
        <v>859.37400000000002</v>
      </c>
    </row>
    <row r="990" spans="1:24">
      <c r="A990" s="12" t="s">
        <v>2986</v>
      </c>
      <c r="B990" s="12" t="s">
        <v>2987</v>
      </c>
      <c r="C990" s="12" t="s">
        <v>59</v>
      </c>
      <c r="D990" s="12" t="s">
        <v>69</v>
      </c>
      <c r="E990" s="12" t="s">
        <v>28</v>
      </c>
      <c r="F990" s="13">
        <v>8756.2099999999991</v>
      </c>
      <c r="G990" s="13">
        <v>41.86</v>
      </c>
      <c r="H990" s="13">
        <v>5090.6499999999996</v>
      </c>
      <c r="I990" s="13">
        <v>4.5999999999999996</v>
      </c>
      <c r="J990" s="13">
        <v>4</v>
      </c>
      <c r="K990" s="13">
        <v>469</v>
      </c>
      <c r="L990" s="12" t="s">
        <v>2988</v>
      </c>
      <c r="M990" s="12">
        <v>4.8</v>
      </c>
      <c r="N990" s="14">
        <v>45868</v>
      </c>
      <c r="O990" s="13">
        <v>6</v>
      </c>
      <c r="P990" s="12" t="s">
        <v>117</v>
      </c>
      <c r="Q990" s="12" t="s">
        <v>46</v>
      </c>
      <c r="R990" s="12" t="s">
        <v>32</v>
      </c>
      <c r="S990" s="12" t="b">
        <v>0</v>
      </c>
      <c r="T990" s="12" t="s">
        <v>62</v>
      </c>
      <c r="U990" s="15">
        <f t="shared" si="60"/>
        <v>3665.349506</v>
      </c>
      <c r="V990" s="15">
        <f t="shared" si="61"/>
        <v>3502.4839999999999</v>
      </c>
      <c r="W990" s="15">
        <f t="shared" si="62"/>
        <v>763.59749999999997</v>
      </c>
      <c r="X990" s="15">
        <f t="shared" si="63"/>
        <v>824.56849999999997</v>
      </c>
    </row>
    <row r="991" spans="1:24">
      <c r="A991" s="12" t="s">
        <v>2989</v>
      </c>
      <c r="B991" s="12" t="s">
        <v>2990</v>
      </c>
      <c r="C991" s="12" t="s">
        <v>59</v>
      </c>
      <c r="D991" s="12" t="s">
        <v>170</v>
      </c>
      <c r="E991" s="12" t="s">
        <v>96</v>
      </c>
      <c r="F991" s="13">
        <v>13286.78</v>
      </c>
      <c r="G991" s="13">
        <v>6.8</v>
      </c>
      <c r="H991" s="13">
        <v>12383.2</v>
      </c>
      <c r="I991" s="13">
        <v>3.8</v>
      </c>
      <c r="J991" s="13">
        <v>2</v>
      </c>
      <c r="K991" s="13">
        <v>196</v>
      </c>
      <c r="L991" s="12" t="s">
        <v>2991</v>
      </c>
      <c r="M991" s="12">
        <v>4</v>
      </c>
      <c r="N991" s="14">
        <v>45876</v>
      </c>
      <c r="O991" s="13">
        <v>3</v>
      </c>
      <c r="P991" s="12" t="s">
        <v>117</v>
      </c>
      <c r="Q991" s="12" t="s">
        <v>55</v>
      </c>
      <c r="R991" s="12" t="s">
        <v>32</v>
      </c>
      <c r="S991" s="12" t="b">
        <v>0</v>
      </c>
      <c r="T991" s="12" t="s">
        <v>56</v>
      </c>
      <c r="U991" s="15">
        <f t="shared" si="60"/>
        <v>903.50103999999999</v>
      </c>
      <c r="V991" s="15">
        <f t="shared" si="61"/>
        <v>5314.7120000000004</v>
      </c>
      <c r="W991" s="15">
        <f t="shared" si="62"/>
        <v>1857.48</v>
      </c>
      <c r="X991" s="15">
        <f t="shared" si="63"/>
        <v>5211.0079999999998</v>
      </c>
    </row>
    <row r="992" spans="1:24">
      <c r="A992" s="12" t="s">
        <v>2992</v>
      </c>
      <c r="B992" s="12" t="s">
        <v>2993</v>
      </c>
      <c r="C992" s="12" t="s">
        <v>26</v>
      </c>
      <c r="D992" s="12" t="s">
        <v>27</v>
      </c>
      <c r="E992" s="12" t="s">
        <v>96</v>
      </c>
      <c r="F992" s="13">
        <v>5828.54</v>
      </c>
      <c r="G992" s="13">
        <v>17.36</v>
      </c>
      <c r="H992" s="13">
        <v>4816.95</v>
      </c>
      <c r="I992" s="13">
        <v>4.7</v>
      </c>
      <c r="J992" s="13">
        <v>6</v>
      </c>
      <c r="K992" s="13">
        <v>390</v>
      </c>
      <c r="L992" s="12" t="s">
        <v>2994</v>
      </c>
      <c r="M992" s="12">
        <v>4.0999999999999996</v>
      </c>
      <c r="N992" s="14">
        <v>45541</v>
      </c>
      <c r="O992" s="13">
        <v>4</v>
      </c>
      <c r="P992" s="12" t="s">
        <v>45</v>
      </c>
      <c r="Q992" s="12" t="s">
        <v>55</v>
      </c>
      <c r="R992" s="12" t="s">
        <v>72</v>
      </c>
      <c r="S992" s="12" t="b">
        <v>0</v>
      </c>
      <c r="T992" s="12" t="s">
        <v>62</v>
      </c>
      <c r="U992" s="15">
        <f t="shared" si="60"/>
        <v>1011.8345440000001</v>
      </c>
      <c r="V992" s="15">
        <f t="shared" si="61"/>
        <v>2331.4160000000002</v>
      </c>
      <c r="W992" s="15">
        <f t="shared" si="62"/>
        <v>722.54250000000002</v>
      </c>
      <c r="X992" s="15">
        <f t="shared" si="63"/>
        <v>1762.9915000000001</v>
      </c>
    </row>
    <row r="993" spans="1:24">
      <c r="A993" s="12" t="s">
        <v>2995</v>
      </c>
      <c r="B993" s="12" t="s">
        <v>2996</v>
      </c>
      <c r="C993" s="12" t="s">
        <v>50</v>
      </c>
      <c r="D993" s="12" t="s">
        <v>213</v>
      </c>
      <c r="E993" s="12" t="s">
        <v>28</v>
      </c>
      <c r="F993" s="13">
        <v>2281.39</v>
      </c>
      <c r="G993" s="13">
        <v>44.45</v>
      </c>
      <c r="H993" s="13">
        <v>1267.3800000000001</v>
      </c>
      <c r="I993" s="13">
        <v>3.8</v>
      </c>
      <c r="J993" s="13">
        <v>43</v>
      </c>
      <c r="K993" s="13">
        <v>333</v>
      </c>
      <c r="L993" s="12" t="s">
        <v>2997</v>
      </c>
      <c r="M993" s="12">
        <v>4.4000000000000004</v>
      </c>
      <c r="N993" s="14">
        <v>46061</v>
      </c>
      <c r="O993" s="13">
        <v>5</v>
      </c>
      <c r="P993" s="12" t="s">
        <v>30</v>
      </c>
      <c r="Q993" s="12" t="s">
        <v>55</v>
      </c>
      <c r="R993" s="12" t="s">
        <v>47</v>
      </c>
      <c r="S993" s="12" t="b">
        <v>0</v>
      </c>
      <c r="T993" s="12" t="s">
        <v>78</v>
      </c>
      <c r="U993" s="15">
        <f t="shared" si="60"/>
        <v>1014.077855</v>
      </c>
      <c r="V993" s="15">
        <f t="shared" si="61"/>
        <v>912.55600000000004</v>
      </c>
      <c r="W993" s="15">
        <f t="shared" si="62"/>
        <v>190.107</v>
      </c>
      <c r="X993" s="15">
        <f t="shared" si="63"/>
        <v>164.71700000000001</v>
      </c>
    </row>
    <row r="994" spans="1:24">
      <c r="A994" s="12" t="s">
        <v>2998</v>
      </c>
      <c r="B994" s="12" t="s">
        <v>2999</v>
      </c>
      <c r="C994" s="12" t="s">
        <v>50</v>
      </c>
      <c r="D994" s="12" t="s">
        <v>130</v>
      </c>
      <c r="E994" s="12" t="s">
        <v>112</v>
      </c>
      <c r="F994" s="13">
        <v>287.16000000000003</v>
      </c>
      <c r="G994" s="13">
        <v>42.6</v>
      </c>
      <c r="H994" s="13">
        <v>164.83</v>
      </c>
      <c r="I994" s="13">
        <v>3.2</v>
      </c>
      <c r="J994" s="13">
        <v>2</v>
      </c>
      <c r="K994" s="13">
        <v>330</v>
      </c>
      <c r="L994" s="12" t="s">
        <v>3000</v>
      </c>
      <c r="M994" s="12">
        <v>4.7</v>
      </c>
      <c r="N994" s="14">
        <v>45899</v>
      </c>
      <c r="O994" s="13">
        <v>5</v>
      </c>
      <c r="P994" s="12" t="s">
        <v>40</v>
      </c>
      <c r="Q994" s="12" t="s">
        <v>55</v>
      </c>
      <c r="R994" s="12" t="s">
        <v>86</v>
      </c>
      <c r="S994" s="12" t="b">
        <v>0</v>
      </c>
      <c r="T994" s="12" t="s">
        <v>62</v>
      </c>
      <c r="U994" s="15">
        <f t="shared" si="60"/>
        <v>122.33016000000001</v>
      </c>
      <c r="V994" s="15">
        <f t="shared" si="61"/>
        <v>114.864</v>
      </c>
      <c r="W994" s="15">
        <f t="shared" si="62"/>
        <v>24.724499999999999</v>
      </c>
      <c r="X994" s="15">
        <f t="shared" si="63"/>
        <v>25.241499999999998</v>
      </c>
    </row>
    <row r="995" spans="1:24">
      <c r="A995" s="12" t="s">
        <v>3001</v>
      </c>
      <c r="B995" s="12" t="s">
        <v>3002</v>
      </c>
      <c r="C995" s="12" t="s">
        <v>75</v>
      </c>
      <c r="D995" s="12" t="s">
        <v>104</v>
      </c>
      <c r="E995" s="12" t="s">
        <v>70</v>
      </c>
      <c r="F995" s="13">
        <v>4770.3900000000003</v>
      </c>
      <c r="G995" s="13">
        <v>25.36</v>
      </c>
      <c r="H995" s="13">
        <v>3560.66</v>
      </c>
      <c r="I995" s="13">
        <v>3.2</v>
      </c>
      <c r="J995" s="13">
        <v>83</v>
      </c>
      <c r="K995" s="13">
        <v>430</v>
      </c>
      <c r="L995" s="12" t="s">
        <v>3003</v>
      </c>
      <c r="M995" s="12">
        <v>2.8</v>
      </c>
      <c r="N995" s="14">
        <v>45733</v>
      </c>
      <c r="O995" s="13">
        <v>2</v>
      </c>
      <c r="P995" s="12" t="s">
        <v>45</v>
      </c>
      <c r="Q995" s="12" t="s">
        <v>46</v>
      </c>
      <c r="R995" s="12" t="s">
        <v>32</v>
      </c>
      <c r="S995" s="12" t="b">
        <v>0</v>
      </c>
      <c r="T995" s="12" t="s">
        <v>78</v>
      </c>
      <c r="U995" s="15">
        <f t="shared" si="60"/>
        <v>1209.770904</v>
      </c>
      <c r="V995" s="15">
        <f t="shared" si="61"/>
        <v>1908.1559999999999</v>
      </c>
      <c r="W995" s="15">
        <f t="shared" si="62"/>
        <v>534.09900000000005</v>
      </c>
      <c r="X995" s="15">
        <f t="shared" si="63"/>
        <v>1118.405</v>
      </c>
    </row>
    <row r="996" spans="1:24">
      <c r="A996" s="12" t="s">
        <v>3004</v>
      </c>
      <c r="B996" s="12" t="s">
        <v>3005</v>
      </c>
      <c r="C996" s="12" t="s">
        <v>50</v>
      </c>
      <c r="D996" s="12" t="s">
        <v>51</v>
      </c>
      <c r="E996" s="12" t="s">
        <v>28</v>
      </c>
      <c r="F996" s="13">
        <v>907.29</v>
      </c>
      <c r="G996" s="13">
        <v>5.64</v>
      </c>
      <c r="H996" s="13">
        <v>856.12</v>
      </c>
      <c r="I996" s="13">
        <v>4.0999999999999996</v>
      </c>
      <c r="J996" s="13">
        <v>35</v>
      </c>
      <c r="K996" s="13">
        <v>465</v>
      </c>
      <c r="L996" s="12" t="s">
        <v>3006</v>
      </c>
      <c r="M996" s="12">
        <v>3.6</v>
      </c>
      <c r="N996" s="14">
        <v>46026</v>
      </c>
      <c r="O996" s="13">
        <v>4</v>
      </c>
      <c r="P996" s="12" t="s">
        <v>45</v>
      </c>
      <c r="Q996" s="12" t="s">
        <v>55</v>
      </c>
      <c r="R996" s="12" t="s">
        <v>47</v>
      </c>
      <c r="S996" s="12" t="b">
        <v>0</v>
      </c>
      <c r="T996" s="12" t="s">
        <v>56</v>
      </c>
      <c r="U996" s="15">
        <f t="shared" si="60"/>
        <v>51.171156000000003</v>
      </c>
      <c r="V996" s="15">
        <f t="shared" si="61"/>
        <v>362.916</v>
      </c>
      <c r="W996" s="15">
        <f t="shared" si="62"/>
        <v>128.41800000000001</v>
      </c>
      <c r="X996" s="15">
        <f t="shared" si="63"/>
        <v>364.786</v>
      </c>
    </row>
    <row r="997" spans="1:24">
      <c r="A997" s="12" t="s">
        <v>3007</v>
      </c>
      <c r="B997" s="12" t="s">
        <v>3008</v>
      </c>
      <c r="C997" s="12" t="s">
        <v>59</v>
      </c>
      <c r="D997" s="12" t="s">
        <v>60</v>
      </c>
      <c r="E997" s="12" t="s">
        <v>52</v>
      </c>
      <c r="F997" s="13">
        <v>4391.2</v>
      </c>
      <c r="G997" s="13">
        <v>48.16</v>
      </c>
      <c r="H997" s="13">
        <v>2276.36</v>
      </c>
      <c r="I997" s="13">
        <v>3.9</v>
      </c>
      <c r="J997" s="13">
        <v>9</v>
      </c>
      <c r="K997" s="13">
        <v>453</v>
      </c>
      <c r="L997" s="12" t="s">
        <v>2024</v>
      </c>
      <c r="M997" s="12">
        <v>4.4000000000000004</v>
      </c>
      <c r="N997" s="14">
        <v>45383</v>
      </c>
      <c r="O997" s="13">
        <v>6</v>
      </c>
      <c r="P997" s="12" t="s">
        <v>45</v>
      </c>
      <c r="Q997" s="12" t="s">
        <v>31</v>
      </c>
      <c r="R997" s="12" t="s">
        <v>72</v>
      </c>
      <c r="S997" s="12" t="b">
        <v>0</v>
      </c>
      <c r="T997" s="12" t="s">
        <v>62</v>
      </c>
      <c r="U997" s="15">
        <f t="shared" si="60"/>
        <v>2114.8019199999999</v>
      </c>
      <c r="V997" s="15">
        <f t="shared" si="61"/>
        <v>1756.48</v>
      </c>
      <c r="W997" s="15">
        <f t="shared" si="62"/>
        <v>341.45400000000001</v>
      </c>
      <c r="X997" s="15">
        <f t="shared" si="63"/>
        <v>178.42599999999999</v>
      </c>
    </row>
    <row r="998" spans="1:24">
      <c r="A998" s="12" t="s">
        <v>3009</v>
      </c>
      <c r="B998" s="12" t="s">
        <v>3010</v>
      </c>
      <c r="C998" s="12" t="s">
        <v>50</v>
      </c>
      <c r="D998" s="12" t="s">
        <v>213</v>
      </c>
      <c r="E998" s="12" t="s">
        <v>84</v>
      </c>
      <c r="F998" s="13">
        <v>1201.98</v>
      </c>
      <c r="G998" s="13">
        <v>8.8699999999999992</v>
      </c>
      <c r="H998" s="13">
        <v>1095.3800000000001</v>
      </c>
      <c r="I998" s="13">
        <v>4.0999999999999996</v>
      </c>
      <c r="J998" s="13">
        <v>43</v>
      </c>
      <c r="K998" s="13">
        <v>397</v>
      </c>
      <c r="L998" s="12" t="s">
        <v>3011</v>
      </c>
      <c r="M998" s="12">
        <v>4.9000000000000004</v>
      </c>
      <c r="N998" s="14">
        <v>45760</v>
      </c>
      <c r="O998" s="13">
        <v>3</v>
      </c>
      <c r="P998" s="12" t="s">
        <v>40</v>
      </c>
      <c r="Q998" s="12" t="s">
        <v>46</v>
      </c>
      <c r="R998" s="12" t="s">
        <v>72</v>
      </c>
      <c r="S998" s="12" t="b">
        <v>0</v>
      </c>
      <c r="T998" s="12" t="s">
        <v>62</v>
      </c>
      <c r="U998" s="15">
        <f t="shared" si="60"/>
        <v>106.61562600000001</v>
      </c>
      <c r="V998" s="15">
        <f t="shared" si="61"/>
        <v>480.79199999999997</v>
      </c>
      <c r="W998" s="15">
        <f t="shared" si="62"/>
        <v>164.30699999999999</v>
      </c>
      <c r="X998" s="15">
        <f t="shared" si="63"/>
        <v>450.28100000000001</v>
      </c>
    </row>
    <row r="999" spans="1:24">
      <c r="A999" s="12" t="s">
        <v>3012</v>
      </c>
      <c r="B999" s="12" t="s">
        <v>3013</v>
      </c>
      <c r="C999" s="12" t="s">
        <v>75</v>
      </c>
      <c r="D999" s="12" t="s">
        <v>76</v>
      </c>
      <c r="E999" s="12" t="s">
        <v>96</v>
      </c>
      <c r="F999" s="13">
        <v>3200.98</v>
      </c>
      <c r="G999" s="13">
        <v>53.43</v>
      </c>
      <c r="H999" s="13">
        <v>1490.76</v>
      </c>
      <c r="I999" s="13">
        <v>4.7</v>
      </c>
      <c r="J999" s="13">
        <v>47</v>
      </c>
      <c r="K999" s="13">
        <v>417</v>
      </c>
      <c r="L999" s="12" t="s">
        <v>3014</v>
      </c>
      <c r="M999" s="12">
        <v>4.2</v>
      </c>
      <c r="N999" s="14">
        <v>45921</v>
      </c>
      <c r="O999" s="13">
        <v>3</v>
      </c>
      <c r="P999" s="12" t="s">
        <v>30</v>
      </c>
      <c r="Q999" s="12" t="s">
        <v>46</v>
      </c>
      <c r="R999" s="12" t="s">
        <v>32</v>
      </c>
      <c r="S999" s="12" t="b">
        <v>1</v>
      </c>
      <c r="T999" s="12" t="s">
        <v>33</v>
      </c>
      <c r="U999" s="15">
        <f t="shared" si="60"/>
        <v>1710.2836139999999</v>
      </c>
      <c r="V999" s="15">
        <f t="shared" si="61"/>
        <v>1280.3920000000001</v>
      </c>
      <c r="W999" s="15">
        <f t="shared" si="62"/>
        <v>223.614</v>
      </c>
      <c r="X999" s="15">
        <f t="shared" si="63"/>
        <v>-13.2460000000001</v>
      </c>
    </row>
    <row r="1000" spans="1:24">
      <c r="A1000" s="12" t="s">
        <v>3015</v>
      </c>
      <c r="B1000" s="12" t="s">
        <v>3016</v>
      </c>
      <c r="C1000" s="12" t="s">
        <v>26</v>
      </c>
      <c r="D1000" s="12" t="s">
        <v>148</v>
      </c>
      <c r="E1000" s="12" t="s">
        <v>131</v>
      </c>
      <c r="F1000" s="13">
        <v>26254.83</v>
      </c>
      <c r="G1000" s="13">
        <v>26.76</v>
      </c>
      <c r="H1000" s="13">
        <v>19229.82</v>
      </c>
      <c r="I1000" s="13">
        <v>3.9</v>
      </c>
      <c r="J1000" s="13">
        <v>10</v>
      </c>
      <c r="K1000" s="13">
        <v>375</v>
      </c>
      <c r="L1000" s="12" t="s">
        <v>3017</v>
      </c>
      <c r="M1000" s="12">
        <v>4.5</v>
      </c>
      <c r="N1000" s="14">
        <v>45733</v>
      </c>
      <c r="O1000" s="13">
        <v>4</v>
      </c>
      <c r="P1000" s="12" t="s">
        <v>117</v>
      </c>
      <c r="Q1000" s="12" t="s">
        <v>46</v>
      </c>
      <c r="R1000" s="12" t="s">
        <v>47</v>
      </c>
      <c r="S1000" s="12" t="b">
        <v>0</v>
      </c>
      <c r="T1000" s="12" t="s">
        <v>56</v>
      </c>
      <c r="U1000" s="15">
        <f t="shared" si="60"/>
        <v>7025.7925080000005</v>
      </c>
      <c r="V1000" s="15">
        <f t="shared" si="61"/>
        <v>10501.932000000001</v>
      </c>
      <c r="W1000" s="15">
        <f t="shared" si="62"/>
        <v>2884.473</v>
      </c>
      <c r="X1000" s="15">
        <f t="shared" si="63"/>
        <v>5843.415</v>
      </c>
    </row>
    <row r="1001" spans="1:24">
      <c r="A1001" s="12" t="s">
        <v>3018</v>
      </c>
      <c r="B1001" s="12" t="s">
        <v>3019</v>
      </c>
      <c r="C1001" s="12" t="s">
        <v>75</v>
      </c>
      <c r="D1001" s="12" t="s">
        <v>76</v>
      </c>
      <c r="E1001" s="12" t="s">
        <v>92</v>
      </c>
      <c r="F1001" s="13">
        <v>2805.95</v>
      </c>
      <c r="G1001" s="13">
        <v>69.28</v>
      </c>
      <c r="H1001" s="13">
        <v>862.03</v>
      </c>
      <c r="I1001" s="13">
        <v>3.8</v>
      </c>
      <c r="J1001" s="13">
        <v>16</v>
      </c>
      <c r="K1001" s="13">
        <v>257</v>
      </c>
      <c r="L1001" s="12" t="s">
        <v>3020</v>
      </c>
      <c r="M1001" s="12">
        <v>4.8</v>
      </c>
      <c r="N1001" s="14">
        <v>46083</v>
      </c>
      <c r="O1001" s="13">
        <v>1</v>
      </c>
      <c r="P1001" s="12" t="s">
        <v>54</v>
      </c>
      <c r="Q1001" s="12" t="s">
        <v>55</v>
      </c>
      <c r="R1001" s="12" t="s">
        <v>47</v>
      </c>
      <c r="S1001" s="12" t="b">
        <v>0</v>
      </c>
      <c r="T1001" s="12" t="s">
        <v>78</v>
      </c>
      <c r="U1001" s="15">
        <f t="shared" si="60"/>
        <v>1943.96216</v>
      </c>
      <c r="V1001" s="15">
        <f t="shared" si="61"/>
        <v>1122.3800000000001</v>
      </c>
      <c r="W1001" s="15">
        <f t="shared" si="62"/>
        <v>129.30449999999999</v>
      </c>
      <c r="X1001" s="15">
        <f t="shared" si="63"/>
        <v>-389.65449999999998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abSelected="1" workbookViewId="0">
      <selection activeCell="B1" sqref="B1"/>
    </sheetView>
  </sheetViews>
  <sheetFormatPr defaultColWidth="9.125" defaultRowHeight="15"/>
  <cols>
    <col min="1" max="1" width="12.125" style="8"/>
    <col min="2" max="2" width="14.125" style="2"/>
    <col min="3" max="3" width="12.75" customWidth="1"/>
    <col min="4" max="4" width="11.75" style="1"/>
  </cols>
  <sheetData>
    <row r="1" spans="1:4">
      <c r="A1" s="3" t="s">
        <v>2</v>
      </c>
      <c r="B1" s="3" t="s">
        <v>3021</v>
      </c>
      <c r="D1"/>
    </row>
    <row r="2" spans="1:4">
      <c r="A2" s="4" t="s">
        <v>50</v>
      </c>
      <c r="B2" s="5">
        <v>119894.224</v>
      </c>
      <c r="D2"/>
    </row>
    <row r="3" spans="1:4">
      <c r="A3" s="4" t="s">
        <v>75</v>
      </c>
      <c r="B3" s="5">
        <v>62111.910499999998</v>
      </c>
      <c r="D3"/>
    </row>
    <row r="4" spans="1:4">
      <c r="A4" s="4" t="s">
        <v>26</v>
      </c>
      <c r="B4" s="5">
        <v>2184493.2940000002</v>
      </c>
      <c r="D4"/>
    </row>
    <row r="5" spans="1:4">
      <c r="A5" s="4" t="s">
        <v>59</v>
      </c>
      <c r="B5" s="5">
        <v>429793.03850000002</v>
      </c>
      <c r="D5"/>
    </row>
    <row r="6" spans="1:4">
      <c r="A6" s="4" t="s">
        <v>36</v>
      </c>
      <c r="B6" s="5">
        <v>330368.36949999997</v>
      </c>
      <c r="D6"/>
    </row>
    <row r="7" spans="1:4">
      <c r="A7" s="6" t="s">
        <v>3022</v>
      </c>
      <c r="B7" s="7">
        <v>3126660.8365000002</v>
      </c>
      <c r="D7"/>
    </row>
    <row r="8" spans="1:4">
      <c r="A8"/>
      <c r="B8"/>
      <c r="D8"/>
    </row>
    <row r="9" spans="1:4">
      <c r="A9"/>
      <c r="B9"/>
      <c r="D9"/>
    </row>
    <row r="10" spans="1:4">
      <c r="A10"/>
      <c r="B10"/>
      <c r="D10"/>
    </row>
    <row r="11" spans="1:4">
      <c r="A11"/>
      <c r="B11"/>
      <c r="D11"/>
    </row>
    <row r="12" spans="1:4">
      <c r="A12"/>
      <c r="B12"/>
      <c r="D12"/>
    </row>
    <row r="13" spans="1:4">
      <c r="A13"/>
      <c r="B13"/>
      <c r="D13"/>
    </row>
    <row r="14" spans="1:4">
      <c r="A14"/>
      <c r="B14"/>
      <c r="D14"/>
    </row>
    <row r="15" spans="1:4">
      <c r="A15"/>
      <c r="B15"/>
      <c r="D15"/>
    </row>
    <row r="16" spans="1:4">
      <c r="A16"/>
      <c r="B16"/>
      <c r="D16"/>
    </row>
    <row r="17" spans="2:4">
      <c r="B17" s="8"/>
      <c r="C17" s="8"/>
      <c r="D17" s="8"/>
    </row>
    <row r="18" spans="2:4">
      <c r="B18" s="8"/>
      <c r="C18" s="8"/>
      <c r="D18" s="8"/>
    </row>
    <row r="19" spans="2:4">
      <c r="B19" s="8"/>
      <c r="C19" s="8"/>
      <c r="D19" s="8"/>
    </row>
    <row r="20" spans="2:4">
      <c r="B20" s="8"/>
      <c r="C20" s="8"/>
      <c r="D20" s="8"/>
    </row>
    <row r="21" spans="2:4">
      <c r="B21" s="8"/>
      <c r="C21" s="8"/>
      <c r="D21" s="8"/>
    </row>
    <row r="22" spans="2:4">
      <c r="B22" s="8"/>
      <c r="C22" s="8"/>
      <c r="D22" s="8"/>
    </row>
    <row r="23" spans="2:4">
      <c r="B23" s="8"/>
      <c r="C23" s="8"/>
      <c r="D23" s="8"/>
    </row>
    <row r="24" spans="2:4">
      <c r="B24" s="8"/>
      <c r="C24" s="8"/>
      <c r="D24" s="8"/>
    </row>
    <row r="25" spans="2:4">
      <c r="B25" s="8"/>
      <c r="C25" s="8"/>
      <c r="D25" s="8"/>
    </row>
    <row r="26" spans="2:4">
      <c r="B26" s="8"/>
      <c r="C26" s="8"/>
      <c r="D26" s="8"/>
    </row>
    <row r="27" spans="2:4">
      <c r="B27" s="8"/>
      <c r="C27" s="8"/>
      <c r="D27" s="8"/>
    </row>
    <row r="28" spans="2:4">
      <c r="B28" s="8"/>
      <c r="C28" s="8"/>
      <c r="D28" s="8"/>
    </row>
    <row r="29" spans="2:4">
      <c r="B29" s="8"/>
      <c r="C29" s="8"/>
      <c r="D29" s="8"/>
    </row>
    <row r="30" spans="2:4">
      <c r="B30" s="8"/>
      <c r="C30" s="8"/>
      <c r="D30" s="8"/>
    </row>
    <row r="31" spans="2:4">
      <c r="B31" s="8"/>
      <c r="C31" s="8"/>
      <c r="D31" s="8"/>
    </row>
    <row r="32" spans="2:4">
      <c r="B32" s="8"/>
      <c r="C32" s="8"/>
      <c r="D32" s="8"/>
    </row>
    <row r="33" spans="2:4">
      <c r="B33" s="8"/>
      <c r="C33" s="8"/>
      <c r="D33" s="8"/>
    </row>
    <row r="34" spans="2:4">
      <c r="B34" s="8"/>
      <c r="C34" s="8"/>
      <c r="D34" s="8"/>
    </row>
    <row r="35" spans="2:4">
      <c r="B35" s="8"/>
      <c r="C35" s="8"/>
      <c r="D35" s="8"/>
    </row>
    <row r="36" spans="2:4">
      <c r="B36" s="8"/>
      <c r="C36" s="8"/>
      <c r="D36" s="8"/>
    </row>
    <row r="37" spans="2:4">
      <c r="B37" s="8"/>
      <c r="C37" s="8"/>
      <c r="D37" s="8"/>
    </row>
    <row r="38" spans="2:4">
      <c r="B38" s="8"/>
      <c r="C38" s="8"/>
      <c r="D38" s="8"/>
    </row>
    <row r="39" spans="2:4">
      <c r="B39" s="8"/>
      <c r="C39" s="8"/>
      <c r="D39" s="8"/>
    </row>
    <row r="40" spans="2:4">
      <c r="B40" s="8"/>
      <c r="C40" s="8"/>
      <c r="D40" s="8"/>
    </row>
    <row r="41" spans="2:4">
      <c r="B41" s="8"/>
      <c r="C41" s="8"/>
      <c r="D41" s="8"/>
    </row>
    <row r="42" spans="2:4">
      <c r="B42" s="8"/>
      <c r="C42" s="8"/>
      <c r="D42" s="8"/>
    </row>
    <row r="43" spans="2:4">
      <c r="B43" s="8"/>
      <c r="C43" s="8"/>
      <c r="D43" s="8"/>
    </row>
    <row r="44" spans="2:4">
      <c r="B44" s="8"/>
      <c r="C44" s="8"/>
      <c r="D44" s="8"/>
    </row>
    <row r="45" spans="2:4">
      <c r="B45" s="8"/>
      <c r="C45" s="8"/>
      <c r="D45" s="8"/>
    </row>
    <row r="46" spans="2:4">
      <c r="B46" s="8"/>
      <c r="C46" s="8"/>
      <c r="D46" s="8"/>
    </row>
    <row r="47" spans="2:4">
      <c r="B47" s="8"/>
      <c r="C47" s="8"/>
      <c r="D47" s="8"/>
    </row>
    <row r="48" spans="2:4">
      <c r="B48" s="8"/>
      <c r="C48" s="8"/>
      <c r="D48" s="8"/>
    </row>
    <row r="49" spans="2:4">
      <c r="B49" s="8"/>
      <c r="C49" s="8"/>
      <c r="D49" s="8"/>
    </row>
    <row r="50" spans="2:4">
      <c r="B50" s="8"/>
      <c r="C50" s="8"/>
      <c r="D50" s="8"/>
    </row>
    <row r="51" spans="2:4">
      <c r="B51" s="8"/>
      <c r="C51" s="8"/>
      <c r="D51" s="8"/>
    </row>
    <row r="52" spans="2:4">
      <c r="B52" s="8"/>
      <c r="C52" s="8"/>
      <c r="D52" s="8"/>
    </row>
    <row r="53" spans="2:4">
      <c r="B53" s="8"/>
      <c r="C53" s="8"/>
      <c r="D53" s="8"/>
    </row>
    <row r="54" spans="2:4">
      <c r="B54" s="8"/>
      <c r="C54" s="8"/>
      <c r="D54" s="8"/>
    </row>
    <row r="55" spans="2:4">
      <c r="B55" s="8"/>
      <c r="C55" s="8"/>
      <c r="D55" s="8"/>
    </row>
    <row r="56" spans="2:4">
      <c r="B56" s="8"/>
      <c r="C56" s="8"/>
      <c r="D56" s="8"/>
    </row>
    <row r="57" spans="2:4">
      <c r="B57" s="8"/>
      <c r="C57" s="8"/>
      <c r="D57" s="8"/>
    </row>
    <row r="58" spans="2:4">
      <c r="B58" s="8"/>
      <c r="C58" s="8"/>
      <c r="D58" s="8"/>
    </row>
    <row r="59" spans="2:4">
      <c r="B59" s="8"/>
      <c r="C59" s="8"/>
      <c r="D59" s="8"/>
    </row>
    <row r="60" spans="2:4">
      <c r="B60" s="8"/>
      <c r="C60" s="8"/>
      <c r="D60" s="8"/>
    </row>
    <row r="61" spans="2:4">
      <c r="B61" s="8"/>
      <c r="C61" s="8"/>
      <c r="D61" s="8"/>
    </row>
    <row r="62" spans="2:4">
      <c r="B62" s="8"/>
      <c r="C62" s="8"/>
      <c r="D62" s="8"/>
    </row>
    <row r="63" spans="2:4">
      <c r="B63" s="8"/>
      <c r="C63" s="8"/>
      <c r="D63" s="8"/>
    </row>
    <row r="64" spans="2:4">
      <c r="B64" s="8"/>
      <c r="C64" s="8"/>
      <c r="D64" s="8"/>
    </row>
    <row r="65" spans="2:4">
      <c r="B65" s="8"/>
      <c r="C65" s="8"/>
      <c r="D65" s="8"/>
    </row>
    <row r="66" spans="2:4">
      <c r="B66" s="8"/>
      <c r="C66" s="8"/>
      <c r="D66" s="8"/>
    </row>
    <row r="67" spans="2:4">
      <c r="B67" s="8"/>
      <c r="C67" s="8"/>
      <c r="D67" s="8"/>
    </row>
    <row r="68" spans="2:4">
      <c r="B68" s="8"/>
      <c r="C68" s="8"/>
      <c r="D68" s="8"/>
    </row>
    <row r="69" spans="2:4">
      <c r="B69" s="8"/>
      <c r="C69" s="8"/>
      <c r="D69" s="8"/>
    </row>
    <row r="70" spans="2:4">
      <c r="B70" s="8"/>
      <c r="C70" s="8"/>
      <c r="D70" s="8"/>
    </row>
    <row r="71" spans="2:4">
      <c r="B71" s="8"/>
      <c r="C71" s="8"/>
      <c r="D71" s="8"/>
    </row>
    <row r="72" spans="2:4">
      <c r="B72" s="8"/>
      <c r="C72" s="8"/>
      <c r="D72" s="8"/>
    </row>
    <row r="73" spans="2:4">
      <c r="B73" s="8"/>
      <c r="C73" s="8"/>
      <c r="D73" s="8"/>
    </row>
    <row r="74" spans="2:4">
      <c r="B74" s="8"/>
      <c r="C74" s="8"/>
      <c r="D74" s="8"/>
    </row>
    <row r="75" spans="2:4">
      <c r="B75" s="8"/>
      <c r="C75" s="8"/>
      <c r="D75" s="8"/>
    </row>
    <row r="76" spans="2:4">
      <c r="B76" s="8"/>
      <c r="C76" s="8"/>
      <c r="D76" s="8"/>
    </row>
    <row r="77" spans="2:4">
      <c r="B77" s="8"/>
      <c r="C77" s="8"/>
      <c r="D77" s="8"/>
    </row>
    <row r="78" spans="2:4">
      <c r="B78" s="8"/>
      <c r="C78" s="8"/>
      <c r="D78" s="8"/>
    </row>
    <row r="79" spans="2:4">
      <c r="B79" s="8"/>
      <c r="C79" s="8"/>
      <c r="D79" s="8"/>
    </row>
    <row r="80" spans="2:4">
      <c r="B80" s="8"/>
      <c r="C80" s="8"/>
      <c r="D80" s="8"/>
    </row>
    <row r="81" spans="2:4">
      <c r="B81" s="8"/>
      <c r="C81" s="8"/>
      <c r="D81" s="8"/>
    </row>
    <row r="82" spans="2:4">
      <c r="B82" s="8"/>
      <c r="C82" s="8"/>
      <c r="D82" s="8"/>
    </row>
    <row r="83" spans="2:4">
      <c r="B83" s="8"/>
      <c r="C83" s="8"/>
      <c r="D83" s="8"/>
    </row>
    <row r="84" spans="2:4">
      <c r="B84" s="8"/>
      <c r="C84" s="8"/>
      <c r="D84" s="8"/>
    </row>
    <row r="85" spans="2:4">
      <c r="B85" s="8"/>
      <c r="C85" s="8"/>
      <c r="D85" s="8"/>
    </row>
    <row r="86" spans="2:4">
      <c r="B86" s="8"/>
      <c r="C86" s="8"/>
      <c r="D86" s="8"/>
    </row>
    <row r="87" spans="2:4">
      <c r="B87" s="8"/>
      <c r="C87" s="8"/>
      <c r="D87" s="8"/>
    </row>
    <row r="88" spans="2:4">
      <c r="B88" s="8"/>
      <c r="C88" s="8"/>
      <c r="D88" s="8"/>
    </row>
    <row r="89" spans="2:4">
      <c r="B89" s="8"/>
      <c r="C89" s="8"/>
      <c r="D89" s="8"/>
    </row>
    <row r="90" spans="2:4">
      <c r="B90" s="8"/>
      <c r="C90" s="8"/>
      <c r="D90" s="8"/>
    </row>
    <row r="91" spans="2:4">
      <c r="B91" s="8"/>
      <c r="C91" s="8"/>
      <c r="D91" s="8"/>
    </row>
    <row r="92" spans="2:4">
      <c r="B92" s="8"/>
      <c r="C92" s="8"/>
      <c r="D92" s="8"/>
    </row>
    <row r="93" spans="2:4">
      <c r="B93" s="8"/>
      <c r="C93" s="8"/>
      <c r="D93" s="8"/>
    </row>
    <row r="94" spans="2:4">
      <c r="B94" s="8"/>
      <c r="C94" s="8"/>
      <c r="D94" s="8"/>
    </row>
    <row r="95" spans="2:4">
      <c r="B95" s="8"/>
      <c r="C95" s="8"/>
      <c r="D95" s="8"/>
    </row>
    <row r="96" spans="2:4">
      <c r="B96" s="8"/>
      <c r="C96" s="8"/>
      <c r="D96" s="8"/>
    </row>
    <row r="97" spans="2:4">
      <c r="B97" s="8"/>
      <c r="C97" s="8"/>
      <c r="D97" s="8"/>
    </row>
    <row r="98" spans="2:4">
      <c r="B98" s="8"/>
      <c r="C98" s="8"/>
      <c r="D98" s="8"/>
    </row>
    <row r="99" spans="2:4">
      <c r="B99" s="8"/>
      <c r="C99" s="8"/>
      <c r="D99" s="8"/>
    </row>
    <row r="100" spans="2:4">
      <c r="B100" s="8"/>
      <c r="C100" s="8"/>
      <c r="D100" s="8"/>
    </row>
    <row r="101" spans="2:4">
      <c r="B101" s="8"/>
      <c r="C101" s="8"/>
      <c r="D101" s="8"/>
    </row>
    <row r="102" spans="2:4">
      <c r="B102" s="8"/>
      <c r="C102" s="8"/>
      <c r="D102" s="8"/>
    </row>
    <row r="103" spans="2:4">
      <c r="B103" s="8"/>
      <c r="C103" s="8"/>
      <c r="D103" s="8"/>
    </row>
    <row r="104" spans="2:4">
      <c r="B104" s="8"/>
      <c r="C104" s="8"/>
      <c r="D104" s="8"/>
    </row>
    <row r="105" spans="2:4">
      <c r="B105" s="8"/>
      <c r="C105" s="8"/>
      <c r="D105" s="8"/>
    </row>
    <row r="106" spans="2:4">
      <c r="B106" s="8"/>
      <c r="C106" s="8"/>
      <c r="D106" s="8"/>
    </row>
    <row r="107" spans="2:4">
      <c r="B107" s="8"/>
      <c r="C107" s="8"/>
      <c r="D107" s="8"/>
    </row>
    <row r="108" spans="2:4">
      <c r="B108" s="8"/>
      <c r="C108" s="8"/>
      <c r="D108" s="8"/>
    </row>
    <row r="109" spans="2:4">
      <c r="B109" s="8"/>
      <c r="C109" s="8"/>
      <c r="D109" s="8"/>
    </row>
    <row r="110" spans="2:4">
      <c r="B110" s="8"/>
      <c r="C110" s="8"/>
      <c r="D110" s="8"/>
    </row>
    <row r="111" spans="2:4">
      <c r="B111" s="8"/>
      <c r="C111" s="8"/>
      <c r="D111" s="8"/>
    </row>
    <row r="112" spans="2:4">
      <c r="B112" s="8"/>
      <c r="C112" s="8"/>
      <c r="D112" s="8"/>
    </row>
    <row r="113" spans="2:4">
      <c r="B113" s="8"/>
      <c r="C113" s="8"/>
      <c r="D113" s="8"/>
    </row>
    <row r="114" spans="2:4">
      <c r="B114" s="8"/>
      <c r="C114" s="8"/>
      <c r="D114" s="8"/>
    </row>
    <row r="115" spans="2:4">
      <c r="B115" s="8"/>
      <c r="C115" s="8"/>
      <c r="D115" s="8"/>
    </row>
    <row r="116" spans="2:4">
      <c r="B116" s="8"/>
      <c r="C116" s="8"/>
      <c r="D116" s="8"/>
    </row>
    <row r="117" spans="2:4">
      <c r="B117" s="8"/>
      <c r="C117" s="8"/>
      <c r="D117" s="8"/>
    </row>
    <row r="118" spans="2:4">
      <c r="B118" s="8"/>
      <c r="C118" s="8"/>
      <c r="D118" s="8"/>
    </row>
    <row r="119" spans="2:4">
      <c r="B119" s="8"/>
      <c r="C119" s="8"/>
      <c r="D119" s="8"/>
    </row>
    <row r="120" spans="2:4">
      <c r="B120" s="8"/>
      <c r="C120" s="8"/>
      <c r="D120" s="8"/>
    </row>
    <row r="121" spans="2:4">
      <c r="B121" s="8"/>
      <c r="C121" s="8"/>
      <c r="D121" s="8"/>
    </row>
    <row r="122" spans="2:4">
      <c r="B122" s="8"/>
      <c r="C122" s="8"/>
      <c r="D122" s="8"/>
    </row>
    <row r="123" spans="2:4">
      <c r="B123" s="8"/>
      <c r="C123" s="8"/>
      <c r="D123" s="8"/>
    </row>
    <row r="124" spans="2:4">
      <c r="B124" s="8"/>
      <c r="C124" s="8"/>
      <c r="D124" s="8"/>
    </row>
    <row r="125" spans="2:4">
      <c r="B125" s="8"/>
      <c r="C125" s="8"/>
      <c r="D125" s="8"/>
    </row>
    <row r="126" spans="2:4">
      <c r="B126" s="8"/>
      <c r="C126" s="8"/>
      <c r="D126" s="8"/>
    </row>
    <row r="127" spans="2:4">
      <c r="B127" s="8"/>
      <c r="C127" s="8"/>
      <c r="D127" s="8"/>
    </row>
    <row r="128" spans="2:4">
      <c r="B128" s="8"/>
      <c r="C128" s="8"/>
      <c r="D128" s="8"/>
    </row>
    <row r="129" spans="2:4">
      <c r="B129" s="8"/>
      <c r="C129" s="8"/>
      <c r="D129" s="8"/>
    </row>
    <row r="130" spans="2:4">
      <c r="B130" s="8"/>
      <c r="C130" s="8"/>
      <c r="D130" s="8"/>
    </row>
    <row r="131" spans="2:4">
      <c r="B131" s="8"/>
      <c r="C131" s="8"/>
      <c r="D131" s="8"/>
    </row>
    <row r="132" spans="2:4">
      <c r="B132" s="8"/>
      <c r="C132" s="8"/>
      <c r="D132" s="8"/>
    </row>
    <row r="133" spans="2:4">
      <c r="B133" s="8"/>
      <c r="C133" s="8"/>
      <c r="D133" s="8"/>
    </row>
    <row r="134" spans="2:4">
      <c r="B134" s="8"/>
      <c r="C134" s="8"/>
      <c r="D134" s="8"/>
    </row>
    <row r="135" spans="2:4">
      <c r="B135" s="8"/>
      <c r="C135" s="8"/>
      <c r="D135" s="8"/>
    </row>
    <row r="136" spans="2:4">
      <c r="B136" s="8"/>
      <c r="C136" s="8"/>
      <c r="D136" s="8"/>
    </row>
    <row r="137" spans="2:4">
      <c r="B137" s="8"/>
      <c r="C137" s="8"/>
      <c r="D137" s="8"/>
    </row>
    <row r="138" spans="2:4">
      <c r="B138" s="8"/>
      <c r="C138" s="8"/>
      <c r="D138" s="8"/>
    </row>
    <row r="139" spans="2:4">
      <c r="B139" s="8"/>
      <c r="C139" s="8"/>
      <c r="D139" s="8"/>
    </row>
    <row r="140" spans="2:4">
      <c r="B140" s="8"/>
      <c r="C140" s="8"/>
      <c r="D140" s="8"/>
    </row>
    <row r="141" spans="2:4">
      <c r="B141" s="8"/>
      <c r="C141" s="8"/>
      <c r="D141" s="8"/>
    </row>
    <row r="142" spans="2:4">
      <c r="B142" s="8"/>
      <c r="C142" s="8"/>
      <c r="D142" s="8"/>
    </row>
    <row r="143" spans="2:4">
      <c r="B143" s="8"/>
      <c r="C143" s="8"/>
      <c r="D143" s="8"/>
    </row>
    <row r="144" spans="2:4">
      <c r="B144" s="8"/>
      <c r="C144" s="8"/>
      <c r="D144" s="8"/>
    </row>
    <row r="145" spans="2:4">
      <c r="B145" s="8"/>
      <c r="C145" s="8"/>
      <c r="D145" s="8"/>
    </row>
    <row r="146" spans="2:4">
      <c r="B146" s="8"/>
      <c r="C146" s="8"/>
      <c r="D146" s="8"/>
    </row>
    <row r="147" spans="2:4">
      <c r="B147" s="8"/>
      <c r="C147" s="8"/>
      <c r="D147" s="8"/>
    </row>
    <row r="148" spans="2:4">
      <c r="B148" s="8"/>
      <c r="C148" s="8"/>
      <c r="D148" s="8"/>
    </row>
    <row r="149" spans="2:4">
      <c r="B149" s="8"/>
      <c r="C149" s="8"/>
      <c r="D149" s="8"/>
    </row>
    <row r="150" spans="2:4">
      <c r="B150" s="8"/>
      <c r="C150" s="8"/>
      <c r="D150" s="8"/>
    </row>
    <row r="151" spans="2:4">
      <c r="B151" s="8"/>
      <c r="C151" s="8"/>
      <c r="D151" s="8"/>
    </row>
    <row r="152" spans="2:4">
      <c r="B152" s="8"/>
      <c r="C152" s="8"/>
      <c r="D152" s="8"/>
    </row>
    <row r="153" spans="2:4">
      <c r="B153" s="8"/>
      <c r="C153" s="8"/>
      <c r="D153" s="8"/>
    </row>
    <row r="154" spans="2:4">
      <c r="B154" s="8"/>
      <c r="C154" s="8"/>
      <c r="D154" s="8"/>
    </row>
    <row r="155" spans="2:4">
      <c r="B155" s="8"/>
      <c r="C155" s="8"/>
      <c r="D155" s="8"/>
    </row>
    <row r="156" spans="2:4">
      <c r="B156" s="8"/>
      <c r="C156" s="8"/>
      <c r="D156" s="8"/>
    </row>
    <row r="157" spans="2:4">
      <c r="B157" s="8"/>
      <c r="C157" s="8"/>
      <c r="D157" s="8"/>
    </row>
    <row r="158" spans="2:4">
      <c r="B158" s="8"/>
      <c r="C158" s="8"/>
      <c r="D158" s="8"/>
    </row>
    <row r="159" spans="2:4">
      <c r="B159" s="8"/>
      <c r="C159" s="8"/>
      <c r="D159" s="8"/>
    </row>
    <row r="160" spans="2:4">
      <c r="B160" s="8"/>
      <c r="C160" s="8"/>
      <c r="D160" s="8"/>
    </row>
    <row r="161" spans="2:4">
      <c r="B161" s="8"/>
      <c r="C161" s="8"/>
      <c r="D161" s="8"/>
    </row>
    <row r="162" spans="2:4">
      <c r="B162" s="8"/>
      <c r="C162" s="8"/>
      <c r="D162" s="8"/>
    </row>
    <row r="163" spans="2:4">
      <c r="B163" s="8"/>
      <c r="C163" s="8"/>
      <c r="D163" s="8"/>
    </row>
    <row r="164" spans="2:4">
      <c r="B164" s="8"/>
      <c r="C164" s="8"/>
      <c r="D164" s="8"/>
    </row>
    <row r="165" spans="2:4">
      <c r="B165" s="8"/>
      <c r="C165" s="8"/>
      <c r="D165" s="8"/>
    </row>
    <row r="166" spans="2:4">
      <c r="B166" s="8"/>
      <c r="C166" s="8"/>
      <c r="D166" s="8"/>
    </row>
    <row r="167" spans="2:4">
      <c r="B167" s="8"/>
      <c r="C167" s="8"/>
      <c r="D167" s="8"/>
    </row>
    <row r="168" spans="2:4">
      <c r="B168" s="8"/>
      <c r="C168" s="8"/>
      <c r="D168" s="8"/>
    </row>
    <row r="169" spans="2:4">
      <c r="B169" s="8"/>
      <c r="C169" s="8"/>
      <c r="D169" s="8"/>
    </row>
    <row r="170" spans="2:4">
      <c r="B170" s="8"/>
      <c r="C170" s="8"/>
      <c r="D170" s="8"/>
    </row>
    <row r="171" spans="2:4">
      <c r="B171" s="8"/>
      <c r="C171" s="8"/>
      <c r="D171" s="8"/>
    </row>
    <row r="172" spans="2:4">
      <c r="B172" s="8"/>
      <c r="C172" s="8"/>
      <c r="D172" s="8"/>
    </row>
    <row r="173" spans="2:4">
      <c r="B173" s="8"/>
      <c r="C173" s="8"/>
      <c r="D173" s="8"/>
    </row>
    <row r="174" spans="2:4">
      <c r="B174" s="8"/>
      <c r="C174" s="8"/>
      <c r="D174" s="8"/>
    </row>
    <row r="175" spans="2:4">
      <c r="B175" s="8"/>
      <c r="C175" s="8"/>
      <c r="D175" s="8"/>
    </row>
    <row r="176" spans="2:4">
      <c r="B176" s="8"/>
      <c r="C176" s="8"/>
      <c r="D176" s="8"/>
    </row>
    <row r="177" spans="2:4">
      <c r="B177" s="8"/>
      <c r="C177" s="8"/>
      <c r="D177" s="8"/>
    </row>
    <row r="178" spans="2:4">
      <c r="B178" s="8"/>
      <c r="C178" s="8"/>
      <c r="D178" s="8"/>
    </row>
    <row r="179" spans="2:4">
      <c r="B179" s="8"/>
      <c r="C179" s="8"/>
      <c r="D179" s="8"/>
    </row>
    <row r="180" spans="2:4">
      <c r="B180" s="8"/>
      <c r="C180" s="8"/>
      <c r="D180" s="8"/>
    </row>
    <row r="181" spans="2:4">
      <c r="B181" s="8"/>
      <c r="C181" s="8"/>
      <c r="D181" s="8"/>
    </row>
    <row r="182" spans="2:4">
      <c r="B182" s="8"/>
      <c r="C182" s="8"/>
      <c r="D182" s="8"/>
    </row>
    <row r="183" spans="2:4">
      <c r="B183" s="8"/>
      <c r="C183" s="8"/>
      <c r="D183" s="8"/>
    </row>
    <row r="184" spans="2:4">
      <c r="B184" s="8"/>
      <c r="C184" s="8"/>
      <c r="D184" s="8"/>
    </row>
    <row r="185" spans="2:4">
      <c r="B185" s="8"/>
      <c r="C185" s="8"/>
      <c r="D185" s="8"/>
    </row>
    <row r="186" spans="2:4">
      <c r="B186" s="8"/>
      <c r="C186" s="8"/>
      <c r="D186" s="8"/>
    </row>
    <row r="187" spans="2:4">
      <c r="B187" s="8"/>
      <c r="C187" s="8"/>
      <c r="D187" s="8"/>
    </row>
    <row r="188" spans="2:4">
      <c r="B188" s="8"/>
      <c r="C188" s="8"/>
      <c r="D188" s="8"/>
    </row>
    <row r="189" spans="2:4">
      <c r="B189" s="8"/>
      <c r="C189" s="8"/>
      <c r="D189" s="8"/>
    </row>
    <row r="190" spans="2:4">
      <c r="B190" s="8"/>
      <c r="C190" s="8"/>
      <c r="D190" s="8"/>
    </row>
    <row r="191" spans="2:4">
      <c r="B191" s="8"/>
      <c r="C191" s="8"/>
      <c r="D191" s="8"/>
    </row>
    <row r="192" spans="2:4">
      <c r="B192" s="8"/>
      <c r="C192" s="8"/>
      <c r="D192" s="8"/>
    </row>
    <row r="193" spans="2:4">
      <c r="B193" s="8"/>
      <c r="C193" s="8"/>
      <c r="D193" s="8"/>
    </row>
    <row r="194" spans="2:4">
      <c r="B194" s="8"/>
      <c r="C194" s="8"/>
      <c r="D194" s="8"/>
    </row>
    <row r="195" spans="2:4">
      <c r="B195" s="8"/>
      <c r="C195" s="8"/>
      <c r="D195" s="8"/>
    </row>
    <row r="196" spans="2:4">
      <c r="B196" s="8"/>
      <c r="C196" s="8"/>
      <c r="D196" s="8"/>
    </row>
    <row r="197" spans="2:4">
      <c r="B197" s="8"/>
      <c r="C197" s="8"/>
      <c r="D197" s="8"/>
    </row>
    <row r="198" spans="2:4">
      <c r="B198" s="8"/>
      <c r="C198" s="8"/>
      <c r="D198" s="8"/>
    </row>
    <row r="199" spans="2:4">
      <c r="B199" s="8"/>
      <c r="C199" s="8"/>
      <c r="D199" s="8"/>
    </row>
    <row r="200" spans="2:4">
      <c r="B200" s="8"/>
      <c r="C200" s="8"/>
      <c r="D200" s="8"/>
    </row>
    <row r="201" spans="2:4">
      <c r="B201" s="8"/>
      <c r="C201" s="8"/>
      <c r="D201" s="8"/>
    </row>
    <row r="202" spans="2:4">
      <c r="B202" s="8"/>
      <c r="C202" s="8"/>
      <c r="D202" s="8"/>
    </row>
    <row r="203" spans="2:4">
      <c r="B203" s="8"/>
      <c r="C203" s="8"/>
      <c r="D203" s="8"/>
    </row>
    <row r="204" spans="2:4">
      <c r="B204" s="8"/>
      <c r="C204" s="8"/>
      <c r="D204" s="8"/>
    </row>
    <row r="205" spans="2:4">
      <c r="B205" s="8"/>
      <c r="C205" s="8"/>
      <c r="D205" s="8"/>
    </row>
    <row r="206" spans="2:4">
      <c r="B206" s="8"/>
      <c r="C206" s="8"/>
      <c r="D206" s="8"/>
    </row>
    <row r="207" spans="2:4">
      <c r="B207" s="8"/>
      <c r="C207" s="8"/>
      <c r="D207" s="8"/>
    </row>
    <row r="208" spans="2:4">
      <c r="B208" s="8"/>
      <c r="C208" s="8"/>
      <c r="D208" s="8"/>
    </row>
    <row r="209" spans="2:4">
      <c r="B209" s="8"/>
      <c r="C209" s="8"/>
      <c r="D209" s="8"/>
    </row>
    <row r="210" spans="2:4">
      <c r="B210" s="8"/>
      <c r="C210" s="8"/>
      <c r="D210" s="8"/>
    </row>
    <row r="211" spans="2:4">
      <c r="B211" s="8"/>
      <c r="C211" s="8"/>
      <c r="D211" s="8"/>
    </row>
    <row r="212" spans="2:4">
      <c r="B212" s="8"/>
      <c r="C212" s="8"/>
      <c r="D212" s="8"/>
    </row>
    <row r="213" spans="2:4">
      <c r="B213" s="8"/>
      <c r="C213" s="8"/>
      <c r="D213" s="8"/>
    </row>
    <row r="214" spans="2:4">
      <c r="B214" s="8"/>
      <c r="C214" s="8"/>
      <c r="D214" s="8"/>
    </row>
    <row r="215" spans="2:4">
      <c r="B215" s="8"/>
      <c r="C215" s="8"/>
      <c r="D215" s="8"/>
    </row>
    <row r="216" spans="2:4">
      <c r="B216" s="8"/>
      <c r="C216" s="8"/>
      <c r="D216" s="8"/>
    </row>
    <row r="217" spans="2:4">
      <c r="B217" s="8"/>
      <c r="C217" s="8"/>
      <c r="D217" s="8"/>
    </row>
    <row r="218" spans="2:4">
      <c r="B218" s="8"/>
      <c r="C218" s="8"/>
      <c r="D218" s="8"/>
    </row>
    <row r="219" spans="2:4">
      <c r="B219" s="8"/>
      <c r="C219" s="8"/>
      <c r="D219" s="8"/>
    </row>
    <row r="220" spans="2:4">
      <c r="B220" s="8"/>
      <c r="C220" s="8"/>
      <c r="D220" s="8"/>
    </row>
    <row r="221" spans="2:4">
      <c r="B221" s="8"/>
      <c r="C221" s="8"/>
      <c r="D221" s="8"/>
    </row>
    <row r="222" spans="2:4">
      <c r="B222" s="8"/>
      <c r="C222" s="8"/>
      <c r="D222" s="8"/>
    </row>
    <row r="223" spans="2:4">
      <c r="B223" s="8"/>
      <c r="C223" s="8"/>
      <c r="D223" s="8"/>
    </row>
    <row r="224" spans="2:4">
      <c r="B224" s="8"/>
      <c r="C224" s="8"/>
      <c r="D224" s="8"/>
    </row>
    <row r="225" spans="2:4">
      <c r="B225" s="8"/>
      <c r="C225" s="8"/>
      <c r="D225" s="8"/>
    </row>
    <row r="226" spans="2:4">
      <c r="B226" s="8"/>
      <c r="C226" s="8"/>
      <c r="D226" s="8"/>
    </row>
    <row r="227" spans="2:4">
      <c r="B227" s="8"/>
      <c r="C227" s="8"/>
      <c r="D227" s="8"/>
    </row>
    <row r="228" spans="2:4">
      <c r="B228" s="8"/>
      <c r="C228" s="8"/>
      <c r="D228" s="8"/>
    </row>
    <row r="229" spans="2:4">
      <c r="B229" s="8"/>
      <c r="C229" s="8"/>
      <c r="D229" s="8"/>
    </row>
    <row r="230" spans="2:4">
      <c r="B230" s="8"/>
      <c r="C230" s="8"/>
      <c r="D230" s="8"/>
    </row>
    <row r="231" spans="2:4">
      <c r="B231" s="8"/>
      <c r="C231" s="8"/>
      <c r="D231" s="8"/>
    </row>
    <row r="232" spans="2:4">
      <c r="B232" s="8"/>
      <c r="C232" s="8"/>
      <c r="D232" s="8"/>
    </row>
    <row r="233" spans="2:4">
      <c r="B233" s="8"/>
      <c r="C233" s="8"/>
      <c r="D233" s="8"/>
    </row>
    <row r="234" spans="2:4">
      <c r="B234" s="8"/>
      <c r="C234" s="8"/>
      <c r="D234" s="8"/>
    </row>
    <row r="235" spans="2:4">
      <c r="B235" s="8"/>
      <c r="C235" s="8"/>
      <c r="D235" s="8"/>
    </row>
    <row r="236" spans="2:4">
      <c r="B236" s="8"/>
      <c r="C236" s="8"/>
      <c r="D236" s="8"/>
    </row>
    <row r="237" spans="2:4">
      <c r="B237" s="8"/>
      <c r="C237" s="8"/>
      <c r="D237" s="8"/>
    </row>
    <row r="238" spans="2:4">
      <c r="B238" s="8"/>
      <c r="C238" s="8"/>
      <c r="D238" s="8"/>
    </row>
    <row r="239" spans="2:4">
      <c r="B239" s="8"/>
      <c r="C239" s="8"/>
      <c r="D239" s="8"/>
    </row>
    <row r="240" spans="2:4">
      <c r="B240" s="8"/>
      <c r="C240" s="8"/>
      <c r="D240" s="8"/>
    </row>
    <row r="241" spans="2:4">
      <c r="B241" s="8"/>
      <c r="C241" s="8"/>
      <c r="D241" s="8"/>
    </row>
    <row r="242" spans="2:4">
      <c r="B242" s="8"/>
      <c r="C242" s="8"/>
      <c r="D242" s="8"/>
    </row>
    <row r="243" spans="2:4">
      <c r="B243" s="8"/>
      <c r="C243" s="8"/>
      <c r="D243" s="8"/>
    </row>
    <row r="244" spans="2:4">
      <c r="B244" s="8"/>
      <c r="C244" s="8"/>
      <c r="D244" s="8"/>
    </row>
    <row r="245" spans="2:4">
      <c r="B245" s="8"/>
      <c r="C245" s="8"/>
      <c r="D245" s="8"/>
    </row>
    <row r="246" spans="2:4">
      <c r="B246" s="8"/>
      <c r="C246" s="8"/>
      <c r="D246" s="8"/>
    </row>
    <row r="247" spans="2:4">
      <c r="B247" s="8"/>
      <c r="C247" s="8"/>
      <c r="D247" s="8"/>
    </row>
    <row r="248" spans="2:4">
      <c r="B248" s="8"/>
      <c r="C248" s="8"/>
      <c r="D248" s="8"/>
    </row>
    <row r="249" spans="2:4">
      <c r="B249" s="8"/>
      <c r="C249" s="8"/>
      <c r="D249" s="8"/>
    </row>
    <row r="250" spans="2:4">
      <c r="B250" s="8"/>
      <c r="C250" s="8"/>
      <c r="D250" s="8"/>
    </row>
    <row r="251" spans="2:4">
      <c r="B251" s="8"/>
      <c r="C251" s="8"/>
      <c r="D251" s="8"/>
    </row>
    <row r="252" spans="2:4">
      <c r="B252" s="8"/>
      <c r="C252" s="8"/>
      <c r="D252" s="8"/>
    </row>
    <row r="253" spans="2:4">
      <c r="B253" s="8"/>
      <c r="C253" s="8"/>
      <c r="D253" s="8"/>
    </row>
    <row r="254" spans="2:4">
      <c r="B254" s="8"/>
      <c r="C254" s="8"/>
      <c r="D254" s="8"/>
    </row>
    <row r="255" spans="2:4">
      <c r="B255" s="8"/>
      <c r="C255" s="8"/>
      <c r="D255" s="8"/>
    </row>
    <row r="256" spans="2:4">
      <c r="B256" s="8"/>
      <c r="C256" s="8"/>
      <c r="D256" s="8"/>
    </row>
    <row r="257" spans="2:4">
      <c r="B257" s="8"/>
      <c r="C257" s="8"/>
      <c r="D257" s="8"/>
    </row>
    <row r="258" spans="2:4">
      <c r="B258" s="8"/>
      <c r="C258" s="8"/>
      <c r="D258" s="8"/>
    </row>
    <row r="259" spans="2:4">
      <c r="B259" s="8"/>
      <c r="C259" s="8"/>
      <c r="D259" s="8"/>
    </row>
    <row r="260" spans="2:4">
      <c r="B260" s="8"/>
      <c r="C260" s="8"/>
      <c r="D260" s="8"/>
    </row>
    <row r="261" spans="2:4">
      <c r="B261" s="8"/>
      <c r="C261" s="8"/>
      <c r="D261" s="8"/>
    </row>
    <row r="262" spans="2:4">
      <c r="B262" s="8"/>
      <c r="C262" s="8"/>
      <c r="D262" s="8"/>
    </row>
    <row r="263" spans="2:4">
      <c r="B263" s="8"/>
      <c r="C263" s="8"/>
      <c r="D263" s="8"/>
    </row>
    <row r="264" spans="2:4">
      <c r="B264" s="8"/>
      <c r="C264" s="8"/>
      <c r="D264" s="8"/>
    </row>
    <row r="265" spans="2:4">
      <c r="B265" s="8"/>
      <c r="C265" s="8"/>
      <c r="D265" s="8"/>
    </row>
    <row r="266" spans="2:4">
      <c r="B266" s="8"/>
      <c r="C266" s="8"/>
      <c r="D266" s="8"/>
    </row>
    <row r="267" spans="2:4">
      <c r="B267" s="8"/>
      <c r="C267" s="8"/>
      <c r="D267" s="8"/>
    </row>
    <row r="268" spans="2:4">
      <c r="B268" s="8"/>
      <c r="C268" s="8"/>
      <c r="D268" s="8"/>
    </row>
    <row r="269" spans="2:4">
      <c r="B269" s="8"/>
      <c r="C269" s="8"/>
      <c r="D269" s="8"/>
    </row>
    <row r="270" spans="2:4">
      <c r="B270" s="8"/>
      <c r="C270" s="8"/>
      <c r="D270" s="8"/>
    </row>
    <row r="271" spans="2:4">
      <c r="B271" s="8"/>
      <c r="C271" s="8"/>
      <c r="D271" s="8"/>
    </row>
    <row r="272" spans="2:4">
      <c r="B272" s="8"/>
      <c r="C272" s="8"/>
      <c r="D272" s="8"/>
    </row>
    <row r="273" spans="2:4">
      <c r="B273" s="8"/>
      <c r="C273" s="8"/>
      <c r="D273" s="8"/>
    </row>
    <row r="274" spans="2:4">
      <c r="B274" s="8"/>
      <c r="C274" s="8"/>
      <c r="D274" s="8"/>
    </row>
    <row r="275" spans="2:4">
      <c r="B275" s="8"/>
      <c r="C275" s="8"/>
      <c r="D275" s="8"/>
    </row>
    <row r="276" spans="2:4">
      <c r="B276" s="8"/>
      <c r="C276" s="8"/>
      <c r="D276" s="8"/>
    </row>
    <row r="277" spans="2:4">
      <c r="B277" s="8"/>
      <c r="C277" s="8"/>
      <c r="D277" s="8"/>
    </row>
    <row r="278" spans="2:4">
      <c r="B278" s="8"/>
      <c r="C278" s="8"/>
      <c r="D278" s="8"/>
    </row>
    <row r="279" spans="2:4">
      <c r="B279" s="8"/>
      <c r="C279" s="8"/>
      <c r="D279" s="8"/>
    </row>
    <row r="280" spans="2:4">
      <c r="B280" s="8"/>
      <c r="C280" s="8"/>
      <c r="D280" s="8"/>
    </row>
    <row r="281" spans="2:4">
      <c r="B281" s="8"/>
      <c r="C281" s="8"/>
      <c r="D281" s="8"/>
    </row>
    <row r="282" spans="2:4">
      <c r="B282" s="8"/>
      <c r="C282" s="8"/>
      <c r="D282" s="8"/>
    </row>
    <row r="283" spans="2:4">
      <c r="B283" s="8"/>
      <c r="C283" s="8"/>
      <c r="D283" s="8"/>
    </row>
    <row r="284" spans="2:4">
      <c r="B284" s="8"/>
      <c r="C284" s="8"/>
      <c r="D284" s="8"/>
    </row>
    <row r="285" spans="2:4">
      <c r="B285" s="8"/>
      <c r="C285" s="8"/>
      <c r="D285" s="8"/>
    </row>
    <row r="286" spans="2:4">
      <c r="B286" s="8"/>
      <c r="C286" s="8"/>
      <c r="D286" s="8"/>
    </row>
    <row r="287" spans="2:4">
      <c r="B287" s="8"/>
      <c r="C287" s="8"/>
      <c r="D287" s="8"/>
    </row>
    <row r="288" spans="2:4">
      <c r="B288" s="8"/>
      <c r="C288" s="8"/>
      <c r="D288" s="8"/>
    </row>
    <row r="289" spans="2:4">
      <c r="B289" s="8"/>
      <c r="C289" s="8"/>
      <c r="D289" s="8"/>
    </row>
    <row r="290" spans="2:4">
      <c r="B290" s="8"/>
      <c r="C290" s="8"/>
      <c r="D290" s="8"/>
    </row>
    <row r="291" spans="2:4">
      <c r="B291" s="8"/>
      <c r="C291" s="8"/>
      <c r="D291" s="8"/>
    </row>
    <row r="292" spans="2:4">
      <c r="B292" s="8"/>
      <c r="C292" s="8"/>
      <c r="D292" s="8"/>
    </row>
    <row r="293" spans="2:4">
      <c r="B293" s="8"/>
      <c r="C293" s="8"/>
      <c r="D293" s="8"/>
    </row>
    <row r="294" spans="2:4">
      <c r="B294" s="8"/>
      <c r="C294" s="8"/>
      <c r="D294" s="8"/>
    </row>
    <row r="295" spans="2:4">
      <c r="B295" s="8"/>
      <c r="C295" s="8"/>
      <c r="D295" s="8"/>
    </row>
    <row r="296" spans="2:4">
      <c r="B296" s="8"/>
      <c r="C296" s="8"/>
      <c r="D296" s="8"/>
    </row>
    <row r="297" spans="2:4">
      <c r="B297" s="8"/>
      <c r="C297" s="8"/>
      <c r="D297" s="8"/>
    </row>
    <row r="298" spans="2:4">
      <c r="B298" s="8"/>
      <c r="C298" s="8"/>
      <c r="D298" s="8"/>
    </row>
    <row r="299" spans="2:4">
      <c r="B299" s="8"/>
      <c r="C299" s="8"/>
      <c r="D299" s="8"/>
    </row>
    <row r="300" spans="2:4">
      <c r="B300" s="8"/>
      <c r="C300" s="8"/>
      <c r="D300" s="8"/>
    </row>
    <row r="301" spans="2:4">
      <c r="B301" s="8"/>
      <c r="C301" s="8"/>
      <c r="D301" s="8"/>
    </row>
    <row r="302" spans="2:4">
      <c r="B302" s="8"/>
      <c r="C302" s="8"/>
      <c r="D302" s="8"/>
    </row>
    <row r="303" spans="2:4">
      <c r="B303" s="8"/>
      <c r="C303" s="8"/>
      <c r="D303" s="8"/>
    </row>
    <row r="304" spans="2:4">
      <c r="B304" s="8"/>
      <c r="C304" s="8"/>
      <c r="D304" s="8"/>
    </row>
    <row r="305" spans="2:4">
      <c r="B305" s="8"/>
      <c r="C305" s="8"/>
      <c r="D305" s="8"/>
    </row>
    <row r="306" spans="2:4">
      <c r="B306" s="8"/>
      <c r="C306" s="8"/>
      <c r="D306" s="8"/>
    </row>
    <row r="307" spans="2:4">
      <c r="B307" s="8"/>
      <c r="C307" s="8"/>
      <c r="D307" s="8"/>
    </row>
    <row r="308" spans="2:4">
      <c r="B308" s="8"/>
      <c r="C308" s="8"/>
      <c r="D308" s="8"/>
    </row>
    <row r="309" spans="2:4">
      <c r="B309" s="8"/>
      <c r="C309" s="8"/>
      <c r="D309" s="8"/>
    </row>
    <row r="310" spans="2:4">
      <c r="B310" s="8"/>
      <c r="C310" s="8"/>
      <c r="D310" s="8"/>
    </row>
    <row r="311" spans="2:4">
      <c r="B311" s="8"/>
      <c r="C311" s="8"/>
      <c r="D311" s="8"/>
    </row>
    <row r="312" spans="2:4">
      <c r="B312" s="8"/>
      <c r="C312" s="8"/>
      <c r="D312" s="8"/>
    </row>
    <row r="313" spans="2:4">
      <c r="B313" s="8"/>
      <c r="C313" s="8"/>
      <c r="D313" s="8"/>
    </row>
    <row r="314" spans="2:4">
      <c r="B314" s="8"/>
      <c r="C314" s="8"/>
      <c r="D314" s="8"/>
    </row>
    <row r="315" spans="2:4">
      <c r="B315" s="8"/>
      <c r="C315" s="8"/>
      <c r="D315" s="8"/>
    </row>
    <row r="316" spans="2:4">
      <c r="B316" s="8"/>
      <c r="C316" s="8"/>
      <c r="D316" s="8"/>
    </row>
    <row r="317" spans="2:4">
      <c r="B317" s="8"/>
      <c r="C317" s="8"/>
      <c r="D317" s="8"/>
    </row>
    <row r="318" spans="2:4">
      <c r="B318" s="8"/>
      <c r="C318" s="8"/>
      <c r="D318" s="8"/>
    </row>
    <row r="319" spans="2:4">
      <c r="B319" s="8"/>
      <c r="C319" s="8"/>
      <c r="D319" s="8"/>
    </row>
    <row r="320" spans="2:4">
      <c r="B320" s="8"/>
      <c r="C320" s="8"/>
      <c r="D320" s="8"/>
    </row>
    <row r="321" spans="2:4">
      <c r="B321" s="8"/>
      <c r="C321" s="8"/>
      <c r="D321" s="8"/>
    </row>
    <row r="322" spans="2:4">
      <c r="B322" s="8"/>
      <c r="C322" s="8"/>
      <c r="D322" s="8"/>
    </row>
    <row r="323" spans="2:4">
      <c r="B323" s="8"/>
      <c r="C323" s="8"/>
      <c r="D323" s="8"/>
    </row>
    <row r="324" spans="2:4">
      <c r="B324" s="8"/>
      <c r="C324" s="8"/>
      <c r="D324" s="8"/>
    </row>
    <row r="325" spans="2:4">
      <c r="B325" s="8"/>
      <c r="C325" s="8"/>
      <c r="D325" s="8"/>
    </row>
    <row r="326" spans="2:4">
      <c r="B326" s="8"/>
      <c r="C326" s="8"/>
      <c r="D326" s="8"/>
    </row>
    <row r="327" spans="2:4">
      <c r="B327" s="8"/>
      <c r="C327" s="8"/>
      <c r="D327" s="8"/>
    </row>
    <row r="328" spans="2:4">
      <c r="B328" s="8"/>
      <c r="C328" s="8"/>
      <c r="D328" s="8"/>
    </row>
    <row r="329" spans="2:4">
      <c r="B329" s="8"/>
      <c r="C329" s="8"/>
      <c r="D329" s="8"/>
    </row>
    <row r="330" spans="2:4">
      <c r="B330" s="8"/>
      <c r="C330" s="8"/>
      <c r="D330" s="8"/>
    </row>
    <row r="331" spans="2:4">
      <c r="B331" s="8"/>
      <c r="C331" s="8"/>
      <c r="D331" s="8"/>
    </row>
    <row r="332" spans="2:4">
      <c r="B332" s="8"/>
      <c r="C332" s="8"/>
      <c r="D332" s="8"/>
    </row>
    <row r="333" spans="2:4">
      <c r="B333" s="8"/>
      <c r="C333" s="8"/>
      <c r="D333" s="8"/>
    </row>
    <row r="334" spans="2:4">
      <c r="B334" s="8"/>
      <c r="C334" s="8"/>
      <c r="D334" s="8"/>
    </row>
    <row r="335" spans="2:4">
      <c r="B335" s="8"/>
      <c r="C335" s="8"/>
      <c r="D335" s="8"/>
    </row>
    <row r="336" spans="2:4">
      <c r="B336" s="8"/>
      <c r="C336" s="8"/>
      <c r="D336" s="8"/>
    </row>
    <row r="337" spans="2:4">
      <c r="B337" s="8"/>
      <c r="C337" s="8"/>
      <c r="D337" s="8"/>
    </row>
    <row r="338" spans="2:4">
      <c r="B338" s="8"/>
      <c r="C338" s="8"/>
      <c r="D338" s="8"/>
    </row>
    <row r="339" spans="2:4">
      <c r="B339" s="8"/>
      <c r="C339" s="8"/>
      <c r="D339" s="8"/>
    </row>
    <row r="340" spans="2:4">
      <c r="B340" s="8"/>
      <c r="C340" s="8"/>
      <c r="D340" s="8"/>
    </row>
    <row r="341" spans="2:4">
      <c r="B341" s="8"/>
      <c r="C341" s="8"/>
      <c r="D341" s="8"/>
    </row>
    <row r="342" spans="2:4">
      <c r="B342" s="8"/>
      <c r="C342" s="8"/>
      <c r="D342" s="8"/>
    </row>
    <row r="343" spans="2:4">
      <c r="B343" s="8"/>
      <c r="C343" s="8"/>
      <c r="D343" s="8"/>
    </row>
    <row r="344" spans="2:4">
      <c r="B344" s="8"/>
      <c r="C344" s="8"/>
      <c r="D344" s="8"/>
    </row>
    <row r="345" spans="2:4">
      <c r="B345" s="8"/>
      <c r="C345" s="8"/>
      <c r="D345" s="8"/>
    </row>
    <row r="346" spans="2:4">
      <c r="B346" s="8"/>
      <c r="C346" s="8"/>
      <c r="D346" s="8"/>
    </row>
    <row r="347" spans="2:4">
      <c r="B347" s="8"/>
      <c r="C347" s="8"/>
      <c r="D347" s="8"/>
    </row>
    <row r="348" spans="2:4">
      <c r="B348" s="8"/>
      <c r="C348" s="8"/>
      <c r="D348" s="8"/>
    </row>
    <row r="349" spans="2:4">
      <c r="B349" s="8"/>
      <c r="C349" s="8"/>
      <c r="D349" s="8"/>
    </row>
    <row r="350" spans="2:4">
      <c r="B350" s="8"/>
      <c r="C350" s="8"/>
      <c r="D350" s="8"/>
    </row>
    <row r="351" spans="2:4">
      <c r="B351" s="8"/>
      <c r="C351" s="8"/>
      <c r="D351" s="8"/>
    </row>
    <row r="352" spans="2:4">
      <c r="B352" s="8"/>
      <c r="C352" s="8"/>
      <c r="D352" s="8"/>
    </row>
    <row r="353" spans="2:4">
      <c r="B353" s="8"/>
      <c r="C353" s="8"/>
      <c r="D353" s="8"/>
    </row>
    <row r="354" spans="2:4">
      <c r="B354" s="8"/>
      <c r="C354" s="8"/>
      <c r="D354" s="8"/>
    </row>
    <row r="355" spans="2:4">
      <c r="B355" s="8"/>
      <c r="C355" s="8"/>
      <c r="D355" s="8"/>
    </row>
    <row r="356" spans="2:4">
      <c r="B356" s="8"/>
      <c r="C356" s="8"/>
      <c r="D356" s="8"/>
    </row>
    <row r="357" spans="2:4">
      <c r="B357" s="8"/>
      <c r="C357" s="8"/>
      <c r="D357" s="8"/>
    </row>
    <row r="358" spans="2:4">
      <c r="B358" s="8"/>
      <c r="C358" s="8"/>
      <c r="D358" s="8"/>
    </row>
    <row r="359" spans="2:4">
      <c r="B359" s="8"/>
      <c r="C359" s="8"/>
      <c r="D359" s="8"/>
    </row>
    <row r="360" spans="2:4">
      <c r="B360" s="8"/>
      <c r="C360" s="8"/>
      <c r="D360" s="8"/>
    </row>
    <row r="361" spans="2:4">
      <c r="B361" s="8"/>
      <c r="C361" s="8"/>
      <c r="D361" s="8"/>
    </row>
    <row r="362" spans="2:4">
      <c r="B362" s="8"/>
      <c r="C362" s="8"/>
      <c r="D362" s="8"/>
    </row>
    <row r="363" spans="2:4">
      <c r="B363" s="8"/>
      <c r="C363" s="8"/>
      <c r="D363" s="8"/>
    </row>
    <row r="364" spans="2:4">
      <c r="B364" s="8"/>
      <c r="C364" s="8"/>
      <c r="D364" s="8"/>
    </row>
    <row r="365" spans="2:4">
      <c r="B365" s="8"/>
      <c r="C365" s="8"/>
      <c r="D365" s="8"/>
    </row>
    <row r="366" spans="2:4">
      <c r="B366" s="8"/>
      <c r="C366" s="8"/>
      <c r="D366" s="8"/>
    </row>
    <row r="367" spans="2:4">
      <c r="B367" s="8"/>
      <c r="C367" s="8"/>
      <c r="D367" s="8"/>
    </row>
    <row r="368" spans="2:4">
      <c r="B368" s="8"/>
      <c r="C368" s="8"/>
      <c r="D368" s="8"/>
    </row>
    <row r="369" spans="2:4">
      <c r="B369" s="8"/>
      <c r="C369" s="8"/>
      <c r="D369" s="8"/>
    </row>
    <row r="370" spans="2:4">
      <c r="B370" s="8"/>
      <c r="C370" s="8"/>
      <c r="D370" s="8"/>
    </row>
    <row r="371" spans="2:4">
      <c r="B371" s="8"/>
      <c r="C371" s="8"/>
      <c r="D371" s="8"/>
    </row>
    <row r="372" spans="2:4">
      <c r="B372" s="8"/>
      <c r="C372" s="8"/>
      <c r="D372" s="8"/>
    </row>
    <row r="373" spans="2:4">
      <c r="B373" s="8"/>
      <c r="C373" s="8"/>
      <c r="D373" s="8"/>
    </row>
    <row r="374" spans="2:4">
      <c r="B374" s="8"/>
      <c r="C374" s="8"/>
      <c r="D374" s="8"/>
    </row>
    <row r="375" spans="2:4">
      <c r="B375" s="8"/>
      <c r="C375" s="8"/>
      <c r="D375" s="8"/>
    </row>
    <row r="376" spans="2:4">
      <c r="B376" s="8"/>
      <c r="C376" s="8"/>
      <c r="D376" s="8"/>
    </row>
    <row r="377" spans="2:4">
      <c r="B377" s="8"/>
      <c r="C377" s="8"/>
      <c r="D377" s="8"/>
    </row>
    <row r="378" spans="2:4">
      <c r="B378" s="8"/>
      <c r="C378" s="8"/>
      <c r="D378" s="8"/>
    </row>
    <row r="379" spans="2:4">
      <c r="B379" s="8"/>
      <c r="C379" s="8"/>
      <c r="D379" s="8"/>
    </row>
    <row r="380" spans="2:4">
      <c r="B380" s="8"/>
      <c r="C380" s="8"/>
      <c r="D380" s="8"/>
    </row>
    <row r="381" spans="2:4">
      <c r="B381" s="8"/>
      <c r="C381" s="8"/>
      <c r="D381" s="8"/>
    </row>
    <row r="382" spans="2:4">
      <c r="B382" s="8"/>
      <c r="C382" s="8"/>
      <c r="D382" s="8"/>
    </row>
    <row r="383" spans="2:4">
      <c r="B383" s="8"/>
      <c r="C383" s="8"/>
      <c r="D383" s="8"/>
    </row>
    <row r="384" spans="2:4">
      <c r="B384" s="8"/>
      <c r="C384" s="8"/>
      <c r="D384" s="8"/>
    </row>
    <row r="385" spans="2:4">
      <c r="B385" s="8"/>
      <c r="C385" s="8"/>
      <c r="D385" s="8"/>
    </row>
    <row r="386" spans="2:4">
      <c r="B386" s="8"/>
      <c r="C386" s="8"/>
      <c r="D386" s="8"/>
    </row>
    <row r="387" spans="2:4">
      <c r="B387" s="8"/>
      <c r="C387" s="8"/>
      <c r="D387" s="8"/>
    </row>
    <row r="388" spans="2:4">
      <c r="B388" s="8"/>
      <c r="C388" s="8"/>
      <c r="D388" s="8"/>
    </row>
    <row r="389" spans="2:4">
      <c r="B389" s="8"/>
      <c r="C389" s="8"/>
      <c r="D389" s="8"/>
    </row>
    <row r="390" spans="2:4">
      <c r="B390" s="8"/>
      <c r="C390" s="8"/>
      <c r="D390" s="8"/>
    </row>
    <row r="391" spans="2:4">
      <c r="B391" s="8"/>
      <c r="C391" s="8"/>
      <c r="D391" s="8"/>
    </row>
    <row r="392" spans="2:4">
      <c r="B392" s="8"/>
      <c r="C392" s="8"/>
      <c r="D392" s="8"/>
    </row>
    <row r="393" spans="2:4">
      <c r="B393" s="8"/>
      <c r="C393" s="8"/>
      <c r="D393" s="8"/>
    </row>
    <row r="394" spans="2:4">
      <c r="B394" s="8"/>
      <c r="C394" s="8"/>
      <c r="D394" s="8"/>
    </row>
    <row r="395" spans="2:4">
      <c r="B395" s="8"/>
      <c r="C395" s="8"/>
      <c r="D395" s="8"/>
    </row>
    <row r="396" spans="2:4">
      <c r="B396" s="8"/>
      <c r="C396" s="8"/>
      <c r="D396" s="8"/>
    </row>
    <row r="397" spans="2:4">
      <c r="B397" s="8"/>
      <c r="C397" s="8"/>
      <c r="D397" s="8"/>
    </row>
    <row r="398" spans="2:4">
      <c r="B398" s="8"/>
      <c r="C398" s="8"/>
      <c r="D398" s="8"/>
    </row>
    <row r="399" spans="2:4">
      <c r="B399" s="8"/>
      <c r="C399" s="8"/>
      <c r="D399" s="8"/>
    </row>
    <row r="400" spans="2:4">
      <c r="B400" s="8"/>
      <c r="C400" s="8"/>
      <c r="D400" s="8"/>
    </row>
    <row r="401" spans="2:4">
      <c r="B401" s="8"/>
      <c r="C401" s="8"/>
      <c r="D401" s="8"/>
    </row>
    <row r="402" spans="2:4">
      <c r="B402" s="8"/>
      <c r="C402" s="8"/>
      <c r="D402" s="8"/>
    </row>
    <row r="403" spans="2:4">
      <c r="B403" s="8"/>
      <c r="C403" s="8"/>
      <c r="D403" s="8"/>
    </row>
    <row r="404" spans="2:4">
      <c r="B404" s="8"/>
      <c r="C404" s="8"/>
      <c r="D404" s="8"/>
    </row>
    <row r="405" spans="2:4">
      <c r="B405" s="8"/>
      <c r="C405" s="8"/>
      <c r="D405" s="8"/>
    </row>
    <row r="406" spans="2:4">
      <c r="B406" s="8"/>
      <c r="C406" s="8"/>
      <c r="D406" s="8"/>
    </row>
    <row r="407" spans="2:4">
      <c r="B407" s="8"/>
      <c r="C407" s="8"/>
      <c r="D407" s="8"/>
    </row>
    <row r="408" spans="2:4">
      <c r="B408" s="8"/>
      <c r="C408" s="8"/>
      <c r="D408" s="8"/>
    </row>
    <row r="409" spans="2:4">
      <c r="B409" s="8"/>
      <c r="C409" s="8"/>
      <c r="D409" s="8"/>
    </row>
    <row r="410" spans="2:4">
      <c r="B410" s="8"/>
      <c r="C410" s="8"/>
      <c r="D410" s="8"/>
    </row>
    <row r="411" spans="2:4">
      <c r="B411" s="8"/>
      <c r="C411" s="8"/>
      <c r="D411" s="8"/>
    </row>
    <row r="412" spans="2:4">
      <c r="B412" s="8"/>
      <c r="C412" s="8"/>
      <c r="D412" s="8"/>
    </row>
    <row r="413" spans="2:4">
      <c r="B413" s="8"/>
      <c r="C413" s="8"/>
      <c r="D413" s="8"/>
    </row>
    <row r="414" spans="2:4">
      <c r="B414" s="8"/>
      <c r="C414" s="8"/>
      <c r="D414" s="8"/>
    </row>
    <row r="415" spans="2:4">
      <c r="B415" s="8"/>
      <c r="C415" s="8"/>
      <c r="D415" s="8"/>
    </row>
    <row r="416" spans="2:4">
      <c r="B416" s="8"/>
      <c r="C416" s="8"/>
      <c r="D416" s="8"/>
    </row>
    <row r="417" spans="2:4">
      <c r="B417" s="8"/>
      <c r="C417" s="8"/>
      <c r="D417" s="8"/>
    </row>
    <row r="418" spans="2:4">
      <c r="B418" s="8"/>
      <c r="C418" s="8"/>
      <c r="D418" s="8"/>
    </row>
    <row r="419" spans="2:4">
      <c r="B419" s="8"/>
      <c r="C419" s="8"/>
      <c r="D419" s="8"/>
    </row>
    <row r="420" spans="2:4">
      <c r="B420" s="8"/>
      <c r="C420" s="8"/>
      <c r="D420" s="8"/>
    </row>
    <row r="421" spans="2:4">
      <c r="B421" s="8"/>
      <c r="C421" s="8"/>
      <c r="D421" s="8"/>
    </row>
    <row r="422" spans="2:4">
      <c r="B422" s="8"/>
      <c r="C422" s="8"/>
      <c r="D422" s="8"/>
    </row>
    <row r="423" spans="2:4">
      <c r="B423" s="8"/>
      <c r="C423" s="8"/>
      <c r="D423" s="8"/>
    </row>
    <row r="424" spans="2:4">
      <c r="B424" s="8"/>
      <c r="C424" s="8"/>
      <c r="D424" s="8"/>
    </row>
    <row r="425" spans="2:4">
      <c r="B425" s="8"/>
      <c r="C425" s="8"/>
      <c r="D425" s="8"/>
    </row>
    <row r="426" spans="2:4">
      <c r="B426" s="8"/>
      <c r="C426" s="8"/>
      <c r="D426" s="8"/>
    </row>
    <row r="427" spans="2:4">
      <c r="B427" s="8"/>
      <c r="C427" s="8"/>
      <c r="D427" s="8"/>
    </row>
    <row r="428" spans="2:4">
      <c r="B428" s="8"/>
      <c r="C428" s="8"/>
      <c r="D428" s="8"/>
    </row>
    <row r="429" spans="2:4">
      <c r="B429" s="8"/>
      <c r="C429" s="8"/>
      <c r="D429" s="8"/>
    </row>
    <row r="430" spans="2:4">
      <c r="B430" s="8"/>
      <c r="C430" s="8"/>
      <c r="D430" s="8"/>
    </row>
    <row r="431" spans="2:4">
      <c r="B431" s="8"/>
      <c r="C431" s="8"/>
      <c r="D431" s="8"/>
    </row>
    <row r="432" spans="2:4">
      <c r="B432" s="8"/>
      <c r="C432" s="8"/>
      <c r="D432" s="8"/>
    </row>
    <row r="433" spans="2:4">
      <c r="B433" s="8"/>
      <c r="C433" s="8"/>
      <c r="D433" s="8"/>
    </row>
    <row r="434" spans="2:4">
      <c r="B434" s="8"/>
      <c r="C434" s="8"/>
      <c r="D434" s="8"/>
    </row>
    <row r="435" spans="2:4">
      <c r="B435" s="8"/>
      <c r="C435" s="8"/>
      <c r="D435" s="8"/>
    </row>
    <row r="436" spans="2:4">
      <c r="B436" s="8"/>
      <c r="C436" s="8"/>
      <c r="D436" s="8"/>
    </row>
    <row r="437" spans="2:4">
      <c r="B437" s="8"/>
      <c r="C437" s="8"/>
      <c r="D437" s="8"/>
    </row>
    <row r="438" spans="2:4">
      <c r="B438" s="8"/>
      <c r="C438" s="8"/>
      <c r="D438" s="8"/>
    </row>
    <row r="439" spans="2:4">
      <c r="B439" s="8"/>
      <c r="C439" s="8"/>
      <c r="D439" s="8"/>
    </row>
    <row r="440" spans="2:4">
      <c r="B440" s="8"/>
      <c r="C440" s="8"/>
      <c r="D440" s="8"/>
    </row>
    <row r="441" spans="2:4">
      <c r="B441" s="8"/>
      <c r="C441" s="8"/>
      <c r="D441" s="8"/>
    </row>
    <row r="442" spans="2:4">
      <c r="B442" s="8"/>
      <c r="C442" s="8"/>
      <c r="D442" s="8"/>
    </row>
    <row r="443" spans="2:4">
      <c r="B443" s="8"/>
      <c r="C443" s="8"/>
      <c r="D443" s="8"/>
    </row>
    <row r="444" spans="2:4">
      <c r="B444" s="8"/>
      <c r="C444" s="8"/>
      <c r="D444" s="8"/>
    </row>
    <row r="445" spans="2:4">
      <c r="B445" s="8"/>
      <c r="C445" s="8"/>
      <c r="D445" s="8"/>
    </row>
    <row r="446" spans="2:4">
      <c r="B446" s="8"/>
      <c r="C446" s="8"/>
      <c r="D446" s="8"/>
    </row>
    <row r="447" spans="2:4">
      <c r="B447" s="8"/>
      <c r="C447" s="8"/>
      <c r="D447" s="8"/>
    </row>
    <row r="448" spans="2:4">
      <c r="B448" s="8"/>
      <c r="C448" s="8"/>
      <c r="D448" s="8"/>
    </row>
    <row r="449" spans="2:4">
      <c r="B449" s="8"/>
      <c r="C449" s="8"/>
      <c r="D449" s="8"/>
    </row>
    <row r="450" spans="2:4">
      <c r="B450" s="8"/>
      <c r="C450" s="8"/>
      <c r="D450" s="8"/>
    </row>
    <row r="451" spans="2:4">
      <c r="B451" s="8"/>
      <c r="C451" s="8"/>
      <c r="D451" s="8"/>
    </row>
    <row r="452" spans="2:4">
      <c r="B452" s="8"/>
      <c r="C452" s="8"/>
      <c r="D452" s="8"/>
    </row>
    <row r="453" spans="2:4">
      <c r="B453" s="8"/>
      <c r="C453" s="8"/>
      <c r="D453" s="8"/>
    </row>
    <row r="454" spans="2:4">
      <c r="B454" s="8"/>
      <c r="C454" s="8"/>
      <c r="D454" s="8"/>
    </row>
    <row r="455" spans="2:4">
      <c r="B455" s="8"/>
      <c r="C455" s="8"/>
      <c r="D455" s="8"/>
    </row>
    <row r="456" spans="2:4">
      <c r="B456" s="8"/>
      <c r="C456" s="8"/>
      <c r="D456" s="8"/>
    </row>
    <row r="457" spans="2:4">
      <c r="B457" s="8"/>
      <c r="C457" s="8"/>
      <c r="D457" s="8"/>
    </row>
    <row r="458" spans="2:4">
      <c r="B458" s="8"/>
      <c r="C458" s="8"/>
      <c r="D458" s="8"/>
    </row>
    <row r="459" spans="2:4">
      <c r="B459" s="8"/>
      <c r="C459" s="8"/>
      <c r="D459" s="8"/>
    </row>
    <row r="460" spans="2:4">
      <c r="B460" s="8"/>
      <c r="C460" s="8"/>
      <c r="D460" s="8"/>
    </row>
    <row r="461" spans="2:4">
      <c r="B461" s="8"/>
      <c r="C461" s="8"/>
      <c r="D461" s="8"/>
    </row>
    <row r="462" spans="2:4">
      <c r="B462" s="8"/>
      <c r="C462" s="8"/>
      <c r="D462" s="8"/>
    </row>
    <row r="463" spans="2:4">
      <c r="B463" s="8"/>
      <c r="C463" s="8"/>
      <c r="D463" s="8"/>
    </row>
    <row r="464" spans="2:4">
      <c r="B464" s="8"/>
      <c r="C464" s="8"/>
      <c r="D464" s="8"/>
    </row>
    <row r="465" spans="2:4">
      <c r="B465" s="8"/>
      <c r="C465" s="8"/>
      <c r="D465" s="8"/>
    </row>
    <row r="466" spans="2:4">
      <c r="B466" s="8"/>
      <c r="C466" s="8"/>
      <c r="D466" s="8"/>
    </row>
    <row r="467" spans="2:4">
      <c r="B467" s="8"/>
      <c r="C467" s="8"/>
      <c r="D467" s="8"/>
    </row>
    <row r="468" spans="2:4">
      <c r="B468" s="8"/>
      <c r="C468" s="8"/>
      <c r="D468" s="8"/>
    </row>
    <row r="469" spans="2:4">
      <c r="B469" s="8"/>
      <c r="C469" s="8"/>
      <c r="D469" s="8"/>
    </row>
    <row r="470" spans="2:4">
      <c r="B470" s="8"/>
      <c r="C470" s="8"/>
      <c r="D470" s="8"/>
    </row>
    <row r="471" spans="2:4">
      <c r="B471" s="8"/>
      <c r="C471" s="8"/>
      <c r="D471" s="8"/>
    </row>
    <row r="472" spans="2:4">
      <c r="B472" s="8"/>
      <c r="C472" s="8"/>
      <c r="D472" s="8"/>
    </row>
    <row r="473" spans="2:4">
      <c r="B473" s="8"/>
      <c r="C473" s="8"/>
      <c r="D473" s="8"/>
    </row>
    <row r="474" spans="2:4">
      <c r="B474" s="8"/>
      <c r="C474" s="8"/>
      <c r="D474" s="8"/>
    </row>
    <row r="475" spans="2:4">
      <c r="B475" s="8"/>
      <c r="C475" s="8"/>
      <c r="D475" s="8"/>
    </row>
    <row r="476" spans="2:4">
      <c r="B476" s="8"/>
      <c r="C476" s="8"/>
      <c r="D476" s="8"/>
    </row>
    <row r="477" spans="2:4">
      <c r="B477" s="8"/>
      <c r="C477" s="8"/>
      <c r="D477" s="8"/>
    </row>
    <row r="478" spans="2:4">
      <c r="B478" s="8"/>
      <c r="C478" s="8"/>
      <c r="D478" s="8"/>
    </row>
    <row r="479" spans="2:4">
      <c r="B479" s="8"/>
      <c r="C479" s="8"/>
      <c r="D479" s="8"/>
    </row>
    <row r="480" spans="2:4">
      <c r="B480" s="8"/>
      <c r="C480" s="8"/>
      <c r="D480" s="8"/>
    </row>
    <row r="481" spans="2:4">
      <c r="B481" s="8"/>
      <c r="C481" s="8"/>
      <c r="D481" s="8"/>
    </row>
    <row r="482" spans="2:4">
      <c r="B482" s="8"/>
      <c r="C482" s="8"/>
      <c r="D482" s="8"/>
    </row>
    <row r="483" spans="2:4">
      <c r="B483" s="8"/>
      <c r="C483" s="8"/>
      <c r="D483" s="8"/>
    </row>
    <row r="484" spans="2:4">
      <c r="B484" s="8"/>
      <c r="C484" s="8"/>
      <c r="D484" s="8"/>
    </row>
    <row r="485" spans="2:4">
      <c r="B485" s="8"/>
      <c r="C485" s="8"/>
      <c r="D485" s="8"/>
    </row>
    <row r="486" spans="2:4">
      <c r="B486" s="8"/>
      <c r="C486" s="8"/>
      <c r="D486" s="8"/>
    </row>
    <row r="487" spans="2:4">
      <c r="B487" s="8"/>
      <c r="C487" s="8"/>
      <c r="D487" s="8"/>
    </row>
    <row r="488" spans="2:4">
      <c r="B488" s="8"/>
      <c r="C488" s="8"/>
      <c r="D488" s="8"/>
    </row>
    <row r="489" spans="2:4">
      <c r="B489" s="8"/>
      <c r="C489" s="8"/>
      <c r="D489" s="8"/>
    </row>
    <row r="490" spans="2:4">
      <c r="B490" s="8"/>
      <c r="C490" s="8"/>
      <c r="D490" s="8"/>
    </row>
    <row r="491" spans="2:4">
      <c r="B491" s="8"/>
      <c r="C491" s="8"/>
      <c r="D491" s="8"/>
    </row>
    <row r="492" spans="2:4">
      <c r="B492" s="8"/>
      <c r="C492" s="8"/>
      <c r="D492" s="8"/>
    </row>
    <row r="493" spans="2:4">
      <c r="B493" s="8"/>
      <c r="C493" s="8"/>
      <c r="D493" s="8"/>
    </row>
    <row r="494" spans="2:4">
      <c r="B494" s="8"/>
      <c r="C494" s="8"/>
      <c r="D494" s="8"/>
    </row>
    <row r="495" spans="2:4">
      <c r="B495" s="8"/>
      <c r="C495" s="8"/>
      <c r="D495" s="8"/>
    </row>
    <row r="496" spans="2:4">
      <c r="B496" s="8"/>
      <c r="C496" s="8"/>
      <c r="D496" s="8"/>
    </row>
    <row r="497" spans="2:4">
      <c r="B497" s="8"/>
      <c r="C497" s="8"/>
      <c r="D497" s="8"/>
    </row>
    <row r="498" spans="2:4">
      <c r="B498" s="8"/>
      <c r="C498" s="8"/>
      <c r="D498" s="8"/>
    </row>
    <row r="499" spans="2:4">
      <c r="B499" s="8"/>
      <c r="C499" s="8"/>
      <c r="D499" s="8"/>
    </row>
    <row r="500" spans="2:4">
      <c r="B500" s="8"/>
      <c r="C500" s="8"/>
      <c r="D500" s="8"/>
    </row>
    <row r="501" spans="2:4">
      <c r="B501" s="8"/>
      <c r="C501" s="8"/>
      <c r="D501" s="8"/>
    </row>
    <row r="502" spans="2:4">
      <c r="B502" s="8"/>
      <c r="C502" s="8"/>
      <c r="D502" s="8"/>
    </row>
    <row r="503" spans="2:4">
      <c r="B503" s="8"/>
      <c r="C503" s="8"/>
      <c r="D503" s="8"/>
    </row>
    <row r="504" spans="2:4">
      <c r="B504" s="8"/>
      <c r="C504" s="8"/>
      <c r="D504" s="8"/>
    </row>
    <row r="505" spans="2:4">
      <c r="B505" s="8"/>
      <c r="C505" s="8"/>
      <c r="D505" s="8"/>
    </row>
    <row r="506" spans="2:4">
      <c r="B506" s="8"/>
      <c r="C506" s="8"/>
      <c r="D506" s="8"/>
    </row>
    <row r="507" spans="2:4">
      <c r="B507" s="8"/>
      <c r="C507" s="8"/>
      <c r="D507" s="8"/>
    </row>
    <row r="508" spans="2:4">
      <c r="B508" s="8"/>
      <c r="C508" s="8"/>
      <c r="D508" s="8"/>
    </row>
    <row r="509" spans="2:4">
      <c r="B509" s="8"/>
      <c r="C509" s="8"/>
      <c r="D509" s="8"/>
    </row>
    <row r="510" spans="2:4">
      <c r="B510" s="8"/>
      <c r="C510" s="8"/>
      <c r="D510" s="8"/>
    </row>
    <row r="511" spans="2:4">
      <c r="B511" s="8"/>
      <c r="C511" s="8"/>
      <c r="D511" s="8"/>
    </row>
    <row r="512" spans="2:4">
      <c r="B512" s="8"/>
      <c r="C512" s="8"/>
      <c r="D512" s="8"/>
    </row>
    <row r="513" spans="2:4">
      <c r="B513" s="8"/>
      <c r="C513" s="8"/>
      <c r="D513" s="8"/>
    </row>
    <row r="514" spans="2:4">
      <c r="B514" s="8"/>
      <c r="C514" s="8"/>
      <c r="D514" s="8"/>
    </row>
    <row r="515" spans="2:4">
      <c r="B515" s="8"/>
      <c r="C515" s="8"/>
      <c r="D515" s="8"/>
    </row>
    <row r="516" spans="2:4">
      <c r="B516" s="8"/>
      <c r="C516" s="8"/>
      <c r="D516" s="8"/>
    </row>
    <row r="517" spans="2:4">
      <c r="B517" s="8"/>
      <c r="C517" s="8"/>
      <c r="D517" s="8"/>
    </row>
    <row r="518" spans="2:4">
      <c r="B518" s="8"/>
      <c r="C518" s="8"/>
      <c r="D518" s="8"/>
    </row>
    <row r="519" spans="2:4">
      <c r="B519" s="8"/>
      <c r="C519" s="8"/>
      <c r="D519" s="8"/>
    </row>
    <row r="520" spans="2:4">
      <c r="B520" s="8"/>
      <c r="C520" s="8"/>
      <c r="D520" s="8"/>
    </row>
    <row r="521" spans="2:4">
      <c r="B521" s="8"/>
      <c r="C521" s="8"/>
      <c r="D521" s="8"/>
    </row>
    <row r="522" spans="2:4">
      <c r="B522" s="8"/>
      <c r="C522" s="8"/>
      <c r="D522" s="8"/>
    </row>
    <row r="523" spans="2:4">
      <c r="B523" s="8"/>
      <c r="C523" s="8"/>
      <c r="D523" s="8"/>
    </row>
    <row r="524" spans="2:4">
      <c r="B524" s="8"/>
      <c r="C524" s="8"/>
      <c r="D524" s="8"/>
    </row>
    <row r="525" spans="2:4">
      <c r="B525" s="8"/>
      <c r="C525" s="8"/>
      <c r="D525" s="8"/>
    </row>
    <row r="526" spans="2:4">
      <c r="B526" s="8"/>
      <c r="C526" s="8"/>
      <c r="D526" s="8"/>
    </row>
    <row r="527" spans="2:4">
      <c r="B527" s="8"/>
      <c r="C527" s="8"/>
      <c r="D527" s="8"/>
    </row>
    <row r="528" spans="2:4">
      <c r="B528" s="8"/>
      <c r="C528" s="8"/>
      <c r="D528" s="8"/>
    </row>
    <row r="529" spans="2:4">
      <c r="B529" s="8"/>
      <c r="C529" s="8"/>
      <c r="D529" s="8"/>
    </row>
    <row r="530" spans="2:4">
      <c r="B530" s="8"/>
      <c r="C530" s="8"/>
      <c r="D530" s="8"/>
    </row>
    <row r="531" spans="2:4">
      <c r="B531" s="8"/>
      <c r="C531" s="8"/>
      <c r="D531" s="8"/>
    </row>
    <row r="532" spans="2:4">
      <c r="B532" s="8"/>
      <c r="C532" s="8"/>
      <c r="D532" s="8"/>
    </row>
    <row r="533" spans="2:4">
      <c r="B533" s="8"/>
      <c r="C533" s="8"/>
      <c r="D533" s="8"/>
    </row>
    <row r="534" spans="2:4">
      <c r="B534" s="8"/>
      <c r="C534" s="8"/>
      <c r="D534" s="8"/>
    </row>
    <row r="535" spans="2:4">
      <c r="B535" s="8"/>
      <c r="C535" s="8"/>
      <c r="D535" s="8"/>
    </row>
    <row r="536" spans="2:4">
      <c r="B536" s="8"/>
      <c r="C536" s="8"/>
      <c r="D536" s="8"/>
    </row>
    <row r="537" spans="2:4">
      <c r="B537" s="8"/>
      <c r="C537" s="8"/>
      <c r="D537" s="8"/>
    </row>
    <row r="538" spans="2:4">
      <c r="B538" s="8"/>
      <c r="C538" s="8"/>
      <c r="D538" s="8"/>
    </row>
    <row r="539" spans="2:4">
      <c r="B539" s="8"/>
      <c r="C539" s="8"/>
      <c r="D539" s="8"/>
    </row>
    <row r="540" spans="2:4">
      <c r="B540" s="8"/>
      <c r="C540" s="8"/>
      <c r="D540" s="8"/>
    </row>
    <row r="541" spans="2:4">
      <c r="B541" s="8"/>
      <c r="C541" s="8"/>
      <c r="D541" s="8"/>
    </row>
    <row r="542" spans="2:4">
      <c r="B542" s="8"/>
      <c r="C542" s="8"/>
      <c r="D542" s="8"/>
    </row>
    <row r="543" spans="2:4">
      <c r="B543" s="8"/>
      <c r="C543" s="8"/>
      <c r="D543" s="8"/>
    </row>
    <row r="544" spans="2:4">
      <c r="B544" s="8"/>
      <c r="C544" s="8"/>
      <c r="D544" s="8"/>
    </row>
    <row r="545" spans="2:4">
      <c r="B545" s="8"/>
      <c r="C545" s="8"/>
      <c r="D545" s="8"/>
    </row>
    <row r="546" spans="2:4">
      <c r="B546" s="8"/>
      <c r="C546" s="8"/>
      <c r="D546" s="8"/>
    </row>
    <row r="547" spans="2:4">
      <c r="B547" s="8"/>
      <c r="C547" s="8"/>
      <c r="D547" s="8"/>
    </row>
    <row r="548" spans="2:4">
      <c r="B548" s="8"/>
      <c r="C548" s="8"/>
      <c r="D548" s="8"/>
    </row>
    <row r="549" spans="2:4">
      <c r="B549" s="8"/>
      <c r="C549" s="8"/>
      <c r="D549" s="8"/>
    </row>
    <row r="550" spans="2:4">
      <c r="B550" s="8"/>
      <c r="C550" s="8"/>
      <c r="D550" s="8"/>
    </row>
    <row r="551" spans="2:4">
      <c r="B551" s="8"/>
      <c r="C551" s="8"/>
      <c r="D551" s="8"/>
    </row>
    <row r="552" spans="2:4">
      <c r="B552" s="8"/>
      <c r="C552" s="8"/>
      <c r="D552" s="8"/>
    </row>
    <row r="553" spans="2:4">
      <c r="B553" s="8"/>
      <c r="C553" s="8"/>
      <c r="D553" s="8"/>
    </row>
    <row r="554" spans="2:4">
      <c r="B554" s="8"/>
      <c r="C554" s="8"/>
      <c r="D554" s="8"/>
    </row>
    <row r="555" spans="2:4">
      <c r="B555" s="8"/>
      <c r="C555" s="8"/>
      <c r="D555" s="8"/>
    </row>
    <row r="556" spans="2:4">
      <c r="B556" s="8"/>
      <c r="C556" s="8"/>
      <c r="D556" s="8"/>
    </row>
    <row r="557" spans="2:4">
      <c r="B557" s="8"/>
      <c r="C557" s="8"/>
      <c r="D557" s="8"/>
    </row>
    <row r="558" spans="2:4">
      <c r="B558" s="8"/>
      <c r="C558" s="8"/>
      <c r="D558" s="8"/>
    </row>
    <row r="559" spans="2:4">
      <c r="B559" s="8"/>
      <c r="C559" s="8"/>
      <c r="D559" s="8"/>
    </row>
    <row r="560" spans="2:4">
      <c r="B560" s="8"/>
      <c r="C560" s="8"/>
      <c r="D560" s="8"/>
    </row>
    <row r="561" spans="2:4">
      <c r="B561" s="8"/>
      <c r="C561" s="8"/>
      <c r="D561" s="8"/>
    </row>
    <row r="562" spans="2:4">
      <c r="B562" s="8"/>
      <c r="C562" s="8"/>
      <c r="D562" s="8"/>
    </row>
    <row r="563" spans="2:4">
      <c r="B563" s="8"/>
      <c r="C563" s="8"/>
      <c r="D563" s="8"/>
    </row>
    <row r="564" spans="2:4">
      <c r="B564" s="8"/>
      <c r="C564" s="8"/>
      <c r="D564" s="8"/>
    </row>
    <row r="565" spans="2:4">
      <c r="B565" s="8"/>
      <c r="C565" s="8"/>
      <c r="D565" s="8"/>
    </row>
    <row r="566" spans="2:4">
      <c r="B566" s="8"/>
      <c r="C566" s="8"/>
      <c r="D566" s="8"/>
    </row>
    <row r="567" spans="2:4">
      <c r="B567" s="8"/>
      <c r="C567" s="8"/>
      <c r="D567" s="8"/>
    </row>
    <row r="568" spans="2:4">
      <c r="B568" s="8"/>
      <c r="C568" s="8"/>
      <c r="D568" s="8"/>
    </row>
    <row r="569" spans="2:4">
      <c r="B569" s="8"/>
      <c r="C569" s="8"/>
      <c r="D569" s="8"/>
    </row>
    <row r="570" spans="2:4">
      <c r="B570" s="8"/>
      <c r="C570" s="8"/>
      <c r="D570" s="8"/>
    </row>
    <row r="571" spans="2:4">
      <c r="B571" s="8"/>
      <c r="C571" s="8"/>
      <c r="D571" s="8"/>
    </row>
    <row r="572" spans="2:4">
      <c r="B572" s="8"/>
      <c r="C572" s="8"/>
      <c r="D572" s="8"/>
    </row>
    <row r="573" spans="2:4">
      <c r="B573" s="8"/>
      <c r="C573" s="8"/>
      <c r="D573" s="8"/>
    </row>
    <row r="574" spans="2:4">
      <c r="B574" s="8"/>
      <c r="C574" s="8"/>
      <c r="D574" s="8"/>
    </row>
    <row r="575" spans="2:4">
      <c r="B575" s="8"/>
      <c r="C575" s="8"/>
      <c r="D575" s="8"/>
    </row>
    <row r="576" spans="2:4">
      <c r="B576" s="8"/>
      <c r="C576" s="8"/>
      <c r="D576" s="8"/>
    </row>
    <row r="577" spans="2:4">
      <c r="B577" s="8"/>
      <c r="C577" s="8"/>
      <c r="D577" s="8"/>
    </row>
    <row r="578" spans="2:4">
      <c r="B578" s="8"/>
      <c r="C578" s="8"/>
      <c r="D578" s="8"/>
    </row>
    <row r="579" spans="2:4">
      <c r="B579" s="8"/>
      <c r="C579" s="8"/>
      <c r="D579" s="8"/>
    </row>
    <row r="580" spans="2:4">
      <c r="B580" s="8"/>
      <c r="C580" s="8"/>
      <c r="D580" s="8"/>
    </row>
    <row r="581" spans="2:4">
      <c r="B581" s="8"/>
      <c r="C581" s="8"/>
      <c r="D581" s="8"/>
    </row>
    <row r="582" spans="2:4">
      <c r="B582" s="8"/>
      <c r="C582" s="8"/>
      <c r="D582" s="8"/>
    </row>
    <row r="583" spans="2:4">
      <c r="B583" s="8"/>
      <c r="C583" s="8"/>
      <c r="D583" s="8"/>
    </row>
    <row r="584" spans="2:4">
      <c r="B584" s="8"/>
      <c r="C584" s="8"/>
      <c r="D584" s="8"/>
    </row>
    <row r="585" spans="2:4">
      <c r="B585" s="8"/>
      <c r="C585" s="8"/>
      <c r="D585" s="8"/>
    </row>
    <row r="586" spans="2:4">
      <c r="B586" s="8"/>
      <c r="C586" s="8"/>
      <c r="D586" s="8"/>
    </row>
    <row r="587" spans="2:4">
      <c r="B587" s="8"/>
      <c r="C587" s="8"/>
      <c r="D587" s="8"/>
    </row>
    <row r="588" spans="2:4">
      <c r="B588" s="8"/>
      <c r="C588" s="8"/>
      <c r="D588" s="8"/>
    </row>
    <row r="589" spans="2:4">
      <c r="B589" s="8"/>
      <c r="C589" s="8"/>
      <c r="D589" s="8"/>
    </row>
    <row r="590" spans="2:4">
      <c r="B590" s="8"/>
      <c r="C590" s="8"/>
      <c r="D590" s="8"/>
    </row>
    <row r="591" spans="2:4">
      <c r="B591" s="8"/>
      <c r="C591" s="8"/>
      <c r="D591" s="8"/>
    </row>
    <row r="592" spans="2:4">
      <c r="B592" s="8"/>
      <c r="C592" s="8"/>
      <c r="D592" s="8"/>
    </row>
    <row r="593" spans="2:4">
      <c r="B593" s="8"/>
      <c r="C593" s="8"/>
      <c r="D593" s="8"/>
    </row>
    <row r="594" spans="2:4">
      <c r="B594" s="8"/>
      <c r="C594" s="8"/>
      <c r="D594" s="8"/>
    </row>
    <row r="595" spans="2:4">
      <c r="B595" s="8"/>
      <c r="C595" s="8"/>
      <c r="D595" s="8"/>
    </row>
    <row r="596" spans="2:4">
      <c r="B596" s="8"/>
      <c r="C596" s="8"/>
      <c r="D596" s="8"/>
    </row>
    <row r="597" spans="2:4">
      <c r="B597" s="8"/>
      <c r="C597" s="8"/>
      <c r="D597" s="8"/>
    </row>
    <row r="598" spans="2:4">
      <c r="B598" s="8"/>
      <c r="C598" s="8"/>
      <c r="D598" s="8"/>
    </row>
    <row r="599" spans="2:4">
      <c r="B599" s="8"/>
      <c r="C599" s="8"/>
      <c r="D599" s="8"/>
    </row>
    <row r="600" spans="2:4">
      <c r="B600" s="8"/>
      <c r="C600" s="8"/>
      <c r="D600" s="8"/>
    </row>
    <row r="601" spans="2:4">
      <c r="B601" s="8"/>
      <c r="C601" s="8"/>
      <c r="D601" s="8"/>
    </row>
    <row r="602" spans="2:4">
      <c r="B602" s="8"/>
      <c r="C602" s="8"/>
      <c r="D602" s="8"/>
    </row>
    <row r="603" spans="2:4">
      <c r="B603" s="8"/>
      <c r="C603" s="8"/>
      <c r="D603" s="8"/>
    </row>
    <row r="604" spans="2:4">
      <c r="B604" s="8"/>
      <c r="C604" s="8"/>
      <c r="D604" s="8"/>
    </row>
    <row r="605" spans="2:4">
      <c r="B605" s="8"/>
      <c r="C605" s="8"/>
      <c r="D605" s="8"/>
    </row>
    <row r="606" spans="2:4">
      <c r="B606" s="8"/>
      <c r="C606" s="8"/>
      <c r="D606" s="8"/>
    </row>
    <row r="607" spans="2:4">
      <c r="B607" s="8"/>
      <c r="C607" s="8"/>
      <c r="D607" s="8"/>
    </row>
    <row r="608" spans="2:4">
      <c r="B608" s="8"/>
      <c r="C608" s="8"/>
      <c r="D608" s="8"/>
    </row>
    <row r="609" spans="2:4">
      <c r="B609" s="8"/>
      <c r="C609" s="8"/>
      <c r="D609" s="8"/>
    </row>
    <row r="610" spans="2:4">
      <c r="B610" s="8"/>
      <c r="C610" s="8"/>
      <c r="D610" s="8"/>
    </row>
    <row r="611" spans="2:4">
      <c r="B611" s="8"/>
      <c r="C611" s="8"/>
      <c r="D611" s="8"/>
    </row>
    <row r="612" spans="2:4">
      <c r="B612" s="8"/>
      <c r="C612" s="8"/>
      <c r="D612" s="8"/>
    </row>
    <row r="613" spans="2:4">
      <c r="B613" s="8"/>
      <c r="C613" s="8"/>
      <c r="D613" s="8"/>
    </row>
    <row r="614" spans="2:4">
      <c r="B614" s="8"/>
      <c r="C614" s="8"/>
      <c r="D614" s="8"/>
    </row>
    <row r="615" spans="2:4">
      <c r="B615" s="8"/>
      <c r="C615" s="8"/>
      <c r="D615" s="8"/>
    </row>
    <row r="616" spans="2:4">
      <c r="B616" s="8"/>
      <c r="C616" s="8"/>
      <c r="D616" s="8"/>
    </row>
    <row r="617" spans="2:4">
      <c r="B617" s="8"/>
      <c r="C617" s="8"/>
      <c r="D617" s="8"/>
    </row>
    <row r="618" spans="2:4">
      <c r="B618" s="8"/>
      <c r="C618" s="8"/>
      <c r="D618" s="8"/>
    </row>
    <row r="619" spans="2:4">
      <c r="B619" s="8"/>
      <c r="C619" s="8"/>
      <c r="D619" s="8"/>
    </row>
    <row r="620" spans="2:4">
      <c r="B620" s="8"/>
      <c r="C620" s="8"/>
      <c r="D620" s="8"/>
    </row>
    <row r="621" spans="2:4">
      <c r="B621" s="8"/>
      <c r="C621" s="8"/>
      <c r="D621" s="8"/>
    </row>
    <row r="622" spans="2:4">
      <c r="B622" s="8"/>
      <c r="C622" s="8"/>
      <c r="D622" s="8"/>
    </row>
    <row r="623" spans="2:4">
      <c r="B623" s="8"/>
      <c r="C623" s="8"/>
      <c r="D623" s="8"/>
    </row>
    <row r="624" spans="2:4">
      <c r="B624" s="8"/>
      <c r="C624" s="8"/>
      <c r="D624" s="8"/>
    </row>
    <row r="625" spans="2:4">
      <c r="B625" s="8"/>
      <c r="C625" s="8"/>
      <c r="D625" s="8"/>
    </row>
    <row r="626" spans="2:4">
      <c r="B626" s="8"/>
      <c r="C626" s="8"/>
      <c r="D626" s="8"/>
    </row>
    <row r="627" spans="2:4">
      <c r="B627" s="8"/>
      <c r="C627" s="8"/>
      <c r="D627" s="8"/>
    </row>
    <row r="628" spans="2:4">
      <c r="B628" s="8"/>
      <c r="C628" s="8"/>
      <c r="D628" s="8"/>
    </row>
    <row r="629" spans="2:4">
      <c r="B629" s="8"/>
      <c r="C629" s="8"/>
      <c r="D629" s="8"/>
    </row>
    <row r="630" spans="2:4">
      <c r="B630" s="8"/>
      <c r="C630" s="8"/>
      <c r="D630" s="8"/>
    </row>
    <row r="631" spans="2:4">
      <c r="B631" s="8"/>
      <c r="C631" s="8"/>
      <c r="D631" s="8"/>
    </row>
    <row r="632" spans="2:4">
      <c r="B632" s="8"/>
      <c r="C632" s="8"/>
      <c r="D632" s="8"/>
    </row>
    <row r="633" spans="2:4">
      <c r="B633" s="8"/>
      <c r="C633" s="8"/>
      <c r="D633" s="8"/>
    </row>
    <row r="634" spans="2:4">
      <c r="B634" s="8"/>
      <c r="C634" s="8"/>
      <c r="D634" s="8"/>
    </row>
    <row r="635" spans="2:4">
      <c r="B635" s="8"/>
      <c r="C635" s="8"/>
      <c r="D635" s="8"/>
    </row>
    <row r="636" spans="2:4">
      <c r="B636" s="8"/>
      <c r="C636" s="8"/>
      <c r="D636" s="8"/>
    </row>
    <row r="637" spans="2:4">
      <c r="B637" s="8"/>
      <c r="C637" s="8"/>
      <c r="D637" s="8"/>
    </row>
    <row r="638" spans="2:4">
      <c r="B638" s="8"/>
      <c r="C638" s="8"/>
      <c r="D638" s="8"/>
    </row>
    <row r="639" spans="2:4">
      <c r="B639" s="8"/>
      <c r="C639" s="8"/>
      <c r="D639" s="8"/>
    </row>
    <row r="640" spans="2:4">
      <c r="B640" s="8"/>
      <c r="C640" s="8"/>
      <c r="D640" s="8"/>
    </row>
    <row r="641" spans="2:4">
      <c r="B641" s="8"/>
      <c r="C641" s="8"/>
      <c r="D641" s="8"/>
    </row>
    <row r="642" spans="2:4">
      <c r="B642" s="8"/>
      <c r="C642" s="8"/>
      <c r="D642" s="8"/>
    </row>
    <row r="643" spans="2:4">
      <c r="B643" s="8"/>
      <c r="C643" s="8"/>
      <c r="D643" s="8"/>
    </row>
    <row r="644" spans="2:4">
      <c r="B644" s="8"/>
      <c r="C644" s="8"/>
      <c r="D644" s="8"/>
    </row>
    <row r="645" spans="2:4">
      <c r="B645" s="8"/>
      <c r="C645" s="8"/>
      <c r="D645" s="8"/>
    </row>
    <row r="646" spans="2:4">
      <c r="B646" s="8"/>
      <c r="C646" s="8"/>
      <c r="D646" s="8"/>
    </row>
    <row r="647" spans="2:4">
      <c r="B647" s="8"/>
      <c r="C647" s="8"/>
      <c r="D647" s="8"/>
    </row>
    <row r="648" spans="2:4">
      <c r="B648" s="8"/>
      <c r="C648" s="8"/>
      <c r="D648" s="8"/>
    </row>
    <row r="649" spans="2:4">
      <c r="B649" s="8"/>
      <c r="C649" s="8"/>
      <c r="D649" s="8"/>
    </row>
    <row r="650" spans="2:4">
      <c r="B650" s="8"/>
      <c r="C650" s="8"/>
      <c r="D650" s="8"/>
    </row>
    <row r="651" spans="2:4">
      <c r="B651" s="8"/>
      <c r="C651" s="8"/>
      <c r="D651" s="8"/>
    </row>
    <row r="652" spans="2:4">
      <c r="B652" s="8"/>
      <c r="C652" s="8"/>
      <c r="D652" s="8"/>
    </row>
    <row r="653" spans="2:4">
      <c r="B653" s="8"/>
      <c r="C653" s="8"/>
      <c r="D653" s="8"/>
    </row>
    <row r="654" spans="2:4">
      <c r="B654" s="8"/>
      <c r="C654" s="8"/>
      <c r="D654" s="8"/>
    </row>
    <row r="655" spans="2:4">
      <c r="B655" s="8"/>
      <c r="C655" s="8"/>
      <c r="D655" s="8"/>
    </row>
    <row r="656" spans="2:4">
      <c r="B656" s="8"/>
      <c r="C656" s="8"/>
      <c r="D656" s="8"/>
    </row>
    <row r="657" spans="2:4">
      <c r="B657" s="8"/>
      <c r="C657" s="8"/>
      <c r="D657" s="8"/>
    </row>
    <row r="658" spans="2:4">
      <c r="B658" s="8"/>
      <c r="C658" s="8"/>
      <c r="D658" s="8"/>
    </row>
    <row r="659" spans="2:4">
      <c r="B659" s="8"/>
      <c r="C659" s="8"/>
      <c r="D659" s="8"/>
    </row>
    <row r="660" spans="2:4">
      <c r="B660" s="8"/>
      <c r="C660" s="8"/>
      <c r="D660" s="8"/>
    </row>
    <row r="661" spans="2:4">
      <c r="B661" s="8"/>
      <c r="C661" s="8"/>
      <c r="D661" s="8"/>
    </row>
    <row r="662" spans="2:4">
      <c r="B662" s="8"/>
      <c r="C662" s="8"/>
      <c r="D662" s="8"/>
    </row>
    <row r="663" spans="2:4">
      <c r="B663" s="8"/>
      <c r="C663" s="8"/>
      <c r="D663" s="8"/>
    </row>
    <row r="664" spans="2:4">
      <c r="B664" s="8"/>
      <c r="C664" s="8"/>
      <c r="D664" s="8"/>
    </row>
    <row r="665" spans="2:4">
      <c r="B665" s="8"/>
      <c r="C665" s="8"/>
      <c r="D665" s="8"/>
    </row>
    <row r="666" spans="2:4">
      <c r="B666" s="8"/>
      <c r="C666" s="8"/>
      <c r="D666" s="8"/>
    </row>
    <row r="667" spans="2:4">
      <c r="B667" s="8"/>
      <c r="C667" s="8"/>
      <c r="D667" s="8"/>
    </row>
    <row r="668" spans="2:4">
      <c r="B668" s="8"/>
      <c r="C668" s="8"/>
      <c r="D668" s="8"/>
    </row>
    <row r="669" spans="2:4">
      <c r="B669" s="8"/>
      <c r="C669" s="8"/>
      <c r="D669" s="8"/>
    </row>
    <row r="670" spans="2:4">
      <c r="B670" s="8"/>
      <c r="C670" s="8"/>
      <c r="D670" s="8"/>
    </row>
    <row r="671" spans="2:4">
      <c r="B671" s="8"/>
      <c r="C671" s="8"/>
      <c r="D671" s="8"/>
    </row>
    <row r="672" spans="2:4">
      <c r="B672" s="8"/>
      <c r="C672" s="8"/>
      <c r="D672" s="8"/>
    </row>
    <row r="673" spans="2:4">
      <c r="B673" s="8"/>
      <c r="C673" s="8"/>
      <c r="D673" s="8"/>
    </row>
    <row r="674" spans="2:4">
      <c r="B674" s="8"/>
      <c r="C674" s="8"/>
      <c r="D674" s="8"/>
    </row>
    <row r="675" spans="2:4">
      <c r="B675" s="8"/>
      <c r="C675" s="8"/>
      <c r="D675" s="8"/>
    </row>
    <row r="676" spans="2:4">
      <c r="B676" s="8"/>
      <c r="C676" s="8"/>
      <c r="D676" s="8"/>
    </row>
    <row r="677" spans="2:4">
      <c r="B677" s="8"/>
      <c r="C677" s="8"/>
      <c r="D677" s="8"/>
    </row>
    <row r="678" spans="2:4">
      <c r="B678" s="8"/>
      <c r="C678" s="8"/>
      <c r="D678" s="8"/>
    </row>
    <row r="679" spans="2:4">
      <c r="B679" s="8"/>
      <c r="C679" s="8"/>
      <c r="D679" s="8"/>
    </row>
    <row r="680" spans="2:4">
      <c r="B680" s="8"/>
      <c r="C680" s="8"/>
      <c r="D680" s="8"/>
    </row>
    <row r="681" spans="2:4">
      <c r="B681" s="8"/>
      <c r="C681" s="8"/>
      <c r="D681" s="8"/>
    </row>
    <row r="682" spans="2:4">
      <c r="B682" s="8"/>
      <c r="C682" s="8"/>
      <c r="D682" s="8"/>
    </row>
    <row r="683" spans="2:4">
      <c r="B683" s="8"/>
      <c r="C683" s="8"/>
      <c r="D683" s="8"/>
    </row>
    <row r="684" spans="2:4">
      <c r="B684" s="8"/>
      <c r="C684" s="8"/>
      <c r="D684" s="8"/>
    </row>
    <row r="685" spans="2:4">
      <c r="B685" s="8"/>
      <c r="C685" s="8"/>
      <c r="D685" s="8"/>
    </row>
    <row r="686" spans="2:4">
      <c r="B686" s="8"/>
      <c r="C686" s="8"/>
      <c r="D686" s="8"/>
    </row>
    <row r="687" spans="2:4">
      <c r="B687" s="8"/>
      <c r="C687" s="8"/>
      <c r="D687" s="8"/>
    </row>
    <row r="688" spans="2:4">
      <c r="B688" s="8"/>
      <c r="C688" s="8"/>
      <c r="D688" s="8"/>
    </row>
    <row r="689" spans="2:4">
      <c r="B689" s="8"/>
      <c r="C689" s="8"/>
      <c r="D689" s="8"/>
    </row>
    <row r="690" spans="2:4">
      <c r="B690" s="8"/>
      <c r="C690" s="8"/>
      <c r="D690" s="8"/>
    </row>
    <row r="691" spans="2:4">
      <c r="B691" s="8"/>
      <c r="C691" s="8"/>
      <c r="D691" s="8"/>
    </row>
    <row r="692" spans="2:4">
      <c r="B692" s="8"/>
      <c r="C692" s="8"/>
      <c r="D692" s="8"/>
    </row>
    <row r="693" spans="2:4">
      <c r="B693" s="8"/>
      <c r="C693" s="8"/>
      <c r="D693" s="8"/>
    </row>
    <row r="694" spans="2:4">
      <c r="B694" s="8"/>
      <c r="C694" s="8"/>
      <c r="D694" s="8"/>
    </row>
    <row r="695" spans="2:4">
      <c r="B695" s="8"/>
      <c r="C695" s="8"/>
      <c r="D695" s="8"/>
    </row>
    <row r="696" spans="2:4">
      <c r="B696" s="8"/>
      <c r="C696" s="8"/>
      <c r="D696" s="8"/>
    </row>
    <row r="697" spans="2:4">
      <c r="B697" s="8"/>
      <c r="C697" s="8"/>
      <c r="D697" s="8"/>
    </row>
    <row r="698" spans="2:4">
      <c r="B698" s="8"/>
      <c r="C698" s="8"/>
      <c r="D698" s="8"/>
    </row>
    <row r="699" spans="2:4">
      <c r="B699" s="8"/>
      <c r="C699" s="8"/>
      <c r="D699" s="8"/>
    </row>
    <row r="700" spans="2:4">
      <c r="B700" s="8"/>
      <c r="C700" s="8"/>
      <c r="D700" s="8"/>
    </row>
    <row r="701" spans="2:4">
      <c r="B701" s="8"/>
      <c r="C701" s="8"/>
      <c r="D701" s="8"/>
    </row>
    <row r="702" spans="2:4">
      <c r="B702" s="8"/>
      <c r="C702" s="8"/>
      <c r="D702" s="8"/>
    </row>
    <row r="703" spans="2:4">
      <c r="B703" s="8"/>
      <c r="C703" s="8"/>
      <c r="D703" s="8"/>
    </row>
    <row r="704" spans="2:4">
      <c r="B704" s="8"/>
      <c r="C704" s="8"/>
      <c r="D704" s="8"/>
    </row>
    <row r="705" spans="2:4">
      <c r="B705" s="8"/>
      <c r="C705" s="8"/>
      <c r="D705" s="8"/>
    </row>
    <row r="706" spans="2:4">
      <c r="B706" s="8"/>
      <c r="C706" s="8"/>
      <c r="D706" s="8"/>
    </row>
    <row r="707" spans="2:4">
      <c r="B707" s="8"/>
      <c r="C707" s="8"/>
      <c r="D707" s="8"/>
    </row>
    <row r="708" spans="2:4">
      <c r="B708" s="8"/>
      <c r="C708" s="8"/>
      <c r="D708" s="8"/>
    </row>
    <row r="709" spans="2:4">
      <c r="B709" s="8"/>
      <c r="C709" s="8"/>
      <c r="D709" s="8"/>
    </row>
    <row r="710" spans="2:4">
      <c r="B710" s="8"/>
      <c r="C710" s="8"/>
      <c r="D710" s="8"/>
    </row>
    <row r="711" spans="2:4">
      <c r="B711" s="8"/>
      <c r="C711" s="8"/>
      <c r="D711" s="8"/>
    </row>
    <row r="712" spans="2:4">
      <c r="B712" s="8"/>
      <c r="C712" s="8"/>
      <c r="D712" s="8"/>
    </row>
    <row r="713" spans="2:4">
      <c r="B713" s="8"/>
      <c r="C713" s="8"/>
      <c r="D713" s="8"/>
    </row>
    <row r="714" spans="2:4">
      <c r="B714" s="8"/>
      <c r="C714" s="8"/>
      <c r="D714" s="8"/>
    </row>
    <row r="715" spans="2:4">
      <c r="B715" s="8"/>
      <c r="C715" s="8"/>
      <c r="D715" s="8"/>
    </row>
    <row r="716" spans="2:4">
      <c r="B716" s="8"/>
      <c r="C716" s="8"/>
      <c r="D716" s="8"/>
    </row>
    <row r="717" spans="2:4">
      <c r="B717" s="8"/>
      <c r="C717" s="8"/>
      <c r="D717" s="8"/>
    </row>
    <row r="718" spans="2:4">
      <c r="B718" s="8"/>
      <c r="C718" s="8"/>
      <c r="D718" s="8"/>
    </row>
    <row r="719" spans="2:4">
      <c r="B719" s="8"/>
      <c r="C719" s="8"/>
      <c r="D719" s="8"/>
    </row>
    <row r="720" spans="2:4">
      <c r="B720" s="8"/>
      <c r="C720" s="8"/>
      <c r="D720" s="8"/>
    </row>
    <row r="721" spans="2:4">
      <c r="B721" s="8"/>
      <c r="C721" s="8"/>
      <c r="D721" s="8"/>
    </row>
    <row r="722" spans="2:4">
      <c r="B722" s="8"/>
      <c r="C722" s="8"/>
      <c r="D722" s="8"/>
    </row>
    <row r="723" spans="2:4">
      <c r="B723" s="8"/>
      <c r="C723" s="8"/>
      <c r="D723" s="8"/>
    </row>
    <row r="724" spans="2:4">
      <c r="B724" s="8"/>
      <c r="C724" s="8"/>
      <c r="D724" s="8"/>
    </row>
    <row r="725" spans="2:4">
      <c r="B725" s="8"/>
      <c r="C725" s="8"/>
      <c r="D725" s="8"/>
    </row>
    <row r="726" spans="2:4">
      <c r="B726" s="8"/>
      <c r="C726" s="8"/>
      <c r="D726" s="8"/>
    </row>
    <row r="727" spans="2:4">
      <c r="B727" s="8"/>
      <c r="C727" s="8"/>
      <c r="D727" s="8"/>
    </row>
    <row r="728" spans="2:4">
      <c r="B728" s="8"/>
      <c r="C728" s="8"/>
      <c r="D728" s="8"/>
    </row>
    <row r="729" spans="2:4">
      <c r="B729" s="8"/>
      <c r="C729" s="8"/>
      <c r="D729" s="8"/>
    </row>
    <row r="730" spans="2:4">
      <c r="B730" s="8"/>
      <c r="C730" s="8"/>
      <c r="D730" s="8"/>
    </row>
    <row r="731" spans="2:4">
      <c r="B731" s="8"/>
      <c r="C731" s="8"/>
      <c r="D731" s="8"/>
    </row>
    <row r="732" spans="2:4">
      <c r="B732" s="8"/>
      <c r="C732" s="8"/>
      <c r="D732" s="8"/>
    </row>
    <row r="733" spans="2:4">
      <c r="B733" s="8"/>
      <c r="C733" s="8"/>
      <c r="D733" s="8"/>
    </row>
    <row r="734" spans="2:4">
      <c r="B734" s="8"/>
      <c r="C734" s="8"/>
      <c r="D734" s="8"/>
    </row>
    <row r="735" spans="2:4">
      <c r="B735" s="8"/>
      <c r="C735" s="8"/>
      <c r="D735" s="8"/>
    </row>
    <row r="736" spans="2:4">
      <c r="B736" s="8"/>
      <c r="C736" s="8"/>
      <c r="D736" s="8"/>
    </row>
    <row r="737" spans="2:4">
      <c r="B737" s="8"/>
      <c r="C737" s="8"/>
      <c r="D737" s="8"/>
    </row>
    <row r="738" spans="2:4">
      <c r="B738" s="8"/>
      <c r="C738" s="8"/>
      <c r="D738" s="8"/>
    </row>
    <row r="739" spans="2:4">
      <c r="B739" s="8"/>
      <c r="C739" s="8"/>
      <c r="D739" s="8"/>
    </row>
    <row r="740" spans="2:4">
      <c r="B740" s="8"/>
      <c r="C740" s="8"/>
      <c r="D740" s="8"/>
    </row>
    <row r="741" spans="2:4">
      <c r="B741" s="8"/>
      <c r="C741" s="8"/>
      <c r="D741" s="8"/>
    </row>
    <row r="742" spans="2:4">
      <c r="B742" s="8"/>
      <c r="C742" s="8"/>
      <c r="D742" s="8"/>
    </row>
    <row r="743" spans="2:4">
      <c r="B743" s="8"/>
      <c r="C743" s="8"/>
      <c r="D743" s="8"/>
    </row>
    <row r="744" spans="2:4">
      <c r="B744" s="8"/>
      <c r="C744" s="8"/>
      <c r="D744" s="8"/>
    </row>
    <row r="745" spans="2:4">
      <c r="B745" s="8"/>
      <c r="C745" s="8"/>
      <c r="D745" s="8"/>
    </row>
    <row r="746" spans="2:4">
      <c r="B746" s="8"/>
      <c r="C746" s="8"/>
      <c r="D746" s="8"/>
    </row>
    <row r="747" spans="2:4">
      <c r="B747" s="8"/>
      <c r="C747" s="8"/>
      <c r="D747" s="8"/>
    </row>
    <row r="748" spans="2:4">
      <c r="B748" s="8"/>
      <c r="C748" s="8"/>
      <c r="D748" s="8"/>
    </row>
    <row r="749" spans="2:4">
      <c r="B749" s="8"/>
      <c r="C749" s="8"/>
      <c r="D749" s="8"/>
    </row>
    <row r="750" spans="2:4">
      <c r="B750" s="8"/>
      <c r="C750" s="8"/>
      <c r="D750" s="8"/>
    </row>
    <row r="751" spans="2:4">
      <c r="B751" s="8"/>
      <c r="C751" s="8"/>
      <c r="D751" s="8"/>
    </row>
    <row r="752" spans="2:4">
      <c r="B752" s="8"/>
      <c r="C752" s="8"/>
      <c r="D752" s="8"/>
    </row>
    <row r="753" spans="2:4">
      <c r="B753" s="8"/>
      <c r="C753" s="8"/>
      <c r="D753" s="8"/>
    </row>
    <row r="754" spans="2:4">
      <c r="B754" s="8"/>
      <c r="C754" s="8"/>
      <c r="D754" s="8"/>
    </row>
    <row r="755" spans="2:4">
      <c r="B755" s="8"/>
      <c r="C755" s="8"/>
      <c r="D755" s="8"/>
    </row>
    <row r="756" spans="2:4">
      <c r="B756" s="8"/>
      <c r="C756" s="8"/>
      <c r="D756" s="8"/>
    </row>
    <row r="757" spans="2:4">
      <c r="B757" s="8"/>
      <c r="C757" s="8"/>
      <c r="D757" s="8"/>
    </row>
    <row r="758" spans="2:4">
      <c r="B758" s="8"/>
      <c r="C758" s="8"/>
      <c r="D758" s="8"/>
    </row>
    <row r="759" spans="2:4">
      <c r="B759" s="8"/>
      <c r="C759" s="8"/>
      <c r="D759" s="8"/>
    </row>
    <row r="760" spans="2:4">
      <c r="B760" s="8"/>
      <c r="C760" s="8"/>
      <c r="D760" s="8"/>
    </row>
    <row r="761" spans="2:4">
      <c r="B761" s="8"/>
      <c r="C761" s="8"/>
      <c r="D761" s="8"/>
    </row>
    <row r="762" spans="2:4">
      <c r="B762" s="8"/>
      <c r="C762" s="8"/>
      <c r="D762" s="8"/>
    </row>
    <row r="763" spans="2:4">
      <c r="B763" s="8"/>
      <c r="C763" s="8"/>
      <c r="D763" s="8"/>
    </row>
    <row r="764" spans="2:4">
      <c r="B764" s="8"/>
      <c r="C764" s="8"/>
      <c r="D764" s="8"/>
    </row>
    <row r="765" spans="2:4">
      <c r="B765" s="8"/>
      <c r="C765" s="8"/>
      <c r="D765" s="8"/>
    </row>
    <row r="766" spans="2:4">
      <c r="B766" s="8"/>
      <c r="C766" s="8"/>
      <c r="D766" s="8"/>
    </row>
    <row r="767" spans="2:4">
      <c r="B767" s="8"/>
      <c r="C767" s="8"/>
      <c r="D767" s="8"/>
    </row>
    <row r="768" spans="2:4">
      <c r="B768" s="8"/>
      <c r="C768" s="8"/>
      <c r="D768" s="8"/>
    </row>
    <row r="769" spans="2:4">
      <c r="B769" s="8"/>
      <c r="C769" s="8"/>
      <c r="D769" s="8"/>
    </row>
    <row r="770" spans="2:4">
      <c r="B770" s="8"/>
      <c r="C770" s="8"/>
      <c r="D770" s="8"/>
    </row>
    <row r="771" spans="2:4">
      <c r="B771" s="8"/>
      <c r="C771" s="8"/>
      <c r="D771" s="8"/>
    </row>
    <row r="772" spans="2:4">
      <c r="B772" s="8"/>
      <c r="C772" s="8"/>
      <c r="D772" s="8"/>
    </row>
    <row r="773" spans="2:4">
      <c r="B773" s="8"/>
      <c r="C773" s="8"/>
      <c r="D773" s="8"/>
    </row>
    <row r="774" spans="2:4">
      <c r="B774" s="8"/>
      <c r="C774" s="8"/>
      <c r="D774" s="8"/>
    </row>
    <row r="775" spans="2:4">
      <c r="B775" s="8"/>
      <c r="C775" s="8"/>
      <c r="D775" s="8"/>
    </row>
    <row r="776" spans="2:4">
      <c r="B776" s="8"/>
      <c r="C776" s="8"/>
      <c r="D776" s="8"/>
    </row>
    <row r="777" spans="2:4">
      <c r="B777" s="8"/>
      <c r="C777" s="8"/>
      <c r="D777" s="8"/>
    </row>
    <row r="778" spans="2:4">
      <c r="B778" s="8"/>
      <c r="C778" s="8"/>
      <c r="D778" s="8"/>
    </row>
    <row r="779" spans="2:4">
      <c r="B779" s="8"/>
      <c r="C779" s="8"/>
      <c r="D779" s="8"/>
    </row>
    <row r="780" spans="2:4">
      <c r="B780" s="8"/>
      <c r="C780" s="8"/>
      <c r="D780" s="8"/>
    </row>
    <row r="781" spans="2:4">
      <c r="B781" s="8"/>
      <c r="C781" s="8"/>
      <c r="D781" s="8"/>
    </row>
    <row r="782" spans="2:4">
      <c r="B782" s="8"/>
      <c r="C782" s="8"/>
      <c r="D782" s="8"/>
    </row>
    <row r="783" spans="2:4">
      <c r="B783" s="8"/>
      <c r="C783" s="8"/>
      <c r="D783" s="8"/>
    </row>
    <row r="784" spans="2:4">
      <c r="B784" s="8"/>
      <c r="C784" s="8"/>
      <c r="D784" s="8"/>
    </row>
    <row r="785" spans="2:4">
      <c r="B785" s="8"/>
      <c r="C785" s="8"/>
      <c r="D785" s="8"/>
    </row>
    <row r="786" spans="2:4">
      <c r="B786" s="8"/>
      <c r="C786" s="8"/>
      <c r="D786" s="8"/>
    </row>
    <row r="787" spans="2:4">
      <c r="B787" s="8"/>
      <c r="C787" s="8"/>
      <c r="D787" s="8"/>
    </row>
    <row r="788" spans="2:4">
      <c r="B788" s="8"/>
      <c r="C788" s="8"/>
      <c r="D788" s="8"/>
    </row>
    <row r="789" spans="2:4">
      <c r="B789" s="8"/>
      <c r="C789" s="8"/>
      <c r="D789" s="8"/>
    </row>
    <row r="790" spans="2:4">
      <c r="B790" s="8"/>
      <c r="C790" s="8"/>
      <c r="D790" s="8"/>
    </row>
    <row r="791" spans="2:4">
      <c r="B791" s="8"/>
      <c r="C791" s="8"/>
      <c r="D791" s="8"/>
    </row>
    <row r="792" spans="2:4">
      <c r="B792" s="8"/>
      <c r="C792" s="8"/>
      <c r="D792" s="8"/>
    </row>
    <row r="793" spans="2:4">
      <c r="B793" s="8"/>
      <c r="C793" s="8"/>
      <c r="D793" s="8"/>
    </row>
    <row r="794" spans="2:4">
      <c r="B794" s="8"/>
      <c r="C794" s="8"/>
      <c r="D794" s="8"/>
    </row>
    <row r="795" spans="2:4">
      <c r="B795" s="8"/>
      <c r="C795" s="8"/>
      <c r="D795" s="8"/>
    </row>
    <row r="796" spans="2:4">
      <c r="B796" s="8"/>
      <c r="C796" s="8"/>
      <c r="D796" s="8"/>
    </row>
    <row r="797" spans="2:4">
      <c r="B797" s="8"/>
      <c r="C797" s="8"/>
      <c r="D797" s="8"/>
    </row>
    <row r="798" spans="2:4">
      <c r="B798" s="8"/>
      <c r="C798" s="8"/>
      <c r="D798" s="8"/>
    </row>
    <row r="799" spans="2:4">
      <c r="B799" s="8"/>
      <c r="C799" s="8"/>
      <c r="D799" s="8"/>
    </row>
    <row r="800" spans="2:4">
      <c r="B800" s="8"/>
      <c r="C800" s="8"/>
      <c r="D800" s="8"/>
    </row>
    <row r="801" spans="2:4">
      <c r="B801" s="8"/>
      <c r="C801" s="8"/>
      <c r="D801" s="8"/>
    </row>
    <row r="802" spans="2:4">
      <c r="B802" s="8"/>
      <c r="C802" s="8"/>
      <c r="D802" s="8"/>
    </row>
    <row r="803" spans="2:4">
      <c r="B803" s="8"/>
      <c r="C803" s="8"/>
      <c r="D803" s="8"/>
    </row>
    <row r="804" spans="2:4">
      <c r="B804" s="8"/>
      <c r="C804" s="8"/>
      <c r="D804" s="8"/>
    </row>
    <row r="805" spans="2:4">
      <c r="B805" s="8"/>
      <c r="C805" s="8"/>
      <c r="D805" s="8"/>
    </row>
    <row r="806" spans="2:4">
      <c r="B806" s="8"/>
      <c r="C806" s="8"/>
      <c r="D806" s="8"/>
    </row>
    <row r="807" spans="2:4">
      <c r="B807" s="8"/>
      <c r="C807" s="8"/>
      <c r="D807" s="8"/>
    </row>
    <row r="808" spans="2:4">
      <c r="B808" s="8"/>
      <c r="C808" s="8"/>
      <c r="D808" s="8"/>
    </row>
    <row r="809" spans="2:4">
      <c r="B809" s="8"/>
      <c r="C809" s="8"/>
      <c r="D809" s="8"/>
    </row>
    <row r="810" spans="2:4">
      <c r="B810" s="8"/>
      <c r="C810" s="8"/>
      <c r="D810" s="8"/>
    </row>
    <row r="811" spans="2:4">
      <c r="B811" s="8"/>
      <c r="C811" s="8"/>
      <c r="D811" s="8"/>
    </row>
    <row r="812" spans="2:4">
      <c r="B812" s="8"/>
      <c r="C812" s="8"/>
      <c r="D812" s="8"/>
    </row>
    <row r="813" spans="2:4">
      <c r="B813" s="8"/>
      <c r="C813" s="8"/>
      <c r="D813" s="8"/>
    </row>
    <row r="814" spans="2:4">
      <c r="B814" s="8"/>
      <c r="C814" s="8"/>
      <c r="D814" s="8"/>
    </row>
    <row r="815" spans="2:4">
      <c r="B815" s="8"/>
      <c r="C815" s="8"/>
      <c r="D815" s="8"/>
    </row>
    <row r="816" spans="2:4">
      <c r="B816" s="8"/>
      <c r="C816" s="8"/>
      <c r="D816" s="8"/>
    </row>
    <row r="817" spans="2:4">
      <c r="B817" s="8"/>
      <c r="C817" s="8"/>
      <c r="D817" s="8"/>
    </row>
    <row r="818" spans="2:4">
      <c r="B818" s="8"/>
      <c r="C818" s="8"/>
      <c r="D818" s="8"/>
    </row>
    <row r="819" spans="2:4">
      <c r="B819" s="8"/>
      <c r="C819" s="8"/>
      <c r="D819" s="8"/>
    </row>
    <row r="820" spans="2:4">
      <c r="B820" s="8"/>
      <c r="C820" s="8"/>
      <c r="D820" s="8"/>
    </row>
    <row r="821" spans="2:4">
      <c r="B821" s="8"/>
      <c r="C821" s="8"/>
      <c r="D821" s="8"/>
    </row>
    <row r="822" spans="2:4">
      <c r="B822" s="8"/>
      <c r="C822" s="8"/>
      <c r="D822" s="8"/>
    </row>
    <row r="823" spans="2:4">
      <c r="B823" s="8"/>
      <c r="C823" s="8"/>
      <c r="D823" s="8"/>
    </row>
    <row r="824" spans="2:4">
      <c r="B824" s="8"/>
      <c r="C824" s="8"/>
      <c r="D824" s="8"/>
    </row>
    <row r="825" spans="2:4">
      <c r="B825" s="8"/>
      <c r="C825" s="8"/>
      <c r="D825" s="8"/>
    </row>
    <row r="826" spans="2:4">
      <c r="B826" s="8"/>
      <c r="C826" s="8"/>
      <c r="D826" s="8"/>
    </row>
    <row r="827" spans="2:4">
      <c r="B827" s="8"/>
      <c r="C827" s="8"/>
      <c r="D827" s="8"/>
    </row>
    <row r="828" spans="2:4">
      <c r="B828" s="8"/>
      <c r="C828" s="8"/>
      <c r="D828" s="8"/>
    </row>
    <row r="829" spans="2:4">
      <c r="B829" s="8"/>
      <c r="C829" s="8"/>
      <c r="D829" s="8"/>
    </row>
    <row r="830" spans="2:4">
      <c r="B830" s="8"/>
      <c r="C830" s="8"/>
      <c r="D830" s="8"/>
    </row>
    <row r="831" spans="2:4">
      <c r="B831" s="8"/>
      <c r="C831" s="8"/>
      <c r="D831" s="8"/>
    </row>
    <row r="832" spans="2:4">
      <c r="B832" s="8"/>
      <c r="C832" s="8"/>
      <c r="D832" s="8"/>
    </row>
    <row r="833" spans="2:4">
      <c r="B833" s="8"/>
      <c r="C833" s="8"/>
      <c r="D833" s="8"/>
    </row>
    <row r="834" spans="2:4">
      <c r="B834" s="8"/>
      <c r="C834" s="8"/>
      <c r="D834" s="8"/>
    </row>
    <row r="835" spans="2:4">
      <c r="B835" s="8"/>
      <c r="C835" s="8"/>
      <c r="D835" s="8"/>
    </row>
    <row r="836" spans="2:4">
      <c r="B836" s="8"/>
      <c r="C836" s="8"/>
      <c r="D836" s="8"/>
    </row>
    <row r="837" spans="2:4">
      <c r="B837" s="8"/>
      <c r="C837" s="8"/>
      <c r="D837" s="8"/>
    </row>
    <row r="838" spans="2:4">
      <c r="B838" s="8"/>
      <c r="C838" s="8"/>
      <c r="D838" s="8"/>
    </row>
    <row r="839" spans="2:4">
      <c r="B839" s="8"/>
      <c r="C839" s="8"/>
      <c r="D839" s="8"/>
    </row>
    <row r="840" spans="2:4">
      <c r="B840" s="8"/>
      <c r="C840" s="8"/>
      <c r="D840" s="8"/>
    </row>
    <row r="841" spans="2:4">
      <c r="B841" s="8"/>
      <c r="C841" s="8"/>
      <c r="D841" s="8"/>
    </row>
    <row r="842" spans="2:4">
      <c r="B842" s="8"/>
      <c r="C842" s="8"/>
      <c r="D842" s="8"/>
    </row>
    <row r="843" spans="2:4">
      <c r="B843" s="8"/>
      <c r="C843" s="8"/>
      <c r="D843" s="8"/>
    </row>
    <row r="844" spans="2:4">
      <c r="B844" s="8"/>
      <c r="C844" s="8"/>
      <c r="D844" s="8"/>
    </row>
    <row r="845" spans="2:4">
      <c r="B845" s="8"/>
      <c r="C845" s="8"/>
      <c r="D845" s="8"/>
    </row>
    <row r="846" spans="2:4">
      <c r="B846" s="8"/>
      <c r="C846" s="8"/>
      <c r="D846" s="8"/>
    </row>
    <row r="847" spans="2:4">
      <c r="B847" s="8"/>
      <c r="C847" s="8"/>
      <c r="D847" s="8"/>
    </row>
    <row r="848" spans="2:4">
      <c r="B848" s="8"/>
      <c r="C848" s="8"/>
      <c r="D848" s="8"/>
    </row>
    <row r="849" spans="2:4">
      <c r="B849" s="8"/>
      <c r="C849" s="8"/>
      <c r="D849" s="8"/>
    </row>
    <row r="850" spans="2:4">
      <c r="B850" s="8"/>
      <c r="C850" s="8"/>
      <c r="D850" s="8"/>
    </row>
    <row r="851" spans="2:4">
      <c r="B851" s="8"/>
      <c r="C851" s="8"/>
      <c r="D851" s="8"/>
    </row>
    <row r="852" spans="2:4">
      <c r="B852" s="8"/>
      <c r="C852" s="8"/>
      <c r="D852" s="8"/>
    </row>
    <row r="853" spans="2:4">
      <c r="B853" s="8"/>
      <c r="C853" s="8"/>
      <c r="D853" s="8"/>
    </row>
    <row r="854" spans="2:4">
      <c r="B854" s="8"/>
      <c r="C854" s="8"/>
      <c r="D854" s="8"/>
    </row>
    <row r="855" spans="2:4">
      <c r="B855" s="8"/>
      <c r="C855" s="8"/>
      <c r="D855" s="8"/>
    </row>
    <row r="856" spans="2:4">
      <c r="B856" s="8"/>
      <c r="C856" s="8"/>
      <c r="D856" s="8"/>
    </row>
    <row r="857" spans="2:4">
      <c r="B857" s="8"/>
      <c r="C857" s="8"/>
      <c r="D857" s="8"/>
    </row>
    <row r="858" spans="2:4">
      <c r="B858" s="8"/>
      <c r="C858" s="8"/>
      <c r="D858" s="8"/>
    </row>
    <row r="859" spans="2:4">
      <c r="B859" s="8"/>
      <c r="C859" s="8"/>
      <c r="D859" s="8"/>
    </row>
    <row r="860" spans="2:4">
      <c r="B860" s="8"/>
      <c r="C860" s="8"/>
      <c r="D860" s="8"/>
    </row>
    <row r="861" spans="2:4">
      <c r="B861" s="8"/>
      <c r="C861" s="8"/>
      <c r="D861" s="8"/>
    </row>
    <row r="862" spans="2:4">
      <c r="B862" s="8"/>
      <c r="C862" s="8"/>
      <c r="D862" s="8"/>
    </row>
    <row r="863" spans="2:4">
      <c r="B863" s="8"/>
      <c r="C863" s="8"/>
      <c r="D863" s="8"/>
    </row>
    <row r="864" spans="2:4">
      <c r="B864" s="8"/>
      <c r="C864" s="8"/>
      <c r="D864" s="8"/>
    </row>
    <row r="865" spans="2:4">
      <c r="B865" s="8"/>
      <c r="C865" s="8"/>
      <c r="D865" s="8"/>
    </row>
    <row r="866" spans="2:4">
      <c r="B866" s="8"/>
      <c r="C866" s="8"/>
      <c r="D866" s="8"/>
    </row>
    <row r="867" spans="2:4">
      <c r="B867" s="8"/>
      <c r="C867" s="8"/>
      <c r="D867" s="8"/>
    </row>
    <row r="868" spans="2:4">
      <c r="B868" s="8"/>
      <c r="C868" s="8"/>
      <c r="D868" s="8"/>
    </row>
    <row r="869" spans="2:4">
      <c r="B869" s="8"/>
      <c r="C869" s="8"/>
      <c r="D869" s="8"/>
    </row>
    <row r="870" spans="2:4">
      <c r="B870" s="8"/>
      <c r="C870" s="8"/>
      <c r="D870" s="8"/>
    </row>
    <row r="871" spans="2:4">
      <c r="B871" s="8"/>
      <c r="C871" s="8"/>
      <c r="D871" s="8"/>
    </row>
    <row r="872" spans="2:4">
      <c r="B872" s="8"/>
      <c r="C872" s="8"/>
      <c r="D872" s="8"/>
    </row>
    <row r="873" spans="2:4">
      <c r="B873" s="8"/>
      <c r="C873" s="8"/>
      <c r="D873" s="8"/>
    </row>
    <row r="874" spans="2:4">
      <c r="B874" s="8"/>
      <c r="C874" s="8"/>
      <c r="D874" s="8"/>
    </row>
    <row r="875" spans="2:4">
      <c r="B875" s="8"/>
      <c r="C875" s="8"/>
      <c r="D875" s="8"/>
    </row>
    <row r="876" spans="2:4">
      <c r="B876" s="8"/>
      <c r="C876" s="8"/>
      <c r="D876" s="8"/>
    </row>
    <row r="877" spans="2:4">
      <c r="B877" s="8"/>
      <c r="C877" s="8"/>
      <c r="D877" s="8"/>
    </row>
    <row r="878" spans="2:4">
      <c r="B878" s="8"/>
      <c r="C878" s="8"/>
      <c r="D878" s="8"/>
    </row>
    <row r="879" spans="2:4">
      <c r="B879" s="8"/>
      <c r="C879" s="8"/>
      <c r="D879" s="8"/>
    </row>
    <row r="880" spans="2:4">
      <c r="B880" s="8"/>
      <c r="C880" s="8"/>
      <c r="D880" s="8"/>
    </row>
    <row r="881" spans="2:4">
      <c r="B881" s="8"/>
      <c r="C881" s="8"/>
      <c r="D881" s="8"/>
    </row>
    <row r="882" spans="2:4">
      <c r="B882" s="8"/>
      <c r="C882" s="8"/>
      <c r="D882" s="8"/>
    </row>
    <row r="883" spans="2:4">
      <c r="B883" s="8"/>
      <c r="C883" s="8"/>
      <c r="D883" s="8"/>
    </row>
    <row r="884" spans="2:4">
      <c r="B884" s="8"/>
      <c r="C884" s="8"/>
      <c r="D884" s="8"/>
    </row>
    <row r="885" spans="2:4">
      <c r="B885" s="8"/>
      <c r="C885" s="8"/>
      <c r="D885" s="8"/>
    </row>
    <row r="886" spans="2:4">
      <c r="B886" s="8"/>
      <c r="C886" s="8"/>
      <c r="D886" s="8"/>
    </row>
    <row r="887" spans="2:4">
      <c r="B887" s="8"/>
      <c r="C887" s="8"/>
      <c r="D887" s="8"/>
    </row>
    <row r="888" spans="2:4">
      <c r="B888" s="8"/>
      <c r="C888" s="8"/>
      <c r="D888" s="8"/>
    </row>
    <row r="889" spans="2:4">
      <c r="B889" s="8"/>
      <c r="C889" s="8"/>
      <c r="D889" s="8"/>
    </row>
    <row r="890" spans="2:4">
      <c r="B890" s="8"/>
      <c r="C890" s="8"/>
      <c r="D890" s="8"/>
    </row>
    <row r="891" spans="2:4">
      <c r="B891" s="8"/>
      <c r="C891" s="8"/>
      <c r="D891" s="8"/>
    </row>
    <row r="892" spans="2:4">
      <c r="B892" s="8"/>
      <c r="C892" s="8"/>
      <c r="D892" s="8"/>
    </row>
    <row r="893" spans="2:4">
      <c r="B893" s="8"/>
      <c r="C893" s="8"/>
      <c r="D893" s="8"/>
    </row>
    <row r="894" spans="2:4">
      <c r="B894" s="8"/>
      <c r="C894" s="8"/>
      <c r="D894" s="8"/>
    </row>
    <row r="895" spans="2:4">
      <c r="B895" s="8"/>
      <c r="C895" s="8"/>
      <c r="D895" s="8"/>
    </row>
    <row r="896" spans="2:4">
      <c r="B896" s="8"/>
      <c r="C896" s="8"/>
      <c r="D896" s="8"/>
    </row>
    <row r="897" spans="2:4">
      <c r="B897" s="8"/>
      <c r="C897" s="8"/>
      <c r="D897" s="8"/>
    </row>
    <row r="898" spans="2:4">
      <c r="B898" s="8"/>
      <c r="C898" s="8"/>
      <c r="D898" s="8"/>
    </row>
    <row r="899" spans="2:4">
      <c r="B899" s="8"/>
      <c r="C899" s="8"/>
      <c r="D899" s="8"/>
    </row>
    <row r="900" spans="2:4">
      <c r="B900" s="8"/>
      <c r="C900" s="8"/>
      <c r="D900" s="8"/>
    </row>
    <row r="901" spans="2:4">
      <c r="B901" s="8"/>
      <c r="C901" s="8"/>
      <c r="D901" s="8"/>
    </row>
    <row r="902" spans="2:4">
      <c r="B902" s="8"/>
      <c r="C902" s="8"/>
      <c r="D902" s="8"/>
    </row>
    <row r="903" spans="2:4">
      <c r="B903" s="8"/>
      <c r="C903" s="8"/>
      <c r="D903" s="8"/>
    </row>
    <row r="904" spans="2:4">
      <c r="B904" s="8"/>
      <c r="C904" s="8"/>
      <c r="D904" s="8"/>
    </row>
    <row r="905" spans="2:4">
      <c r="B905" s="8"/>
      <c r="C905" s="8"/>
      <c r="D905" s="8"/>
    </row>
    <row r="906" spans="2:4">
      <c r="B906" s="8"/>
      <c r="C906" s="8"/>
      <c r="D906" s="8"/>
    </row>
    <row r="907" spans="2:4">
      <c r="B907" s="8"/>
      <c r="C907" s="8"/>
      <c r="D907" s="8"/>
    </row>
    <row r="908" spans="2:4">
      <c r="B908" s="8"/>
      <c r="C908" s="8"/>
      <c r="D908" s="8"/>
    </row>
    <row r="909" spans="2:4">
      <c r="B909" s="8"/>
      <c r="C909" s="8"/>
      <c r="D909" s="8"/>
    </row>
    <row r="910" spans="2:4">
      <c r="B910" s="8"/>
      <c r="C910" s="8"/>
      <c r="D910" s="8"/>
    </row>
    <row r="911" spans="2:4">
      <c r="B911" s="8"/>
      <c r="C911" s="8"/>
      <c r="D911" s="8"/>
    </row>
    <row r="912" spans="2:4">
      <c r="B912" s="8"/>
      <c r="C912" s="8"/>
      <c r="D912" s="8"/>
    </row>
    <row r="913" spans="2:4">
      <c r="B913" s="8"/>
      <c r="C913" s="8"/>
      <c r="D913" s="8"/>
    </row>
    <row r="914" spans="2:4">
      <c r="B914" s="8"/>
      <c r="C914" s="8"/>
      <c r="D914" s="8"/>
    </row>
    <row r="915" spans="2:4">
      <c r="B915" s="8"/>
      <c r="C915" s="8"/>
      <c r="D915" s="8"/>
    </row>
    <row r="916" spans="2:4">
      <c r="B916" s="8"/>
      <c r="C916" s="8"/>
      <c r="D916" s="8"/>
    </row>
    <row r="917" spans="2:4">
      <c r="B917" s="8"/>
      <c r="C917" s="8"/>
      <c r="D917" s="8"/>
    </row>
    <row r="918" spans="2:4">
      <c r="B918" s="8"/>
      <c r="C918" s="8"/>
      <c r="D918" s="8"/>
    </row>
    <row r="919" spans="2:4">
      <c r="B919" s="8"/>
      <c r="C919" s="8"/>
      <c r="D919" s="8"/>
    </row>
    <row r="920" spans="2:4">
      <c r="B920" s="8"/>
      <c r="C920" s="8"/>
      <c r="D920" s="8"/>
    </row>
    <row r="921" spans="2:4">
      <c r="B921" s="8"/>
      <c r="C921" s="8"/>
      <c r="D921" s="8"/>
    </row>
    <row r="922" spans="2:4">
      <c r="B922" s="8"/>
      <c r="C922" s="8"/>
      <c r="D922" s="8"/>
    </row>
    <row r="923" spans="2:4">
      <c r="B923" s="8"/>
      <c r="C923" s="8"/>
      <c r="D923" s="8"/>
    </row>
    <row r="924" spans="2:4">
      <c r="B924" s="8"/>
      <c r="C924" s="8"/>
      <c r="D924" s="8"/>
    </row>
    <row r="925" spans="2:4">
      <c r="B925" s="8"/>
      <c r="C925" s="8"/>
      <c r="D925" s="8"/>
    </row>
    <row r="926" spans="2:4">
      <c r="B926" s="8"/>
      <c r="C926" s="8"/>
      <c r="D926" s="8"/>
    </row>
    <row r="927" spans="2:4">
      <c r="B927" s="8"/>
      <c r="C927" s="8"/>
      <c r="D927" s="8"/>
    </row>
    <row r="928" spans="2:4">
      <c r="B928" s="8"/>
      <c r="C928" s="8"/>
      <c r="D928" s="8"/>
    </row>
    <row r="929" spans="2:4">
      <c r="B929" s="8"/>
      <c r="C929" s="8"/>
      <c r="D929" s="8"/>
    </row>
    <row r="930" spans="2:4">
      <c r="B930" s="8"/>
      <c r="C930" s="8"/>
      <c r="D930" s="8"/>
    </row>
    <row r="931" spans="2:4">
      <c r="B931" s="8"/>
      <c r="C931" s="8"/>
      <c r="D931" s="8"/>
    </row>
    <row r="932" spans="2:4">
      <c r="B932" s="8"/>
      <c r="C932" s="8"/>
      <c r="D932" s="8"/>
    </row>
    <row r="933" spans="2:4">
      <c r="B933" s="8"/>
      <c r="C933" s="8"/>
      <c r="D933" s="8"/>
    </row>
    <row r="934" spans="2:4">
      <c r="B934" s="8"/>
      <c r="C934" s="8"/>
      <c r="D934" s="8"/>
    </row>
    <row r="935" spans="2:4">
      <c r="B935" s="8"/>
      <c r="C935" s="8"/>
      <c r="D935" s="8"/>
    </row>
    <row r="936" spans="2:4">
      <c r="B936" s="8"/>
      <c r="C936" s="8"/>
      <c r="D936" s="8"/>
    </row>
    <row r="937" spans="2:4">
      <c r="B937" s="8"/>
      <c r="C937" s="8"/>
      <c r="D937" s="8"/>
    </row>
    <row r="938" spans="2:4">
      <c r="B938" s="8"/>
      <c r="C938" s="8"/>
      <c r="D938" s="8"/>
    </row>
    <row r="939" spans="2:4">
      <c r="B939" s="8"/>
      <c r="C939" s="8"/>
      <c r="D939" s="8"/>
    </row>
    <row r="940" spans="2:4">
      <c r="B940" s="8"/>
      <c r="C940" s="8"/>
      <c r="D940" s="8"/>
    </row>
    <row r="941" spans="2:4">
      <c r="B941" s="8"/>
      <c r="C941" s="8"/>
      <c r="D941" s="8"/>
    </row>
    <row r="942" spans="2:4">
      <c r="B942" s="8"/>
      <c r="C942" s="8"/>
      <c r="D942" s="8"/>
    </row>
    <row r="943" spans="2:4">
      <c r="B943" s="8"/>
      <c r="C943" s="8"/>
      <c r="D943" s="8"/>
    </row>
    <row r="944" spans="2:4">
      <c r="B944" s="8"/>
      <c r="C944" s="8"/>
      <c r="D944" s="8"/>
    </row>
    <row r="945" spans="2:4">
      <c r="B945" s="8"/>
      <c r="C945" s="8"/>
      <c r="D945" s="8"/>
    </row>
    <row r="946" spans="2:4">
      <c r="B946" s="8"/>
      <c r="C946" s="8"/>
      <c r="D946" s="8"/>
    </row>
    <row r="947" spans="2:4">
      <c r="B947" s="8"/>
      <c r="C947" s="8"/>
      <c r="D947" s="8"/>
    </row>
    <row r="948" spans="2:4">
      <c r="B948" s="8"/>
      <c r="C948" s="8"/>
      <c r="D948" s="8"/>
    </row>
    <row r="949" spans="2:4">
      <c r="B949" s="8"/>
      <c r="C949" s="8"/>
      <c r="D949" s="8"/>
    </row>
    <row r="950" spans="2:4">
      <c r="B950" s="8"/>
      <c r="C950" s="8"/>
      <c r="D950" s="8"/>
    </row>
    <row r="951" spans="2:4">
      <c r="B951" s="8"/>
      <c r="C951" s="8"/>
      <c r="D951" s="8"/>
    </row>
    <row r="952" spans="2:4">
      <c r="B952" s="8"/>
      <c r="C952" s="8"/>
      <c r="D952" s="8"/>
    </row>
    <row r="953" spans="2:4">
      <c r="B953" s="8"/>
      <c r="C953" s="8"/>
      <c r="D953" s="8"/>
    </row>
    <row r="954" spans="2:4">
      <c r="B954" s="8"/>
      <c r="C954" s="8"/>
      <c r="D954" s="8"/>
    </row>
    <row r="955" spans="2:4">
      <c r="B955" s="8"/>
      <c r="C955" s="8"/>
      <c r="D955" s="8"/>
    </row>
    <row r="956" spans="2:4">
      <c r="B956" s="8"/>
      <c r="C956" s="8"/>
      <c r="D956" s="8"/>
    </row>
    <row r="957" spans="2:4">
      <c r="B957" s="8"/>
      <c r="C957" s="8"/>
      <c r="D957" s="8"/>
    </row>
    <row r="958" spans="2:4">
      <c r="B958" s="8"/>
      <c r="C958" s="8"/>
      <c r="D958" s="8"/>
    </row>
    <row r="959" spans="2:4">
      <c r="B959" s="8"/>
      <c r="C959" s="8"/>
      <c r="D959" s="8"/>
    </row>
    <row r="960" spans="2:4">
      <c r="B960" s="8"/>
      <c r="C960" s="8"/>
      <c r="D960" s="8"/>
    </row>
    <row r="961" spans="2:4">
      <c r="B961" s="8"/>
      <c r="C961" s="8"/>
      <c r="D961" s="8"/>
    </row>
    <row r="962" spans="2:4">
      <c r="B962" s="8"/>
      <c r="C962" s="8"/>
      <c r="D962" s="8"/>
    </row>
    <row r="963" spans="2:4">
      <c r="B963" s="8"/>
      <c r="C963" s="8"/>
      <c r="D963" s="8"/>
    </row>
    <row r="964" spans="2:4">
      <c r="B964" s="8"/>
      <c r="C964" s="8"/>
      <c r="D964" s="8"/>
    </row>
    <row r="965" spans="2:4">
      <c r="B965" s="8"/>
      <c r="C965" s="8"/>
      <c r="D965" s="8"/>
    </row>
    <row r="966" spans="2:4">
      <c r="B966" s="8"/>
      <c r="C966" s="8"/>
      <c r="D966" s="8"/>
    </row>
    <row r="967" spans="2:4">
      <c r="B967" s="8"/>
      <c r="C967" s="8"/>
      <c r="D967" s="8"/>
    </row>
    <row r="968" spans="2:4">
      <c r="B968" s="8"/>
      <c r="C968" s="8"/>
      <c r="D968" s="8"/>
    </row>
    <row r="969" spans="2:4">
      <c r="B969" s="8"/>
      <c r="C969" s="8"/>
      <c r="D969" s="8"/>
    </row>
    <row r="970" spans="2:4">
      <c r="B970" s="8"/>
      <c r="C970" s="8"/>
      <c r="D970" s="8"/>
    </row>
    <row r="971" spans="2:4">
      <c r="B971" s="8"/>
      <c r="C971" s="8"/>
      <c r="D971" s="8"/>
    </row>
    <row r="972" spans="2:4">
      <c r="B972" s="8"/>
      <c r="C972" s="8"/>
      <c r="D972" s="8"/>
    </row>
    <row r="973" spans="2:4">
      <c r="B973" s="8"/>
      <c r="C973" s="8"/>
      <c r="D973" s="8"/>
    </row>
    <row r="974" spans="2:4">
      <c r="B974" s="8"/>
      <c r="C974" s="8"/>
      <c r="D974" s="8"/>
    </row>
    <row r="975" spans="2:4">
      <c r="B975" s="8"/>
      <c r="C975" s="8"/>
      <c r="D975" s="8"/>
    </row>
    <row r="976" spans="2:4">
      <c r="B976" s="8"/>
      <c r="C976" s="8"/>
      <c r="D976" s="8"/>
    </row>
    <row r="977" spans="2:4">
      <c r="B977" s="8"/>
      <c r="C977" s="8"/>
      <c r="D977" s="8"/>
    </row>
    <row r="978" spans="2:4">
      <c r="B978" s="8"/>
      <c r="C978" s="8"/>
      <c r="D978" s="8"/>
    </row>
    <row r="979" spans="2:4">
      <c r="B979" s="8"/>
      <c r="C979" s="8"/>
      <c r="D979" s="8"/>
    </row>
    <row r="980" spans="2:4">
      <c r="B980" s="8"/>
      <c r="C980" s="8"/>
      <c r="D980" s="8"/>
    </row>
    <row r="981" spans="2:4">
      <c r="B981" s="8"/>
      <c r="C981" s="8"/>
      <c r="D981" s="8"/>
    </row>
    <row r="982" spans="2:4">
      <c r="B982" s="8"/>
      <c r="C982" s="8"/>
      <c r="D982" s="8"/>
    </row>
    <row r="983" spans="2:4">
      <c r="B983" s="8"/>
      <c r="C983" s="8"/>
      <c r="D983" s="8"/>
    </row>
    <row r="984" spans="2:4">
      <c r="B984" s="8"/>
      <c r="C984" s="8"/>
      <c r="D984" s="8"/>
    </row>
    <row r="985" spans="2:4">
      <c r="B985" s="8"/>
      <c r="C985" s="8"/>
      <c r="D985" s="8"/>
    </row>
    <row r="986" spans="2:4">
      <c r="B986" s="8"/>
      <c r="C986" s="8"/>
      <c r="D986" s="8"/>
    </row>
    <row r="987" spans="2:4">
      <c r="B987" s="8"/>
      <c r="C987" s="8"/>
      <c r="D987" s="8"/>
    </row>
    <row r="988" spans="2:4">
      <c r="B988" s="8"/>
      <c r="C988" s="8"/>
      <c r="D988" s="8"/>
    </row>
    <row r="989" spans="2:4">
      <c r="B989" s="8"/>
      <c r="C989" s="8"/>
      <c r="D989" s="8"/>
    </row>
    <row r="990" spans="2:4">
      <c r="B990" s="8"/>
      <c r="C990" s="8"/>
      <c r="D990" s="8"/>
    </row>
    <row r="991" spans="2:4">
      <c r="B991" s="8"/>
      <c r="C991" s="8"/>
      <c r="D991" s="8"/>
    </row>
    <row r="992" spans="2:4">
      <c r="B992" s="8"/>
      <c r="C992" s="8"/>
      <c r="D992" s="8"/>
    </row>
    <row r="993" spans="2:4">
      <c r="B993" s="8"/>
      <c r="C993" s="8"/>
      <c r="D993" s="8"/>
    </row>
    <row r="994" spans="2:4">
      <c r="B994" s="8"/>
      <c r="C994" s="8"/>
      <c r="D994" s="8"/>
    </row>
    <row r="995" spans="2:4">
      <c r="B995" s="8"/>
      <c r="C995" s="8"/>
      <c r="D995" s="8"/>
    </row>
    <row r="996" spans="2:4">
      <c r="B996" s="8"/>
      <c r="C996" s="8"/>
      <c r="D996" s="8"/>
    </row>
    <row r="997" spans="2:4">
      <c r="B997" s="8"/>
      <c r="C997" s="8"/>
      <c r="D997" s="8"/>
    </row>
    <row r="998" spans="2:4">
      <c r="B998" s="8"/>
      <c r="C998" s="8"/>
      <c r="D998" s="8"/>
    </row>
    <row r="999" spans="2:4">
      <c r="B999" s="8"/>
      <c r="C999" s="8"/>
      <c r="D999" s="8"/>
    </row>
    <row r="1000" spans="2:4">
      <c r="B1000" s="8"/>
      <c r="C1000" s="8"/>
      <c r="D1000" s="8"/>
    </row>
    <row r="1001" spans="2:4">
      <c r="B1001" s="8"/>
      <c r="C1001" s="8"/>
      <c r="D1001" s="8"/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2026-07-15T09:51:00Z</dcterms:created>
  <dcterms:modified xsi:type="dcterms:W3CDTF">2026-07-15T15:49:31Z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5057776B559044BAA8F8347DDB2A5E18_11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